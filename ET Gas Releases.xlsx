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mmary" sheetId="1" r:id="rId4"/>
    <sheet state="visible" name="PHMSA Records" sheetId="2" r:id="rId5"/>
    <sheet state="visible" name="Notable Incidents" sheetId="3" r:id="rId6"/>
  </sheets>
  <definedNames/>
  <calcPr/>
</workbook>
</file>

<file path=xl/sharedStrings.xml><?xml version="1.0" encoding="utf-8"?>
<sst xmlns="http://schemas.openxmlformats.org/spreadsheetml/2006/main" count="15202" uniqueCount="2323">
  <si>
    <t>Summary of Selected Results from Energy Transfer-related natural gas releases (2010-present)</t>
  </si>
  <si>
    <t>Number of Incidents</t>
  </si>
  <si>
    <t>Impacts</t>
  </si>
  <si>
    <t>Start of Time Period</t>
  </si>
  <si>
    <t>Injuries</t>
  </si>
  <si>
    <t>End of Time Period</t>
  </si>
  <si>
    <t>Deaths</t>
  </si>
  <si>
    <t>Average Number of Days Between Incidents</t>
  </si>
  <si>
    <t>Ignition</t>
  </si>
  <si>
    <t>Explosion</t>
  </si>
  <si>
    <t>Total Volume (Unintentional Release)</t>
  </si>
  <si>
    <t>Total Property Damage</t>
  </si>
  <si>
    <t>in thousand cubic feet (Mcf)</t>
  </si>
  <si>
    <t>in million cubic feet (MMcf)</t>
  </si>
  <si>
    <t>Causes</t>
  </si>
  <si>
    <t>Total Volume (Intentional Release)</t>
  </si>
  <si>
    <t>Equipment Failure</t>
  </si>
  <si>
    <t>Corrosion</t>
  </si>
  <si>
    <t>Material Failure of Pipe or Weld</t>
  </si>
  <si>
    <t>Other Accident Cause</t>
  </si>
  <si>
    <t>Report Status</t>
  </si>
  <si>
    <t>Natural Force Damage</t>
  </si>
  <si>
    <t>Original</t>
  </si>
  <si>
    <t>Excavation Damage</t>
  </si>
  <si>
    <t>Original Final</t>
  </si>
  <si>
    <t>Incorrect Operation</t>
  </si>
  <si>
    <t>Supplemental</t>
  </si>
  <si>
    <t>Other Outside Force Damage</t>
  </si>
  <si>
    <t>Supplemental Final</t>
  </si>
  <si>
    <t>REPORT_RECEIVED_DATE</t>
  </si>
  <si>
    <t>IYEAR</t>
  </si>
  <si>
    <t>REPORT_NUMBER</t>
  </si>
  <si>
    <t>SUPPLEMENTAL_NUMBER</t>
  </si>
  <si>
    <t>REPORT_TYPE</t>
  </si>
  <si>
    <t>OPERATOR_ID</t>
  </si>
  <si>
    <t>NAME</t>
  </si>
  <si>
    <t>OPERATOR_STREET_ADDRESS</t>
  </si>
  <si>
    <t>OPERATOR_CITY_NAME</t>
  </si>
  <si>
    <t>OPERATOR_STATE_ABBREVIATION</t>
  </si>
  <si>
    <t>OPERATOR_POSTAL_CODE</t>
  </si>
  <si>
    <t>LOCAL_DATETIME</t>
  </si>
  <si>
    <t>TIME_ZONE</t>
  </si>
  <si>
    <t>DAYLIGHT_SAVINGS_IND</t>
  </si>
  <si>
    <t>LOCATION_LATITUDE</t>
  </si>
  <si>
    <t>LOCATION_LONGITUDE</t>
  </si>
  <si>
    <t>NRC_RPT_NUM</t>
  </si>
  <si>
    <t>NRC_RPT_DATETIME</t>
  </si>
  <si>
    <t>ADDITIONAL_NRC_REPORT_NUMBERS</t>
  </si>
  <si>
    <t>COMMODITY_RELEASED_TYPE</t>
  </si>
  <si>
    <t>COMMODITY_DETAILS</t>
  </si>
  <si>
    <t>UNINTENTIONAL_RELEASE</t>
  </si>
  <si>
    <t>INTENTIONAL_RELEASE</t>
  </si>
  <si>
    <t>ACCOMPANYING_LIQUID</t>
  </si>
  <si>
    <t>FATALITY_IND</t>
  </si>
  <si>
    <t>NUM_EMP_FATALITIES</t>
  </si>
  <si>
    <t>NUM_CONTR_FATALITIES</t>
  </si>
  <si>
    <t>NUM_ER_FATALITIES</t>
  </si>
  <si>
    <t>NUM_WORKER_FATALITIES</t>
  </si>
  <si>
    <t>NUM_GP_FATALITIES</t>
  </si>
  <si>
    <t>FATAL</t>
  </si>
  <si>
    <t>INJURY_IND</t>
  </si>
  <si>
    <t>NUM_EMP_INJURIES</t>
  </si>
  <si>
    <t>NUM_CONTR_INJURIES</t>
  </si>
  <si>
    <t>NUM_ER_INJURIES</t>
  </si>
  <si>
    <t>NUM_WORKER_INJURIES</t>
  </si>
  <si>
    <t>NUM_GP_INJURIES</t>
  </si>
  <si>
    <t>INJURE</t>
  </si>
  <si>
    <t>STATUS_WHEN_IDENTIFIED</t>
  </si>
  <si>
    <t>SHUTDOWN_DUE_ACCIDENT_IND</t>
  </si>
  <si>
    <t>SHUTDOWN_EXPLAIN</t>
  </si>
  <si>
    <t>SHUTDOWN_DATETIME</t>
  </si>
  <si>
    <t>RESTART_DATETIME</t>
  </si>
  <si>
    <t>STILL_SHUTDOWN_IND</t>
  </si>
  <si>
    <t>COMMUNICATION_STATE_FED_IND</t>
  </si>
  <si>
    <t>PARTY_INITIATED_COMMUNICATION</t>
  </si>
  <si>
    <t>INITIAL_RESPONDER_COM_DATETIME</t>
  </si>
  <si>
    <t>IGNITE_IND</t>
  </si>
  <si>
    <t>IGNITE_DATETIME</t>
  </si>
  <si>
    <t>HOW_EXTINGUISHED</t>
  </si>
  <si>
    <t>HOW_EXTINGUISHED_OTHER_DETAIL</t>
  </si>
  <si>
    <t>GAS_CONSUMED_BY_FIRE_IN_MCF</t>
  </si>
  <si>
    <t>EXPLODE_IND</t>
  </si>
  <si>
    <t>UPSTREAM_ACTION_TAKEN</t>
  </si>
  <si>
    <t>UPSTREAM_OPRTNL_CNTRL_DETAIL</t>
  </si>
  <si>
    <t>UPSTREAM_VALVE_CLOSE_DATETIME</t>
  </si>
  <si>
    <t>DOWNSTREAM_ACTION_TAKEN</t>
  </si>
  <si>
    <t>DOWNSTREAM_OPRTNL_CNTRL_DETAIL</t>
  </si>
  <si>
    <t>DOWNSTREAM_VLV_CLOSE_DATETIME</t>
  </si>
  <si>
    <t>NUM_PUB_EVACUATED</t>
  </si>
  <si>
    <t>INCIDENT_IDENTIFIED_DATETIME</t>
  </si>
  <si>
    <t>ON_SITE_DATETIME</t>
  </si>
  <si>
    <t>CONFIRMED_DISCOVERY_DATETIME</t>
  </si>
  <si>
    <t>ON_OFF_SHORE</t>
  </si>
  <si>
    <t>ONSHORE_STATE_ABBREVIATION</t>
  </si>
  <si>
    <t>ONSHORE_POSTAL_CODE</t>
  </si>
  <si>
    <t>ONSHORE_CITY_NAME</t>
  </si>
  <si>
    <t>ONSHORE_COUNTY_NAME</t>
  </si>
  <si>
    <t>DESIGNATED_LOCATION</t>
  </si>
  <si>
    <t>DESIGNATED_NAME</t>
  </si>
  <si>
    <t>PIPE_FAC_NAME</t>
  </si>
  <si>
    <t>SEGMENT_NAME</t>
  </si>
  <si>
    <t>FEDERAL</t>
  </si>
  <si>
    <t>LOCATION_TYPE</t>
  </si>
  <si>
    <t>INCIDENT_AREA_TYPE</t>
  </si>
  <si>
    <t>INCIDENT_AREA_SUBTYPE</t>
  </si>
  <si>
    <t>INCIDENT_AREA_DETAILS</t>
  </si>
  <si>
    <t>DEPTH_OF_COVER</t>
  </si>
  <si>
    <t>OTHER_UNDERGROUND_FACILITIES</t>
  </si>
  <si>
    <t>CROSSING</t>
  </si>
  <si>
    <t>BRIDGE_CROSSING_IND</t>
  </si>
  <si>
    <t>BRIDGE_TYPE</t>
  </si>
  <si>
    <t>RAILROAD_CROSSING_IND</t>
  </si>
  <si>
    <t>RAILROAD_TYPE</t>
  </si>
  <si>
    <t>ROAD_CROSSING_IND</t>
  </si>
  <si>
    <t>ROAD_TYPE</t>
  </si>
  <si>
    <t>WATER_CROSSING_IND</t>
  </si>
  <si>
    <t>WATER_TYPE</t>
  </si>
  <si>
    <t>WATER_NAME</t>
  </si>
  <si>
    <t>WATER_DEPTH</t>
  </si>
  <si>
    <t>WATER_SUBTYPE</t>
  </si>
  <si>
    <t>CROSSING_100_FEET</t>
  </si>
  <si>
    <t>OFF_WATER_DEPTH</t>
  </si>
  <si>
    <t>OFF_ACCIDENT_ORIGIN</t>
  </si>
  <si>
    <t>OFFSHORE_STATE_ABBREVIATION</t>
  </si>
  <si>
    <t>OFF_INSTATE_AREA</t>
  </si>
  <si>
    <t>OFF_INSTATE_BLOCK</t>
  </si>
  <si>
    <t>OFFSHORE_COUNTY_NAME</t>
  </si>
  <si>
    <t>OCS_TYPE</t>
  </si>
  <si>
    <t>OFF_OCS_AREA</t>
  </si>
  <si>
    <t>OFF_OCS_BLOCK</t>
  </si>
  <si>
    <t>OFF_AREA_ACCIDENT_TYPE</t>
  </si>
  <si>
    <t>PIPE_FACILITY_TYPE</t>
  </si>
  <si>
    <t>SYSTEM_PART_INVOLVED</t>
  </si>
  <si>
    <t>ITEM_INVOLVED</t>
  </si>
  <si>
    <t>PIPE_TYPE</t>
  </si>
  <si>
    <t>PIPE_DIAMETER</t>
  </si>
  <si>
    <t>PUDDLE_WELD_IND</t>
  </si>
  <si>
    <t>PIPE_WALL_THICKNESS</t>
  </si>
  <si>
    <t>PIPE_SMYS</t>
  </si>
  <si>
    <t>PIPE_SPECIFICATION</t>
  </si>
  <si>
    <t>PIPE_SEAM_TYPE</t>
  </si>
  <si>
    <t>PIPE_SEAM_DETAILS</t>
  </si>
  <si>
    <t>PIPE_MANUFACTURER</t>
  </si>
  <si>
    <t>PIPE_COATING_TYPE</t>
  </si>
  <si>
    <t>PIPE_COATING_DETAILS</t>
  </si>
  <si>
    <t>COATING_APPLIED_IND</t>
  </si>
  <si>
    <t>PLASTIC_TYPE</t>
  </si>
  <si>
    <t>PLASTIC_DETAILS</t>
  </si>
  <si>
    <t>PLASTIC_SDR</t>
  </si>
  <si>
    <t>WT_PLASTIC</t>
  </si>
  <si>
    <t>WT_PLASTIC_UNKNOWN_IND</t>
  </si>
  <si>
    <t>MATERIAL_PE_PIPE_CODE</t>
  </si>
  <si>
    <t>PLASTIC_PE_UNKNOWN_IND</t>
  </si>
  <si>
    <t>WELD_SUBTYPE</t>
  </si>
  <si>
    <t>WELD_DETAILS</t>
  </si>
  <si>
    <t>DIFFERENT_GIRTH_WELD_IND</t>
  </si>
  <si>
    <t>DIFF_GIRTH_WELD_WALL_THICKNESS</t>
  </si>
  <si>
    <t>DIFF_GIRTH_WELD_SMYS</t>
  </si>
  <si>
    <t>DIFF_GIRTH_WELD_SPECIFICATION</t>
  </si>
  <si>
    <t>DIFF_GIRTH_WELD_SEAM_TYPE</t>
  </si>
  <si>
    <t>DIFF_GIRTH_WELD_SEAM_DETAIL</t>
  </si>
  <si>
    <t>DIFF_GIRTH_WELD_MANUFACTURER</t>
  </si>
  <si>
    <t>DIFF_GIRTH_WELD_COATING_TYPE</t>
  </si>
  <si>
    <t>DIFF_GIRTH_WELD_COATING_DETAIL</t>
  </si>
  <si>
    <t>DIFF_GIRTH_WELD_CTNG_APPLD_IND</t>
  </si>
  <si>
    <t>VALVE_TYPE</t>
  </si>
  <si>
    <t>VALVE_MAINLINE_TYPE</t>
  </si>
  <si>
    <t>VALVE_MAINLINE_DETAILS</t>
  </si>
  <si>
    <t>VALVE_MANUFACTURER</t>
  </si>
  <si>
    <t>TUBING_MATERIAL</t>
  </si>
  <si>
    <t>TUBING_TYPE</t>
  </si>
  <si>
    <t>ITEM_INVOLVED_DETAILS</t>
  </si>
  <si>
    <t>INSTALLATION_YEAR</t>
  </si>
  <si>
    <t>MANUFACTURED_YEAR</t>
  </si>
  <si>
    <t>MATERIAL_INVOLVED</t>
  </si>
  <si>
    <t>MATERIAL_DETAILS</t>
  </si>
  <si>
    <t>RELEASE_TYPE</t>
  </si>
  <si>
    <t>PUNCTURE_AXIAL</t>
  </si>
  <si>
    <t>PUNCTURE_CIRCUM</t>
  </si>
  <si>
    <t>LEAK_TYPE</t>
  </si>
  <si>
    <t>LEAK_TYPE_OTHER</t>
  </si>
  <si>
    <t>RUPTURE_ORIENT</t>
  </si>
  <si>
    <t>RUPTURE_DETAILS</t>
  </si>
  <si>
    <t>RUPTURE_LENGTH</t>
  </si>
  <si>
    <t>RUPTURE_WIDTH</t>
  </si>
  <si>
    <t>RELEASE_TYPE_DETAILS</t>
  </si>
  <si>
    <t>CLASS_LOCATION_TYPE</t>
  </si>
  <si>
    <t>COULD_BE_HCA</t>
  </si>
  <si>
    <t>DETERMINATION_METHOD</t>
  </si>
  <si>
    <t>PIR_RADIUS</t>
  </si>
  <si>
    <t>NOT_FLAMMABLE_IND</t>
  </si>
  <si>
    <t>HEAT_DAMAGE_IND</t>
  </si>
  <si>
    <t>NON_HEAT_DAMAGE_IND</t>
  </si>
  <si>
    <t>HCA_FATALITIES_IND</t>
  </si>
  <si>
    <t>FATAL_INJURE_CAUSE</t>
  </si>
  <si>
    <t>DID_OCCUR_IN_MCA_IND</t>
  </si>
  <si>
    <t>MCA_BUILDNG_HUMAN_OCCUPY_IND</t>
  </si>
  <si>
    <t>MCA_PAVED_SURFACE_FREEWAY_IND</t>
  </si>
  <si>
    <t>EST_COST_OPER_PAID</t>
  </si>
  <si>
    <t>EST_COST_UNINTENTIONAL_RELEASE</t>
  </si>
  <si>
    <t>EST_COST_INTENTIONAL_RELEASE</t>
  </si>
  <si>
    <t>EST_COST_PROP_DAMAGE</t>
  </si>
  <si>
    <t>EST_COST_EMERGENCY</t>
  </si>
  <si>
    <t>EST_COST_OTHER</t>
  </si>
  <si>
    <t>EST_COST_OTHER_DETAILS</t>
  </si>
  <si>
    <t>GAS_COST_IN_MCF</t>
  </si>
  <si>
    <t>PRPTY</t>
  </si>
  <si>
    <t>NUM_PERSONS_HOSP_NOT_OVNGHT</t>
  </si>
  <si>
    <t>NUM_INJURED_TREATED_BY_EMT</t>
  </si>
  <si>
    <t>NUM_RESIDENT_BUILDING_AFFCTD</t>
  </si>
  <si>
    <t>NUM_BUSINESS_BUILDING_AFFCTD</t>
  </si>
  <si>
    <t>WILDLIFE_IMPACT_IND</t>
  </si>
  <si>
    <t>FISH_AQUATIC_IMPACT_IND</t>
  </si>
  <si>
    <t>BIRDS_IMPACT_IND</t>
  </si>
  <si>
    <t>TERRESTRIAL_IMPACT_IND</t>
  </si>
  <si>
    <t>ACCIDENT_PSIG</t>
  </si>
  <si>
    <t>GAS_FLOW_IN_PIPE_IN_MCF</t>
  </si>
  <si>
    <t>MOP_PSIG</t>
  </si>
  <si>
    <t>MOP_CFR_SECTION</t>
  </si>
  <si>
    <t>MOP_CFR_SECTION_DETAILS</t>
  </si>
  <si>
    <t>MAOP_ESTABLISHED_DATE</t>
  </si>
  <si>
    <t>MAOP_REVERSAL_FLOW_IND</t>
  </si>
  <si>
    <t>ACCIDENT_PRESSURE</t>
  </si>
  <si>
    <t>PRESSURE_RESTRICTION_IND</t>
  </si>
  <si>
    <t>EXCEED_RESTRICTION_IND</t>
  </si>
  <si>
    <t>PHMSA_RESTRICTION_IND</t>
  </si>
  <si>
    <t>GAS_REQUIRED_ODORIZED_IND</t>
  </si>
  <si>
    <t>GAS_ODORIZED_IND</t>
  </si>
  <si>
    <t>UPSTREAM_VALVE_TYPE_IND</t>
  </si>
  <si>
    <t>DOWNSTREAM_VALVE_TYPE_IND</t>
  </si>
  <si>
    <t>LENGTH_SEGMENT_ISOLATED</t>
  </si>
  <si>
    <t>INTERNAL_INSPECTION_IND</t>
  </si>
  <si>
    <t>DIAMETER_CHANGE_IND</t>
  </si>
  <si>
    <t>UNSUITABLE_MAINLINE_IND</t>
  </si>
  <si>
    <t>TIGHT_MITERED_IND</t>
  </si>
  <si>
    <t>OTHER_RESTRICTIONS_IND</t>
  </si>
  <si>
    <t>EXTRA_THICK_WALL_IND</t>
  </si>
  <si>
    <t>OTHER_INSPECTION_IND</t>
  </si>
  <si>
    <t>INTERNAL_INSPECTION_DETAILS</t>
  </si>
  <si>
    <t>OPERATION_COMPLICATIONS_IND</t>
  </si>
  <si>
    <t>EXCESSIVE_DEBRIS_IND</t>
  </si>
  <si>
    <t>LOW_OP_PRESSURE_IND</t>
  </si>
  <si>
    <t>LOW_FLOW_IND</t>
  </si>
  <si>
    <t>INCOMPAT_COMMOD_IND</t>
  </si>
  <si>
    <t>OTHER_COMPLICATIONS_IND</t>
  </si>
  <si>
    <t>INSPECT_COMP_DETAILS</t>
  </si>
  <si>
    <t>PIPELINE_FUNCTION</t>
  </si>
  <si>
    <t>SCADA_IN_PLACE_IND</t>
  </si>
  <si>
    <t>SCADA_OPERATING_IND</t>
  </si>
  <si>
    <t>SCADA_FUNCTIONAL_IND</t>
  </si>
  <si>
    <t>SCADA_DETECTION_IND</t>
  </si>
  <si>
    <t>SCADA_CONF_IND</t>
  </si>
  <si>
    <t>ACCIDENT_IDENTIFIER</t>
  </si>
  <si>
    <t>ACCIDENT_DETAILS</t>
  </si>
  <si>
    <t>OPERATOR_TYPE</t>
  </si>
  <si>
    <t>INVESTIGATION_STATUS</t>
  </si>
  <si>
    <t>INVESTIGATION_STATUS_DETAILS</t>
  </si>
  <si>
    <t>INVEST_SCHEDULE_IND</t>
  </si>
  <si>
    <t>INVEST_NO_SCHEDULE_IND</t>
  </si>
  <si>
    <t>INVEST_NO_SCHEDULE_IND_DETAILS</t>
  </si>
  <si>
    <t>INVEST_NO_CONTROL_ROOM_IND</t>
  </si>
  <si>
    <t>INVEST_NO_CONTROLLER_IND</t>
  </si>
  <si>
    <t>INVEST_INCORRECT_ACTION_IND</t>
  </si>
  <si>
    <t>INVEST_FATIGUE_IND</t>
  </si>
  <si>
    <t>INVEST_INCORRECT_PROCEDURE_IND</t>
  </si>
  <si>
    <t>INVEST_INCORRECT_CONTROL_IND</t>
  </si>
  <si>
    <t>INVEST_MAINT_IND</t>
  </si>
  <si>
    <t>INVEST_OTHER_IND</t>
  </si>
  <si>
    <t>INVEST_OTHER_IND_DETAILS</t>
  </si>
  <si>
    <t>EMPLOYEE_DRUG_TEST_IND</t>
  </si>
  <si>
    <t>CONTRACTOR_DRUG_TEST_IND</t>
  </si>
  <si>
    <t>NUM_EMPLOYEES_TESTED</t>
  </si>
  <si>
    <t>NUM_EMPLOYEES_FAILED</t>
  </si>
  <si>
    <t>NUM_CONTRACTORS_TESTED</t>
  </si>
  <si>
    <t>NUM_CONTRACTORS_FAILED</t>
  </si>
  <si>
    <t>CAUSE</t>
  </si>
  <si>
    <t>CAUSE_DETAILS</t>
  </si>
  <si>
    <t>INTERNAL_EXTERNAL</t>
  </si>
  <si>
    <t>VISUAL_EXAM_RESULTS</t>
  </si>
  <si>
    <t>VISUAL_EXAM_DETAILS</t>
  </si>
  <si>
    <t>GALVANIC_CORROSION_IND</t>
  </si>
  <si>
    <t>ATMOSPHERE_CORROSION_IND</t>
  </si>
  <si>
    <t>STRAY_CURRENT_CORROSION_IND</t>
  </si>
  <si>
    <t>MICROBIOLOGICAL_CORROSION_IND</t>
  </si>
  <si>
    <t>SELECTIVE_SEAM_CORROSION_IND</t>
  </si>
  <si>
    <t>OTHER_CORROSION_IND</t>
  </si>
  <si>
    <t>CORROSION_TYPE_DETAILS</t>
  </si>
  <si>
    <t>STRAY_CURRENT_TYPE</t>
  </si>
  <si>
    <t>STRAY_CURRENT_DETAILS</t>
  </si>
  <si>
    <t>FIELD_EXAM_BASIS_IND</t>
  </si>
  <si>
    <t>METALLURGICAL_BASIS_IND</t>
  </si>
  <si>
    <t>OTHER_BASIS_IND</t>
  </si>
  <si>
    <t>CORROSION_BASIS_DETAILS</t>
  </si>
  <si>
    <t>UNDERGROUND_LOCATION</t>
  </si>
  <si>
    <t>UNDER_CATHODIC_PROTECTION_IND</t>
  </si>
  <si>
    <t>CATHODIC_PRO_START_YEAR</t>
  </si>
  <si>
    <t>SHIELDING_EVIDENT</t>
  </si>
  <si>
    <t>CATHODIC_SURVEY_TYPE</t>
  </si>
  <si>
    <t>CP_ANNUAL_SURVEY_IND</t>
  </si>
  <si>
    <t>CLOSE_INTERVAL_SURVEY_IND</t>
  </si>
  <si>
    <t>OTHER_CP_SURVEY_IND</t>
  </si>
  <si>
    <t>OTHER_CP_SURVEY_DETAILS</t>
  </si>
  <si>
    <t>CP_ANNUAL_SURVEY_YEAR</t>
  </si>
  <si>
    <t>CLOSE_INTERVAL_SURVEY_YEAR</t>
  </si>
  <si>
    <t>OTHER_CP_SURVEY_YEAR</t>
  </si>
  <si>
    <t>EXTERNALLY_COATED</t>
  </si>
  <si>
    <t>PRIOR_DAMAGE</t>
  </si>
  <si>
    <t>INT_VISUAL_EXAM_RESULTS</t>
  </si>
  <si>
    <t>INT_VISUAL_EXAM_DETAILS</t>
  </si>
  <si>
    <t>INT_CORROSIVE_COMMODITY_IND</t>
  </si>
  <si>
    <t>INT_WATER_ACID_IND</t>
  </si>
  <si>
    <t>INT_MICROBIOLOGICAL_IND</t>
  </si>
  <si>
    <t>INT_EROSION_IND</t>
  </si>
  <si>
    <t>INT_OTHER_CORROSION_IND</t>
  </si>
  <si>
    <t>INT_CORROSION_TYPE_DETAILS</t>
  </si>
  <si>
    <t>INT_FIELD_EXAM_BASIS_IND</t>
  </si>
  <si>
    <t>INT_METALLURGICAL_BASIS_IND</t>
  </si>
  <si>
    <t>INT_OTHER_BASIS_IND</t>
  </si>
  <si>
    <t>INT_CORROSION_BASIS_DETAILS</t>
  </si>
  <si>
    <t>INT_LOW_POINT_PIPE_LOC_IND</t>
  </si>
  <si>
    <t>INT_ELBOW_LOC_IND</t>
  </si>
  <si>
    <t>INT_DROP_OUT_LOC_IND</t>
  </si>
  <si>
    <t>INT_DEAD_LEG_LOC_IND</t>
  </si>
  <si>
    <t>INT_OTHER_LOC_IND</t>
  </si>
  <si>
    <t>CORROSION_LOCATION_DETAILS</t>
  </si>
  <si>
    <t>CORROSION_INHIBITORS</t>
  </si>
  <si>
    <t>CORROSION_LINING</t>
  </si>
  <si>
    <t>CLEANING_DEWATERING</t>
  </si>
  <si>
    <t>CORROSION_COUPONS</t>
  </si>
  <si>
    <t>NATURAL_FORCE_TYPE</t>
  </si>
  <si>
    <t>EARTH_SUBTYPE</t>
  </si>
  <si>
    <t>HEAVY_RAINS_SUBTYPE</t>
  </si>
  <si>
    <t>LIGHTNING_SUBTYPE</t>
  </si>
  <si>
    <t>TEMPERATURE_SUBTYPE</t>
  </si>
  <si>
    <t>NF_OTHER_DETAILS</t>
  </si>
  <si>
    <t>NF_EXTREME_WEATHER_IND</t>
  </si>
  <si>
    <t>NF_HURRICANE_IND</t>
  </si>
  <si>
    <t>NF_TROPICAL_STORM_IND</t>
  </si>
  <si>
    <t>NF_TORNADO_IND</t>
  </si>
  <si>
    <t>NF_OTHER_IND</t>
  </si>
  <si>
    <t>NF_EXTREME_WEATHER_DETAILS</t>
  </si>
  <si>
    <t>EX_PARTY_TYPE</t>
  </si>
  <si>
    <t>PRIOR_NOTIFICATION_IND</t>
  </si>
  <si>
    <t>ONE_CALL_SYSTEM_IND</t>
  </si>
  <si>
    <t>EXCAVATOR_IND</t>
  </si>
  <si>
    <t>CONTRACTOR_IND</t>
  </si>
  <si>
    <t>LANDOWNER_IND</t>
  </si>
  <si>
    <t>STATE_LAW_EXEMPT_IND</t>
  </si>
  <si>
    <t>STATE_LAW_EXEMPT_TYPE</t>
  </si>
  <si>
    <t>STATE_LAW_EXEMPT_DETAIL</t>
  </si>
  <si>
    <t>STATE_LAW_EXEMPT_AUTHORITY</t>
  </si>
  <si>
    <t>STATE_LAW_EXEMPT_CRITERIA</t>
  </si>
  <si>
    <t>NOTIFY_CGA_DIRT</t>
  </si>
  <si>
    <t>PUBLIC_ROW_IND</t>
  </si>
  <si>
    <t>PUBLIC_SUBTYPE</t>
  </si>
  <si>
    <t>PRIVATE_ROW_IND</t>
  </si>
  <si>
    <t>PRIVATE_SUBTYPE</t>
  </si>
  <si>
    <t>PIPELINE_EASEMENT_ROW_IND</t>
  </si>
  <si>
    <t>POWER_TRANSMISSION_ROW_IND</t>
  </si>
  <si>
    <t>RAILROAD_ROW_IND</t>
  </si>
  <si>
    <t>PUBLIC_UTIL_EASEMENT_ROW_IND</t>
  </si>
  <si>
    <t>FEDERAL_LAND_ROW_IND</t>
  </si>
  <si>
    <t>UNKNOWN_ROW_IND</t>
  </si>
  <si>
    <t>JOINT_TRENCH_IND</t>
  </si>
  <si>
    <t>CROSS_BORE_IND</t>
  </si>
  <si>
    <t>DEPTH_OF_GRADE</t>
  </si>
  <si>
    <t>DEPTH_OF_GRADE_DETAIL</t>
  </si>
  <si>
    <t>EXCAVATOR_TYPE</t>
  </si>
  <si>
    <t>EXCAVATOR_EQUIPMENT</t>
  </si>
  <si>
    <t>WORK_PERFORMED</t>
  </si>
  <si>
    <t>ONE_CALL_NOTIFIED_IND</t>
  </si>
  <si>
    <t>ONE_CALL_TICKET_NUM</t>
  </si>
  <si>
    <t>ONE_CALL_CENTER_NAME</t>
  </si>
  <si>
    <t>WHITE_LINED_IND</t>
  </si>
  <si>
    <t>LOCATOR_TYPE</t>
  </si>
  <si>
    <t>VISIBLE_MARKS</t>
  </si>
  <si>
    <t>SERVICE_INTERRUPTION</t>
  </si>
  <si>
    <t>SERVICE_INTERRUPTION_HOURS</t>
  </si>
  <si>
    <t>ROOT_CAUSE_CATEGORY</t>
  </si>
  <si>
    <t>ROOT_CAUSE_TYPE</t>
  </si>
  <si>
    <t>ROOT_CAUSE_TYPE_OTHER</t>
  </si>
  <si>
    <t>OUTSIDE_FORCE_TYPE</t>
  </si>
  <si>
    <t>VEHICLE_SUBTYPE</t>
  </si>
  <si>
    <t>OSF_HURRICANE_IND</t>
  </si>
  <si>
    <t>OSF_TROPICAL_STORM_IND</t>
  </si>
  <si>
    <t>OSF_TORNADO_IND</t>
  </si>
  <si>
    <t>OSF_HEAVY_RAINS_IND</t>
  </si>
  <si>
    <t>OSF_OTHER_WEATHER_IND</t>
  </si>
  <si>
    <t>OSF_OTHER_WEATHER_DETAILS</t>
  </si>
  <si>
    <t>INTENTIONAL_SUBTYPE</t>
  </si>
  <si>
    <t>INTENTIONAL_DETAILS</t>
  </si>
  <si>
    <t>OSF_OTHER_DETAILS</t>
  </si>
  <si>
    <t>DRIVER_ISSUED_CITATION_IND</t>
  </si>
  <si>
    <t>CITATION_SPEED_IND</t>
  </si>
  <si>
    <t>CITATION_RECKLESS_IND</t>
  </si>
  <si>
    <t>CITATION_DUI_IND</t>
  </si>
  <si>
    <t>CITATION_OTHER_IND</t>
  </si>
  <si>
    <t>CITATION_OTHER_DETAIL</t>
  </si>
  <si>
    <t>DRIVER_IN_CONTROL_IND</t>
  </si>
  <si>
    <t>ESTIMATED_SPEED</t>
  </si>
  <si>
    <t>ESTIMATED_SPEED_UNKNOWN_IND</t>
  </si>
  <si>
    <t>VEHICLE_TYPE</t>
  </si>
  <si>
    <t>VEHICLE_TRAVEL_FROM</t>
  </si>
  <si>
    <t>VEHICLE_TRAVEL_DISTANCE_FT</t>
  </si>
  <si>
    <t>PROTECTIONS_INSTALLED_IND</t>
  </si>
  <si>
    <t>PROTECTION_BOLLARDS_POST_IND</t>
  </si>
  <si>
    <t>PROTECTION_BARRICADES_IND</t>
  </si>
  <si>
    <t>PROTECTION_GUARD_RAILS_IND</t>
  </si>
  <si>
    <t>PROTECTION_OTHER_IND</t>
  </si>
  <si>
    <t>PROTECTION_OTHER_DETAIL</t>
  </si>
  <si>
    <t>PWJF_FAILURE_TYPE</t>
  </si>
  <si>
    <t>FIELD_EXAM_IND</t>
  </si>
  <si>
    <t>METALLURGICAL_IND</t>
  </si>
  <si>
    <t>OTHER_ANALYSIS_IND</t>
  </si>
  <si>
    <t>OTHER_ANALYSIS_DETAILS</t>
  </si>
  <si>
    <t>STILL_UNDER_INVEST_IND</t>
  </si>
  <si>
    <t>FATIGUE_VIBR_RELATED</t>
  </si>
  <si>
    <t>FAILURE_SUBTYPE</t>
  </si>
  <si>
    <t>FATIGUE_VIBR_RELATED_OTHER</t>
  </si>
  <si>
    <t>MECHANICAL_STRESS</t>
  </si>
  <si>
    <t>OTHER_FACTOR</t>
  </si>
  <si>
    <t>OTHER_FACTOR_DETAILS</t>
  </si>
  <si>
    <t>STRESS_SUBTYPE</t>
  </si>
  <si>
    <t>STRESS_DETAILS</t>
  </si>
  <si>
    <t>ADDITIONAL_DENT_IND</t>
  </si>
  <si>
    <t>ADDITIONAL_GOUGE_IND</t>
  </si>
  <si>
    <t>ADDITIONAL_PIPE_BEND_IND</t>
  </si>
  <si>
    <t>ADDITIONAL_ARC_BURN_IND</t>
  </si>
  <si>
    <t>ADDITIONAL_CRACK_IND</t>
  </si>
  <si>
    <t>ADDITIONAL_LACK_FUSION_IND</t>
  </si>
  <si>
    <t>ADDITIONAL_LAMINATION_IND</t>
  </si>
  <si>
    <t>ADDITIONAL_BUCKLE_IND</t>
  </si>
  <si>
    <t>ADDITIONAL_WRINKLE_IND</t>
  </si>
  <si>
    <t>PWF_ADDITIONAL_MISALIGN_IND</t>
  </si>
  <si>
    <t>ADDITIONAL_BURNT_STEEL_IND</t>
  </si>
  <si>
    <t>PWF_ADDITIONAL_OTHER_IND</t>
  </si>
  <si>
    <t>ADDITIONAL_OTHER_DETAILS</t>
  </si>
  <si>
    <t>POST_CONSTR_PRESSURE_TEST_VAL</t>
  </si>
  <si>
    <t>EQ_FAILURE_TYPE</t>
  </si>
  <si>
    <t>CONTROL_VALVE_IND</t>
  </si>
  <si>
    <t>INSTRUMENTATION_IND</t>
  </si>
  <si>
    <t>SCADA_IND</t>
  </si>
  <si>
    <t>COMMUNICATIONS_IND</t>
  </si>
  <si>
    <t>BLOCK_VALVE_IND</t>
  </si>
  <si>
    <t>CHECK_VALVE_IND</t>
  </si>
  <si>
    <t>RELIEF_VALVE_IND</t>
  </si>
  <si>
    <t>POWER_FAILURE_IND</t>
  </si>
  <si>
    <t>STOPPLE_CONTROL_FITTING_IND</t>
  </si>
  <si>
    <t>PRESSURE_REGULATOR_IND</t>
  </si>
  <si>
    <t>ESD_SYSTEM_FAILURE_IND</t>
  </si>
  <si>
    <t>OTHER_CONTROL_RELIEF_IND</t>
  </si>
  <si>
    <t>OTHER_CONTROL_RELIEF_DETAILS</t>
  </si>
  <si>
    <t>OTHER_COMPRESSOR_IND</t>
  </si>
  <si>
    <t>OTHER_COMPRESSOR_DETAILS</t>
  </si>
  <si>
    <t>OTHER_STRIPPED_IND</t>
  </si>
  <si>
    <t>OTHER_STRIPPED_DETAILS</t>
  </si>
  <si>
    <t>OTHER_NON_THREADED_IND</t>
  </si>
  <si>
    <t>OTHER_NON_THREADED_DETAILS</t>
  </si>
  <si>
    <t>EQ_FAILURE_DETAILS</t>
  </si>
  <si>
    <t>ADDITIONAL_VIBRATION_IND</t>
  </si>
  <si>
    <t>ADDITIONAL_OVERPRESSURE_IND</t>
  </si>
  <si>
    <t>ADDITIONAL_SUPPORT_IND</t>
  </si>
  <si>
    <t>ADDITIONAL_DEFECT_IND</t>
  </si>
  <si>
    <t>ADDITIONAL_ELECTRICITY_IND</t>
  </si>
  <si>
    <t>ADDITIONAL_INSTALLATION_IND</t>
  </si>
  <si>
    <t>ADDITIONAL_IMPROPER_MNTNCE_IND</t>
  </si>
  <si>
    <t>ADDITIONAL_MISMATCH_IND</t>
  </si>
  <si>
    <t>ADDITIONAL_DISSIMILAR_IND</t>
  </si>
  <si>
    <t>ADDITIONAL_BREAKDOWN_IND</t>
  </si>
  <si>
    <t>ADDITIONAL_VALVE_IND</t>
  </si>
  <si>
    <t>ADDITIONAL_ALARM_IND</t>
  </si>
  <si>
    <t>EQ_ADDITIONAL_MISALIGN_IND</t>
  </si>
  <si>
    <t>EQ_ADDITIONAL_THERMAL_IND</t>
  </si>
  <si>
    <t>ADDITIONAL_EROSION_WEAR_IND</t>
  </si>
  <si>
    <t>EQ_ADDITIONAL_OTHER_IND</t>
  </si>
  <si>
    <t>EQ_ADDITIONAL_OTHER_DETAILS</t>
  </si>
  <si>
    <t>OPERATION_TYPE</t>
  </si>
  <si>
    <t>OVERFLOW_OTHER_IND</t>
  </si>
  <si>
    <t>OVERFLOW_OTHER_DETAILS</t>
  </si>
  <si>
    <t>OPERATION_DETAILS</t>
  </si>
  <si>
    <t>RELATED_INADEQUATE_PROC_IND</t>
  </si>
  <si>
    <t>RELATED_NO_PROC_IND</t>
  </si>
  <si>
    <t>RELATED_FAILURE_FOLLOW_IND</t>
  </si>
  <si>
    <t>RELATED_OTHER_IND</t>
  </si>
  <si>
    <t>OPERATION_RELATED_DETAILS</t>
  </si>
  <si>
    <t>CATEGORY_TYPE</t>
  </si>
  <si>
    <t>OPERATOR_QUALIFICATION_IND</t>
  </si>
  <si>
    <t>QUALIFIED_INDIVIDUALS</t>
  </si>
  <si>
    <t>OTHER_TYPE</t>
  </si>
  <si>
    <t>MISC_DETAILS</t>
  </si>
  <si>
    <t>UNKNOWN_SUBTYPE</t>
  </si>
  <si>
    <t>INCIDENT_UNKNOWN_COMMENTS</t>
  </si>
  <si>
    <t>COLLECTED_DATA_IND</t>
  </si>
  <si>
    <t>AXIAL_MAGNETIC_FLX_LKG_IND</t>
  </si>
  <si>
    <t>CIR_TRN_WAVE_MGN_FLX_LKG_IND</t>
  </si>
  <si>
    <t>ULTRASONIC_IND</t>
  </si>
  <si>
    <t>GEOMETRY_DEFORMATION_IND</t>
  </si>
  <si>
    <t>EMAT_IND</t>
  </si>
  <si>
    <t>CPCM_IND</t>
  </si>
  <si>
    <t>OTHER_TOOL_TECH_IND</t>
  </si>
  <si>
    <t>AXIAL_RECENT_YEAR</t>
  </si>
  <si>
    <t>AXIAL_RCNT_PROPUL_METHOD</t>
  </si>
  <si>
    <t>AXIAL_RCNT_ATTUNED_DETECT</t>
  </si>
  <si>
    <t>AXIAL_RCNT_ATND_DTCT_DTLS</t>
  </si>
  <si>
    <t>AXIAL_RCNT_ATND_DTCT_METAL</t>
  </si>
  <si>
    <t>AXIAL_RCNT_ATT_DT_METAL_DTLS</t>
  </si>
  <si>
    <t>AXIAL_PREVIOUS_YEAR</t>
  </si>
  <si>
    <t>AXIAL_PREV_PROPUL_METHOD</t>
  </si>
  <si>
    <t>AXIAL_PREV_ATTUNED_DETECT</t>
  </si>
  <si>
    <t>AXIAL_PREV_ATND_DTCT_DTLS</t>
  </si>
  <si>
    <t>AXIAL_PREV_ATND_DTCT_METAL</t>
  </si>
  <si>
    <t>AXIAL_PREV_ATT_DT_METAL_DTLS</t>
  </si>
  <si>
    <t>CIRC_WAVE_RECENT_YEAR</t>
  </si>
  <si>
    <t>CIRC_WV_RCNT_PROPUL_METHOD</t>
  </si>
  <si>
    <t>CIRC_WV_RCNT_RESOLUTION</t>
  </si>
  <si>
    <t>CIRC_WV_RCNT_RESOLUTION_DTLS</t>
  </si>
  <si>
    <t>CIRC_WV_PREVIOUS_YEAR</t>
  </si>
  <si>
    <t>CIRC_WV_PREV_PROPUL_METHOD</t>
  </si>
  <si>
    <t>CIRC_WV_PREV_RESOLUTION</t>
  </si>
  <si>
    <t>CIRC_WV_PREV_RESOLUTION_DTLS</t>
  </si>
  <si>
    <t>ULTRASONIC_RECENT_YEAR</t>
  </si>
  <si>
    <t>ULTRASONIC_RCNT_PROPUL_METHOD</t>
  </si>
  <si>
    <t>ULTRASONIC_RCNT_ATTUNED</t>
  </si>
  <si>
    <t>ULTRA_RCNT_ATTUNEDD_DTLS</t>
  </si>
  <si>
    <t>UTRA_RCNT_ATT_METL_RESOLUTION</t>
  </si>
  <si>
    <t>UTRA_RCNT_ATT_METL_RES_DTLS</t>
  </si>
  <si>
    <t>ULTR_PREVIOUS_YEAR</t>
  </si>
  <si>
    <t>ULTRA_PREV_PROPUL_METHOD</t>
  </si>
  <si>
    <t>ULTRA_PREV_ATTUNED</t>
  </si>
  <si>
    <t>ULTRA_PREV_ATTUNED_DTLS</t>
  </si>
  <si>
    <t>UTRA_PREV_ATT_METL_RESOLUTION</t>
  </si>
  <si>
    <t>UTRA_PREV_ATT_METL_RES_DTLS</t>
  </si>
  <si>
    <t>GEOMETRY_RECENT_YEAR</t>
  </si>
  <si>
    <t>GEOMETRY_RCNT_PROPUL_METHOD</t>
  </si>
  <si>
    <t>GEOMETRY_RCNT_RESOLUTION</t>
  </si>
  <si>
    <t>GEOMETRY_RCNT_RESOLUTION_DTLS</t>
  </si>
  <si>
    <t>GEOMETRT_RCNT_MEASUR_CUPS</t>
  </si>
  <si>
    <t>GEOMETRY_PREVIOUS_YEAR</t>
  </si>
  <si>
    <t>GEOMETRY_PREV_PROPUL_METHOD</t>
  </si>
  <si>
    <t>GEOMETRY_PREV_RESOLUTION</t>
  </si>
  <si>
    <t>GEOMETRY_PREV_RESOLUTION_DTLS</t>
  </si>
  <si>
    <t>GEOMETRT_PREV_MEASUR_CUPS</t>
  </si>
  <si>
    <t>EMAT_RECENT_YEAR</t>
  </si>
  <si>
    <t>EMAT_RCNT_PROPUL_METHOD</t>
  </si>
  <si>
    <t>EMAT_PREVIOUS_YEAR</t>
  </si>
  <si>
    <t>EMAT_PREV_PROPUL_METHOD</t>
  </si>
  <si>
    <t>CPCM_RECENT_YEAR</t>
  </si>
  <si>
    <t>CPCM_RCNT_PROPUL_METHOD</t>
  </si>
  <si>
    <t>CPCM_PREVIOUS_YEAR</t>
  </si>
  <si>
    <t>CPCM_PREV_PROPUL_METHOD</t>
  </si>
  <si>
    <t>OTHER_TOOL</t>
  </si>
  <si>
    <t>OTHER_RECENT_YEAR</t>
  </si>
  <si>
    <t>OTHER_RCNT_PROPUL_METHOD</t>
  </si>
  <si>
    <t>OTHER_PREVIOUS_YEAR</t>
  </si>
  <si>
    <t>OTHER_PREV_PROPUL_METHOD</t>
  </si>
  <si>
    <t>INSP_COMPL_BEFORE_DAMAGE_IND</t>
  </si>
  <si>
    <t>HAS_HYDRTST_CONDUC_BEFORE_IND</t>
  </si>
  <si>
    <t>HYDRTST_MOST_RCNT_YEAR</t>
  </si>
  <si>
    <t>HYDRTST_MOST_RCNT_PRESSURE</t>
  </si>
  <si>
    <t>DIRECT_ASMNT_CONDUCTED</t>
  </si>
  <si>
    <t>DIRECT_ASMNT_AT_PNT_ACCDNT_YR</t>
  </si>
  <si>
    <t>DIRECT_ASMNT_PNT_NOT_IDNTF_YR</t>
  </si>
  <si>
    <t>ASMNT_ECDA_RCNT_YEAR</t>
  </si>
  <si>
    <t>ASMNT_ICDA_RCNT_YEAR</t>
  </si>
  <si>
    <t>ASMNT_SCCDA_RCNT_YEAR</t>
  </si>
  <si>
    <t>ASMNT_CONFIRMATORY_RCNT_YEAR</t>
  </si>
  <si>
    <t>ASMNT_OTHER_TYPE</t>
  </si>
  <si>
    <t>ASMNT_OTHER_RCNT_YEAR</t>
  </si>
  <si>
    <t>ASMNT_ECDA_RCNT_IND</t>
  </si>
  <si>
    <t>ASMNT_ICDA_RCNT_IND</t>
  </si>
  <si>
    <t>ASMNT_SCCDA_RCNT_IND</t>
  </si>
  <si>
    <t>ASMNT_CONFIRMATORY_RCNT_IND</t>
  </si>
  <si>
    <t>ASMNT_OTHER_RCNT_IND</t>
  </si>
  <si>
    <t>NON_DESTRUCTIVE_EXAM_IND</t>
  </si>
  <si>
    <t>EXM_RADIOGRAPHY_RCNT_YEAR</t>
  </si>
  <si>
    <t>EXM_WAVE_ULTRASONIC_RCNT_YEAR</t>
  </si>
  <si>
    <t>EXM_HANDL_ULTRASONIC_RCNT_YEAR</t>
  </si>
  <si>
    <t>EXM_WET_MGNT_PARTCL_RCNT_YEAR</t>
  </si>
  <si>
    <t>EXM_DRY_MGNT_PARTCL_RCNT_YEAR</t>
  </si>
  <si>
    <t>EXM_OTHER_TYPE</t>
  </si>
  <si>
    <t>EXM_OTHER_RCNT_YEAR</t>
  </si>
  <si>
    <t>EXM_RADIOGRAPHY_RCNT_IND</t>
  </si>
  <si>
    <t>EXM_WAVE_ULTRASONIC_RCNT_IND</t>
  </si>
  <si>
    <t>EXM_HANDL_ULTRASONIC_RCNT_IND</t>
  </si>
  <si>
    <t>EXM_WET_MGNT_PARTCL_RCNT_IND</t>
  </si>
  <si>
    <t>EXM_DRY_MGNT_PARTCL_RCNT_IND</t>
  </si>
  <si>
    <t>EXM_OTHER_RCNT_IND</t>
  </si>
  <si>
    <t>EXTRNL_COR_GALVANIC_IND</t>
  </si>
  <si>
    <t>EXTRNL_COR_ATMOSPHERIC_IND</t>
  </si>
  <si>
    <t>EXTRNL_COR_STRAY_CURRENT_IND</t>
  </si>
  <si>
    <t>EXTRNL_COR_MICROBIOLOGIC_IND</t>
  </si>
  <si>
    <t>EXTRNL_COR_SELECTIVE_SEAM_IND</t>
  </si>
  <si>
    <t>INTRNL_COR_CORROSIVE_CMDTY_IND</t>
  </si>
  <si>
    <t>INTRNL_COR_WTR_DRPOUT_ACID_IND</t>
  </si>
  <si>
    <t>INTRNL_COR_MICROBIOLOGIC_IND</t>
  </si>
  <si>
    <t>INTRNL_COR_EROSION_IND</t>
  </si>
  <si>
    <t>NF_EARTH_MOVEMENT_IND</t>
  </si>
  <si>
    <t>NF_HEAVY_RAINS_IND</t>
  </si>
  <si>
    <t>NF_LIGHTNING_IND</t>
  </si>
  <si>
    <t>NF_TEMPERATURE_IND</t>
  </si>
  <si>
    <t>NF_HIGH_WINDS_IND</t>
  </si>
  <si>
    <t>NF_VEGITATION_ROOT_IND</t>
  </si>
  <si>
    <t>EXCVTN_DMG_OPERATOR_IND</t>
  </si>
  <si>
    <t>EXCVTN_DMG_OP_CONTRACTOR_IND</t>
  </si>
  <si>
    <t>EXCVTN_DMG_THIRD_PARTY_IND</t>
  </si>
  <si>
    <t>EXCVTN_DMG_PREVIOUS_DAMAGE_IND</t>
  </si>
  <si>
    <t>OSF_NEARBY_INDUSTRIAL_IND</t>
  </si>
  <si>
    <t>OSF_VEHICLE_IND</t>
  </si>
  <si>
    <t>OSF_BOAT_IND</t>
  </si>
  <si>
    <t>OSF_OTHER_MARITIME_IND</t>
  </si>
  <si>
    <t>OSF_ELECTRICAL_ARCING_IND</t>
  </si>
  <si>
    <t>OSF_PREVIOUS_MECHANICAL_IND</t>
  </si>
  <si>
    <t>OSF_INTENTIONAL_IND</t>
  </si>
  <si>
    <t>OSF_OTHER_UNDERGROUND_IND</t>
  </si>
  <si>
    <t>PWF_DESIGN_IND</t>
  </si>
  <si>
    <t>PWF_CONSTRUCTION_IND</t>
  </si>
  <si>
    <t>PWF_INSTALLATION_IND</t>
  </si>
  <si>
    <t>PWF_FABRICATION_IND</t>
  </si>
  <si>
    <t>PWF_MANUFACTURING_IND</t>
  </si>
  <si>
    <t>PWF_ENV_STRESS_CORROSION_IND</t>
  </si>
  <si>
    <t>PWF_ENV_SULFIDE_STRESS_IND</t>
  </si>
  <si>
    <t>PWF_ENV_HYDROGEN_STRESS_IND</t>
  </si>
  <si>
    <t>PWF_ENV_HARD_SPOT_IND</t>
  </si>
  <si>
    <t>EQF_CONTROL_RELEAF_IND</t>
  </si>
  <si>
    <t>EQF_COMPRESSOR_IND</t>
  </si>
  <si>
    <t>EQF_THREADED_COUPLING_IND</t>
  </si>
  <si>
    <t>EQF_NON_THREADED_IND</t>
  </si>
  <si>
    <t>EQF_DEFECTIVE_FITTING_IND</t>
  </si>
  <si>
    <t>EQF_EQUIPMENT_BODY_IND</t>
  </si>
  <si>
    <t>IO_DAMAGE_BY_OPERATOR_IND</t>
  </si>
  <si>
    <t>IO_VALVE_POSITION_IND</t>
  </si>
  <si>
    <t>IO_EQUIPMENT_OVERPRESSURE_IND</t>
  </si>
  <si>
    <t>IO_NOT_INSTALLED_PROPERLY_IND</t>
  </si>
  <si>
    <t>IO_WRONG_EQUIPMENT_IND</t>
  </si>
  <si>
    <t>IO_INADEQUATE_PROCEDURE_IND</t>
  </si>
  <si>
    <t>IO_NO_PROCEDURE_IND</t>
  </si>
  <si>
    <t>IO_FOLLOW_PROCEDURE_IND</t>
  </si>
  <si>
    <t>PREPARER_NAME</t>
  </si>
  <si>
    <t>PREPARER_TITLE</t>
  </si>
  <si>
    <t>PREPARER_EMAIL</t>
  </si>
  <si>
    <t>PREPARER_TELEPHONE</t>
  </si>
  <si>
    <t>PREPARER_FAX</t>
  </si>
  <si>
    <t>LOCAL_CONTACT_NAME</t>
  </si>
  <si>
    <t>LOCAL_CONTACT_EMAIL</t>
  </si>
  <si>
    <t>LOCAL_CONTACT_TELEPHONE</t>
  </si>
  <si>
    <t>AUTHORIZER_NAME</t>
  </si>
  <si>
    <t>AUTHORIZER_TITLE</t>
  </si>
  <si>
    <t>AUTHORIZER_TELEPHONE</t>
  </si>
  <si>
    <t>AUTHORIZER_EMAIL</t>
  </si>
  <si>
    <t>NARRATIVE</t>
  </si>
  <si>
    <t>ORIGINAL</t>
  </si>
  <si>
    <t>ENERGY TRANSFER COMPANY</t>
  </si>
  <si>
    <t>1300 MAIN STREET</t>
  </si>
  <si>
    <t>HOUSTON</t>
  </si>
  <si>
    <t>TX</t>
  </si>
  <si>
    <t>CENTRAL</t>
  </si>
  <si>
    <t>NO</t>
  </si>
  <si>
    <t>NATURAL GAS</t>
  </si>
  <si>
    <t>NORMAL OPERATION, INCLUDES PAUSES DURING MAINTENANCE</t>
  </si>
  <si>
    <t>YES</t>
  </si>
  <si>
    <t>OPERATOR</t>
  </si>
  <si>
    <t>LOCAL/STATE/FEDERAL EMERGENCY RESPONDER</t>
  </si>
  <si>
    <t>ONSHORE</t>
  </si>
  <si>
    <t>Not Within a Municipality</t>
  </si>
  <si>
    <t>REAGAN</t>
  </si>
  <si>
    <t>NOT APPLICABLE</t>
  </si>
  <si>
    <t>GARRISON DRAW COMPRESSOR STATION</t>
  </si>
  <si>
    <t>7406595 - SEQUITUR TO GARISON</t>
  </si>
  <si>
    <t>OPERATOR-CONTROLLED PROPERTY</t>
  </si>
  <si>
    <t>ABOVEGROUND</t>
  </si>
  <si>
    <t>TYPICAL ABOVEGROUND FACILITY PIPING OR APPURTENANCE</t>
  </si>
  <si>
    <t>INTRASTATE</t>
  </si>
  <si>
    <t>ONSHORE COMPRESSOR STATION EQUIPMENT AND PIPING</t>
  </si>
  <si>
    <t>COMPRESSOR</t>
  </si>
  <si>
    <t>CARBON STEEL</t>
  </si>
  <si>
    <t>LEAK</t>
  </si>
  <si>
    <t>SEAL OR PACKING</t>
  </si>
  <si>
    <t>CLASS 1 LOCATION</t>
  </si>
  <si>
    <t>192.619(A)(4)</t>
  </si>
  <si>
    <t>PRESSURE DID NOT EXCEED MAOP</t>
  </si>
  <si>
    <t>TYPE C GATHERING</t>
  </si>
  <si>
    <t>SCADA-BASED INFORMATION (SUCH AS ALARM(S), ALERT(S), EVENT(S), AND/OR VOLUME OR PACK CALCULATIONS)</t>
  </si>
  <si>
    <t>NO, THE FACILITY WAS NOT MONITORED BY A CONTROLLER(S) AT THE TIME OF THE INCIDENT</t>
  </si>
  <si>
    <t>OTHER INCIDENT CAUSE</t>
  </si>
  <si>
    <t>UNKNOWN</t>
  </si>
  <si>
    <t>STILL UNDER INVESTIGATION, CAUSE OF INCIDENT TO BE DETERMINED* (*SUPPLEMENTAL REPORT REQUIRED)</t>
  </si>
  <si>
    <t>TOBY PITTMAN</t>
  </si>
  <si>
    <t>toby.pittman@energytransfer.com</t>
  </si>
  <si>
    <t>432-265-6810</t>
  </si>
  <si>
    <t>JUSTIN DAVIDSON</t>
  </si>
  <si>
    <t>justin.davidson@energytransfer.com</t>
  </si>
  <si>
    <t>ON MAY 28, 2025, AT 8:22 P.M. AN ON-CALL PIPELINE TECH WITH ENERGY TRANSFER COMPANY (ETC) RECEIVED AN ALARM LOLO COMPRESSOR OIL INDICATING THAT THE COMPRESSOR, GARRISON DRAW UNIT 5 # 2777 USA COMPRESSOR WAS SHUT DOWN. AT ABOUT 8:30 P.M. WHILE ENROUTE TO THE COMPRESSOR STATION THE TECH WITNESSED A FIRE THAT WAS POSSIBLY LOCATED AT THE GARRISON DRAW COMPRESSOR STATION. THE TECH THEN NOTIFIED THE OPERATIONS SUPERVISOR, WHO THEN NOTIFIED THE FIRE DEPARTMENT. THEN THE TECH BEGAN SHUTTING IN METER RUN VALVES SENDING NATURAL GAS TO THE COMPRESSOR STATION. AT 8:40 P.M. THE PIPELINE TECH ARRIVED AT THE COMPRESSOR STATION AND CONFIRMED THE FIRE WAS ON ETC'S GARRISON DRAW UNIT 5. THE FIRE DEPARTMENT WAS ALREADY ON SCENE AT THAT TIME. THE PIPELINE TECH THEN ISOLATED GARRISON DRAW. THE FIRE WAS OUT AT 9:30 P.M. ON MAY 29, 2025, THE STATION WAS RETURNED TO SERVICE WITHOUT UNIT 5 AT 2:49 A.M. NRC NOTIFICATION WAS MADE AT 1:51 P.M. MAY 29, 2025. THE CAUSE OF THE FIRE IS STILL UNDER INVESTIGATION.</t>
  </si>
  <si>
    <t>CRESTWOOD MIDSTREAM PARTNERS LP</t>
  </si>
  <si>
    <t>LOVING</t>
  </si>
  <si>
    <t>WEST SLASH COMPRESSOR STATION</t>
  </si>
  <si>
    <t>TX5052G BRANCH 55-9</t>
  </si>
  <si>
    <t>OTHER</t>
  </si>
  <si>
    <t>UNDER INVESTIGATION</t>
  </si>
  <si>
    <t>LOCAL OPERATING PERSONNEL, INCLUDING CONTRACTORS</t>
  </si>
  <si>
    <t>OPERATOR EMPLOYEE</t>
  </si>
  <si>
    <t>ON MAY 25, 2025, AT 7:57 A.M., WHILE MAINTENANCE WAS BEING PERFORMED BY AN ENERGY TRANSFER COMPANY (ETC) EMPLOYEE AND A CONTRACT EMPLOYEE, THE WEST SLASH UNIT 2 COMPRESSOR, CAUGHT FIRE. THE ETC EMPLOYEE NOTIFIED THE OPERATIONS MANAGER WHO THEN NOTIFIED EMERGENCY SERVICES. THE EMPLOYEE AND CONTRACT EMPLOYEE ACTIVATED THE EMERGENCY SHUT DOWN SYSTEM (ESD) SUCCESSFULLY SHUTTING DOWN THE COMPRESSOR STATION. BOTH THE ETC EMPLOYEE AND CONTRACT EMPLOYEE WERE INJURED WHEN THE FIRE IGNITED. WHEN EMERGENCY SERVICES ARRIVED AT THE LOCATION THE TWO INJURED RECEIVED MEDICAL ATTENTION AND THE FIRE WAS EXTINGUISHED.     DUE TO THE EXTENT OF THE FIRE TO THE COMPRESSOR, THE COST OF REPAIRS ARE ESTIMATED TO EXCEED $145,400. THE CAUSE OF THE FIRE IS STILL UNDER INVESTIGATION.</t>
  </si>
  <si>
    <t>ORIGINAL FINAL</t>
  </si>
  <si>
    <t>SEA ROBIN PIPELINE CO</t>
  </si>
  <si>
    <t>1431515, 1431997</t>
  </si>
  <si>
    <t>VALVE CLOSURE</t>
  </si>
  <si>
    <t>OFFSHORE</t>
  </si>
  <si>
    <t>SEA ROBIN</t>
  </si>
  <si>
    <t>LINE 716-10-1</t>
  </si>
  <si>
    <t>ON THE OUTER CONTINENTAL SHELF (OCS)</t>
  </si>
  <si>
    <t>OCS-GULF OF AMERICA</t>
  </si>
  <si>
    <t>EUGENE ISLAND</t>
  </si>
  <si>
    <t>BELOW WATER, PIPE BURIED OR JETTED BELOW SEABED</t>
  </si>
  <si>
    <t>INTERSTATE</t>
  </si>
  <si>
    <t>OFFSHORE PIPELINE, INCLUDING RISER AND RISER BEND</t>
  </si>
  <si>
    <t>PIPE</t>
  </si>
  <si>
    <t>PIPE BODY</t>
  </si>
  <si>
    <t>API 5L X52</t>
  </si>
  <si>
    <t>MASTEC &amp; CONCRETE</t>
  </si>
  <si>
    <t>PINHOLE</t>
  </si>
  <si>
    <t>192.619(A)(1)</t>
  </si>
  <si>
    <t>MANUAL</t>
  </si>
  <si>
    <t>TRANSMISSION SYSTEM</t>
  </si>
  <si>
    <t>NOTIFIED BY PRODUCER</t>
  </si>
  <si>
    <t>NO, THE OPERATOR DID NOT FIND THAT AN INVESTIGATION OF THE CONTROLLER(S) ACTIONS OR CONTROL ROOM ISSUES WAS NECESSARY DUE TO: (PROVIDE AN EXPLANATION FOR WHY THE OPERATOR DID NOT INVESTIGATE)</t>
  </si>
  <si>
    <t>LEAK WAS TOO SMALL FOR SCADA TO DETECT</t>
  </si>
  <si>
    <t>CORROSION FAILURE</t>
  </si>
  <si>
    <t>INTERNAL CORROSION</t>
  </si>
  <si>
    <t>NOT CUT OPEN</t>
  </si>
  <si>
    <t>NOT APPLICABLE - NOT MAINLINE PIPE</t>
  </si>
  <si>
    <t>PEGGY WEST</t>
  </si>
  <si>
    <t>MANAGER DOT COMPLIANCE</t>
  </si>
  <si>
    <t>peggy.west@energytransfer.com</t>
  </si>
  <si>
    <t>AT APPROXIMATELY 1212 ON 05/17/25, OPERATIONS RECEIVED A NOTIFICATION FROM A 3RD PARTY REPORTING BUBBLES IN THE AREA NEAR THE SEA ROBIN 716-10-1 LATERAL IN EUGENE ISLAND 330 (EI 330).  AN OVERFLIGHT WAS CONDUCTED TO VERIFY THE LOCATION OF THE BUBBLES AND WAS CONFIRMED AT APPROXIMATELY 1430 ON 05/17/25.  NRC WAS CALLED REPORTING THE BUBBLES IN EI 331 (NRC#1431397, 48HR UPDATE#1431515).     THE PIPELINE WAS ISOLATED ON 05/17/25 AT 1437.  OVERFLIGHTS WERE CONDUCTED DAILY TO MONITOR THE AREA FOR ANY CHANGES AS WEATHER PERMITTED.    DUE TO DSV AVAILABILITY, THE REPAIR CONTRACTOR WAS NOT ABLE TO DEPLOY UNTIL 5/11/25.  THE LEAK WAS LOCATED AND A CLAMP WAS INSTALLED ON 5/24/25 AT 0650.  THE PIPELINE WAS RETURNED TO SERVICE AT APPROXIMATELY 1346 ON 05/24/25.     THE 48HR NRC NOTIFICATION WAS UPDATED ON 05/23/25 AT 1440 TO REFLECT THE CHANGE FROM UNKNOWN OWNER TO SEA ROBIN PIPELINE. (#1431997)</t>
  </si>
  <si>
    <t>SILVER</t>
  </si>
  <si>
    <t>COKE</t>
  </si>
  <si>
    <t>SURVEY STATION NO.</t>
  </si>
  <si>
    <t>49+96.5</t>
  </si>
  <si>
    <t>PERKINS 10'' HP TO FT CHADBOURNE</t>
  </si>
  <si>
    <t>PIPELINE RIGHT-OF-WAY</t>
  </si>
  <si>
    <t>UNDERGROUND</t>
  </si>
  <si>
    <t>UNDER SOIL</t>
  </si>
  <si>
    <t>ONSHORE PIPELINE, INCLUDING VALVE SITES</t>
  </si>
  <si>
    <t>LONGITUDINAL ERW - UNKNOWN FREQUENCY</t>
  </si>
  <si>
    <t>COAL TAR</t>
  </si>
  <si>
    <t>RUPTURE</t>
  </si>
  <si>
    <t>CIRCUMFERENTIAL</t>
  </si>
  <si>
    <t>CHRIS PALAFOX</t>
  </si>
  <si>
    <t>SR. SPECIALIST DOT COMPLIANCE</t>
  </si>
  <si>
    <t>christopher.palafox@energytransfer.com</t>
  </si>
  <si>
    <t>ON MAY 9, 2025, AN INCIDENT OCCURRED ON THE 210000 - PERKINS 10" HP TO FT CHADBOURNE, 6.14 MILES SOUTHWEST OF SILVER, TEXAS IN COKE COUNTY.    AT APPROXIMATELY 1930 THE LINE HAD A RELEASE. IT WAS DETERMINED TO BE A RUPTURE THAT OCCURRED DURING ROUTINE MAINTENANCE PIGGING OPERATIONS.    ON MAY 16, 2025, AT 1230, IT WAS DETERMINED THE REPAIRS WOULD EXCEED THE $145,400.00 REPORTABLE DOLLAR CRITERIA AND THE NRC AND THE TXRRC WERE NOTIFIED.    THE LINE SEPARATION IS STILL UNDER INVESTIGATION AND THE AFFECTED SECTION OF THE PIPE HAS BEEN SENT TO THE LAB FOR ANALYSIS.  A SUPPLEMENTAL REPORT WILL BE SUBMITTED WHEN THE LAB ANALYSIS AND INVESTIGATION IS COMPLETE.</t>
  </si>
  <si>
    <t>TRUNKLINE GAS CO</t>
  </si>
  <si>
    <t>LA</t>
  </si>
  <si>
    <t>LONGVILLE</t>
  </si>
  <si>
    <t>BEAUREGARD</t>
  </si>
  <si>
    <t>LONGVILLE COMPRESSOR STATION</t>
  </si>
  <si>
    <t>100-3 36-INCH</t>
  </si>
  <si>
    <t>VALVE</t>
  </si>
  <si>
    <t>MAINLINE</t>
  </si>
  <si>
    <t>PLUG</t>
  </si>
  <si>
    <t>NORDSTROM</t>
  </si>
  <si>
    <t>YES, SPECIFY INVESTIGATION RESULT(S): (SELECT ALL THAT APPLY)</t>
  </si>
  <si>
    <t>EQUIPMENT FAILURE</t>
  </si>
  <si>
    <t>MALFUNCTION OF CONTROL/RELIEF EQUIPMENT</t>
  </si>
  <si>
    <t>EQUIPMENT FAILURE STILL UNDER INVESTIGATION</t>
  </si>
  <si>
    <t>ON 04/09/25 AT APPROXIMATELY 1309 PM, A VALVE CAP O-RING FAILED CAUSING THE ENGINE ROOM GAS DETECTION SYSTEM TO TRIGGER THE ESD SYSTEM.  A 26'' PLUG VALVE WAS FOUND TO BE LEAKING BY AND ADDITIONAL VALVES WERE MANUALLY OPERATED TO ISOLATE THE STATION.  UPON INVESTIGATION, IT WAS DETERMINED THE 26'' PLUG VALVE WAS FOUND IN THE CLOSED POSITION HOWEVER, THE VALVE DID NOT CLOSE ENTIRELY.    THE VALVE WAS INSPECTED, GREASED, FUNCTION TESTED AND WAS STILL FOUND TO BE NOT FULLY ISOLATING.    THE SECTION WAS ISOLATED AND TAKEN OUT OF SERVICE. VALVE WAS LOCKED OUT AND TAGGED OUT FOR FURTHER INVESTIGATION AND REPAIRS.  THE REST OF THE STATION WAS PUT BACK IN SERVICE.    NOTIFICATION WAS MADE TO THE NRC (#1428154) AT 1406 PM ON 04/09/25 AND THE 48 HOUR UPDATE (1428308) WAS MADE ON 04/11/25 AT 0908 AM.</t>
  </si>
  <si>
    <t>ALLOWED TO BURN OUT</t>
  </si>
  <si>
    <t>FALLS CITY</t>
  </si>
  <si>
    <t>ATASCOSA</t>
  </si>
  <si>
    <t>88884002 DEHY TO COY CITY 10IN</t>
  </si>
  <si>
    <t>PIPE SEAM</t>
  </si>
  <si>
    <t>API 5L PSL 2</t>
  </si>
  <si>
    <t>LONGITUDINAL ERW - HIGH FREQUENCY</t>
  </si>
  <si>
    <t>ASPHALT</t>
  </si>
  <si>
    <t>LONGITUDINAL</t>
  </si>
  <si>
    <t>192.619(A)(2)</t>
  </si>
  <si>
    <t>MIKE SMITH</t>
  </si>
  <si>
    <t>mike.smith2@energytransfer.com</t>
  </si>
  <si>
    <t>ON APRIL 8, 2025, ENERGY TRANSFER (ET) PERSONNEL DETECTED A FIRE WHILE ON ET SITE NEAR THE 97 DEHY TO COY CITY PIPELINE AT 14:30. OPERATIONS BEGAN TO TAKE PRECAUTIONARY MEASURES AND COMPLETELY ISOLATED THE LINE AT 15:15 AND THE FIRE WAS ALLOWED TO BURN OUT. ET PERSONNEL CONFIRMED DISCOVERY ON APRIL 9TH AT 10:30 AND DETERMINED THAT THE INCIDENT WOULD EXCEED THE COST REPORTING THRESHOLD. THE LINE HAS BEEN REPAIRED AND WAS RETURNED TO SERVICE AT 23:47 ON APRIL 11TH, 2025. THE CAUSE OF THE INCIDENT IS CURRENTLY UNKNOWN, AND THE INVESTIGATION IS UNDERWAY.</t>
  </si>
  <si>
    <t>SUPPLEMENTAL FINAL</t>
  </si>
  <si>
    <t>CATARINA</t>
  </si>
  <si>
    <t>DIMMIT</t>
  </si>
  <si>
    <t>20101161 RICH EAGLEFORD MAINLINE</t>
  </si>
  <si>
    <t>SCRAPER/PIG TRAP</t>
  </si>
  <si>
    <t>FROM OPENING OF BALL VALVE</t>
  </si>
  <si>
    <t>REMOTELY CONTROLLED</t>
  </si>
  <si>
    <t>CONTROLLER DID NOT CONTRIBUTE TO THE INCIDENT</t>
  </si>
  <si>
    <t>INCORRECT OPERATION</t>
  </si>
  <si>
    <t>OTHER INCORRECT OPERATION</t>
  </si>
  <si>
    <t>FAILURE TO FOLLOW PROCEDURES</t>
  </si>
  <si>
    <t>ROUTINE MAINTENANCE</t>
  </si>
  <si>
    <t>YES, THEY WERE QUALIFIED FOR THE TASK(S)</t>
  </si>
  <si>
    <t>JOSEPH STOVER</t>
  </si>
  <si>
    <t>joseph.stover@energytransfer.com</t>
  </si>
  <si>
    <t>ON MARCH 27TH, 2025, 11:59 A.M., AN UNEXPECTED RELEASE OF NATURAL GAS WAS OBSERVED AT THE HOLLYWOOD AND VINE FACILITY. THE RELEASE CAME FROM THE LAUNCHER DOOR CLOSURE AND BLOWDOWN STACK OF THE LOADING BARREL. AN ETC EMPLOYEE WAS ONSITE AND WAS ABLE TO QUICKLY ENGAGE THE ASD SYSTEM ALLOWING THE SYSTEM TO BLOCK AND BLEED WITHIN FIVE MINUTES. DURING OUR INTERNAL INVESTIGATION IT WAS DETERMINED THAT THE EMPLOYEE LOADING THE SPHERE PIGS INTO THE LAUNCHER HAD FAILED TO SECURE THE PIG LAUNCHER DOOR CLOSURE ASSEMBLY WHICH RESULTED IN A GAS RELEASE DURING THE BARREL PURGING PROCESS.</t>
  </si>
  <si>
    <t>PANHANDLE EASTERN PIPELINE CO</t>
  </si>
  <si>
    <t>MO</t>
  </si>
  <si>
    <t>WARRENSBURG</t>
  </si>
  <si>
    <t>JOHNSON</t>
  </si>
  <si>
    <t>LOUISBURG 100</t>
  </si>
  <si>
    <t>LOUISBURG-41-04-001-1400</t>
  </si>
  <si>
    <t>WELD/FUSION, INCLUDING HEAT-AFFECTED ZONE</t>
  </si>
  <si>
    <t>EYS</t>
  </si>
  <si>
    <t>LAP WELDED</t>
  </si>
  <si>
    <t>NATIONAL TUBE SUPPLY COMPANY</t>
  </si>
  <si>
    <t>PIPE GIRTH WELD</t>
  </si>
  <si>
    <t>CRACK</t>
  </si>
  <si>
    <t>NOTIFICATION FROM PUBLIC</t>
  </si>
  <si>
    <t>THE LINE WAS OPERATING APPROXIMATELY 30 PSIG BELOW MAOP AT THE TIME OF INCIDENT.</t>
  </si>
  <si>
    <t>MATERIAL FAILURE OF PIPE OR WELD</t>
  </si>
  <si>
    <t>DESIGN-, CONSTRUCTION-, INSTALLATION-, OR FABRICATION-RELATED</t>
  </si>
  <si>
    <t>FREE SWIMMING</t>
  </si>
  <si>
    <t>METAL LOSS</t>
  </si>
  <si>
    <t>HIGH RESOLUTION</t>
  </si>
  <si>
    <t>NO CUPS</t>
  </si>
  <si>
    <t>INSIDE ILI CUPS</t>
  </si>
  <si>
    <t>KORY TICE</t>
  </si>
  <si>
    <t>kory.tice@energytransfer.com</t>
  </si>
  <si>
    <t>KEVIN FERGUSON</t>
  </si>
  <si>
    <t>kevin.ferguson@energytransfer.com</t>
  </si>
  <si>
    <t>SUSIE SJULIN</t>
  </si>
  <si>
    <t>susie.sjulin@energytransfer.com</t>
  </si>
  <si>
    <t>AT APPROXIMATELY 18:16 ON 3/17/25, A LANDOWNER CALLED THE LOCAL REGULATORMAN ABOUT A HISSING SOUND NEAR ONE OF THE PANHANDLE EASTERN PIPELINES.  THE REGULATORMAN CALLED THE OPERATIONS MANAGER AND WAS DISPATCHED TO THE SITE.  THE OPERATIONS MANAGER THEN NOTIFIED GAS CONTROL OF THE POSSIBLE LEAK.  THE REGULATORMAN ARRIVED ON SITE AT 18:28 AND CONFIRMED THE SOUND WAS IN FACT A LEAK.  THE OPERATIONS MANAGER DISPATCHED EMPLOYEES TO THE UPSTREAM AND DOWNSTREAM BLOCK VALVES.  DUE TO THE PROXIMITY TO A ROAD, THE REGULATORMAN CALLED 911 TO ASSIST WITH TRAFFIC CONTROL.  THE BLOCK VALVES WERE CLOSED BY 19:17 AND THE LINE WAS BLOWN FLAT BY 21:01.  THE LEAK WAS IDENTIFIED AS A CRACKED ACETYLENE WELD.  THE WELD WAS CUT OUT AND NEW PIPE WAS INSTALLED.  THE LINE WAS PURGED AND PLACED BACK IN SERVICE ON 3/22/25.</t>
  </si>
  <si>
    <t>WEBB</t>
  </si>
  <si>
    <t>GALVAN G13 LTS</t>
  </si>
  <si>
    <t>EPOXY</t>
  </si>
  <si>
    <t>ENERGY TRANSFER (ET) PERSONNEL RECEIVED A CALL FROM THE LANDOWNER AT 9:40 AM ON MARCH 7TH, 2025, OF A POTENTIAL LEAK IN AN ET ROW. ET PERSONNEL ARRIVED ON SITE AT 10:00AM AND STARTED TAKING PRECAUTIONARY MEASURES AND ISOLATING THE LINE. THE LINE WAS ISOLATED AT 11:44 AM. IT WAS NOT CONFIRMED THAT THE LEAK WAS ON THE GALVAN G13 LTS UNTIL 14:05 ON MARCH 11TH, 2025, AND IT WAS PREDICTED TO EXCEED THE COST REPORTING THRESHOLD. THE INCIDENT INVESTIGATION IS STILL UNDERWAY, AND THE LINE IS CURRENTLY OUT OF SERVICE. REMEDIATION IS PENDING RESULTS OF THE INVESTIGATION.</t>
  </si>
  <si>
    <t>GULF RUN TRANSMISSION, LLC</t>
  </si>
  <si>
    <t>JACKSON</t>
  </si>
  <si>
    <t>VERNON COMPRESSOR STATION</t>
  </si>
  <si>
    <t>CP_PANOLA COMPRESSOR LS TO VERNON COMPRESSOR RS</t>
  </si>
  <si>
    <t>ESD SYSTEM, BUT EXCLUDING PRODUCT DRAIN LINES AND TUBING</t>
  </si>
  <si>
    <t>LACK OF ESD VALVE CLOSURE</t>
  </si>
  <si>
    <t>CONTROLLER ACTIONS DID NOT CONTRIBUTE TO THE EVENT</t>
  </si>
  <si>
    <t>IMPROPER PRESSURE SWITCH SET POINT</t>
  </si>
  <si>
    <t>THE PRESSURE SWITCH THAT ACTUATES THE ESD BLOW DOWN VALVE WAS SET INCORRECTLY.</t>
  </si>
  <si>
    <t>RYAN HESS</t>
  </si>
  <si>
    <t>COMPLIANCE</t>
  </si>
  <si>
    <t>ryan.hess@energytransfer.com</t>
  </si>
  <si>
    <t>903-720-5473</t>
  </si>
  <si>
    <t>BOB MIDDLETON</t>
  </si>
  <si>
    <t>bob.middleton@energytransfer.com</t>
  </si>
  <si>
    <t>318-5607428</t>
  </si>
  <si>
    <t>COMPLIANCE DIRECTOR</t>
  </si>
  <si>
    <t>405-557-5271</t>
  </si>
  <si>
    <t>ON 2/15/2025 THE VERNON COMPRESSOR STATION LOST COMMERCIAL POWER. IN ADDITION, THE EMERGENCY GENERATOR FAILED TO START, AND THE STATION BATTERY UPS SYSTEM FAILED TO SWITCH TO BATTERY BACKUP. THE UPS IS USED TO MAINTAIN POWER TO STATION NETWORKS, PLC'S, AND HMIS FOR SHORT PERIODS OF TIME UNTIL EITHER COMMERCIAL OR EMERGENCY GENERATOR POWER BECOMES AVAILABLE. WITH NO POWER, A NORMAL STOP COMMAND WAS ISSUED TO ALL THREE STATION TURBINES. THE TURBINES STOPPED, THE UNIT BLOWDOWN VALVES OPENED, AND THE FUEL SUPPLY VALVES CLOSED. THE STATION ESD BLOWDOWN VALVES ARE DESIGNED TO DEFAULT TO THE FAIL-OPEN POSITION AND MUST BE MANUALLY RESET. STATION BLOWDOWN VALVES WERE SET TO OPEN AT 55PSI. THE ESD PRESSURE DROPPED BELOW 50PSI, WHICH ACTIVATED THE VALVES, AND BEGAN RELIEVING THE STATION PRESSURE. TECHNICIANS ARRIVED ON LOCATION AND BLOCKED IN THE STATION DURING THE BLOWDOWN PROCESS, PRIOR TO A FULL STATION BLOWDOWN. CORRECTIVE ACTIONS TAKEN TO HAVE THE STATION BACK ONLINE BY 2/16/2025 AT 4:00AM.     REMEDIAL ACTIONS TAKEN, SMALL LEAK WAS FOUND ON THE ESD SYSTEM. THE ESD PILOTS ON BLOWDOWN VALVES WERE RESET TO 30PSI AND THE SIDE GATE ESD PILOTS WERE REST TO 45PSI. ORIGINAL CONSTRUCTION DESIGN WAS CHANGED FROM UTILIZING ESD GAS AS PILOT PRESSURE TO POWER GAS. ALL REGULATORS WERE TESTED AND TRENDED TO ENSURE PROPER OPERATION. GENERATOR LOGIC ISSUES WERE IDENTIFIED AND CORRECTED, THEN MULTIPLE SIMULATED POWER LOSS SCENARIOS WERE RUN TO ENSURE THE GENERATOR TRANSFERRED PROPERLY AND CARRIED THE STATION LOAD.</t>
  </si>
  <si>
    <t>1421896, 1429408</t>
  </si>
  <si>
    <t>319B-2400</t>
  </si>
  <si>
    <t>SOUTH TIMBALIER</t>
  </si>
  <si>
    <t>DSAW</t>
  </si>
  <si>
    <t>KAISER STEEL</t>
  </si>
  <si>
    <t>NOTIFIED BY ARENA PLATFORM</t>
  </si>
  <si>
    <t>LEAK WAS TOO SMALL FOR SCADA TO DETECT.</t>
  </si>
  <si>
    <t>AT APPROXIMATELY 1051 ON 01/24/25, OPERATIONS RECEIVED A CALL FROM A 3RD PARTY REPORTING BUBBLES IN THE AREA NEAR THE SEA ROBIN 319B-2400 IN SOUTH TIMBALIER 151 (ST 151).  NRC WAS CALLED REPORTING THE BUBBLES IN ST151 (NRC#1421791, 48HR UPDATE#1421896).     AN OVERFLIGHT WAS CONDUCTED TO VERIFY THE LOCATION OF THE BUBBLES.  PIPELINE WAS ISOLATED ON 01/24/25 AT 1330. OVERFLIGHTS WERE CONDUCTED DAILY TO MONITOR THE AREA FOR ANY CHANGES AS WEATHER PERMITTED.    DUE TO WEATHER CONDITIONS, SEA STATES AND DSV AVAILABILITY, THE REPAIR CONTRACTOR WAS NOT ABLE TO DEPLOY UNTIL 4/24/25.  DIVERS VERIFIED LEAK LOCATION ON 04/25/25 AT 0215 ON THE SEA ROBIN 319B-2400 PIPELINE.  AN ATTEMPT WAS MADE TO REPAIR THE LEAK LOCATION.  THE REPAIR WAS NOT COMPLETED DUE TO THE CLAMP NOT SEALING. A SPECIALIZED CLAMP IS ON ORDER.  THE PIPELINE REMAINS ISOLATED UNTIL THE CLAMP CAN BE INSTALLED.     THE 48HR NRC NOTIFICATION WAS UPDATED ON 04/25/25 AT 0859 TO REFLECT THE CHANGE FROM UNKNOWN OWNER TO SEA ROBIN PIPELINE. (#1429408)</t>
  </si>
  <si>
    <t>ESD VALVE FAILURE</t>
  </si>
  <si>
    <t>JIMMY CROSS</t>
  </si>
  <si>
    <t>COMPLIANCE MANAGER</t>
  </si>
  <si>
    <t>405-576-8230</t>
  </si>
  <si>
    <t>jimmy.cross@energytransfer.com</t>
  </si>
  <si>
    <t>A CONNECTION FAULT PRODUCED A FLAME DETECTOR INPUT FAILURE IN UNIT 3 BUILDING, WHICH CAUSED UNIT 3 TO SHUT DOWN AND ESD. UNIT 3 FUEL SUPPLY VALVE DID NOT CLOSE WHEN UNIT 3 BLOWDOWN VALVE OPENED. CAUSING A DRAIN ON STATION SYSTEM PRESSURE. THIS STATION HAS A PNEUMATIC/ELECTRICAL ESD. THE LOW ESD PRESSURE IS 55PSI. WHEN ESD FELL AT OR BELOW 55PSI THE STATION ESD.</t>
  </si>
  <si>
    <t>ENABLE GAS TRANSMISSION, LLC</t>
  </si>
  <si>
    <t>OK</t>
  </si>
  <si>
    <t>WILBURTON</t>
  </si>
  <si>
    <t>LATIMER</t>
  </si>
  <si>
    <t>CHANDLER COMPRESSOR STATION</t>
  </si>
  <si>
    <t>AD-EAST</t>
  </si>
  <si>
    <t>PILOT OPERATOR FAILED ON AN ESD VENT VALVE RESULTING IN THE RELEASE OF THE NATURAL GAS.</t>
  </si>
  <si>
    <t>AFTER REVIEW OF THE INCIDENT, IT WAS DETERMINED THAT THE CONTROLLER ACTED IN ACCORDANCE WITH OUR POLICIES AND PROCEDURES.</t>
  </si>
  <si>
    <t>NATURAL FORCE DAMAGE</t>
  </si>
  <si>
    <t>TEMPERATURE</t>
  </si>
  <si>
    <t>FROZEN COMPONENTS</t>
  </si>
  <si>
    <t>EXTREMELY COLD TEMPERATURES.</t>
  </si>
  <si>
    <t>JEFFREY OSBORN</t>
  </si>
  <si>
    <t>SENIOR SPECIALIST - DOT COMPLIANCE</t>
  </si>
  <si>
    <t>jeff.osborn@energytransfer.com</t>
  </si>
  <si>
    <t>SENIOR MANAGER - DOT COMPLIANCE</t>
  </si>
  <si>
    <t>SYSTEM CONTROL RECEIVED A RATE OF CHANGE ALARM AT 18:51 ON THE SUCTION PIPING AT CHANDLER COMPRESSOR STATION, ANOTHER ALARM AT 18:53 ON THE CHANDLER TO AC DOWNSTREAM AND ANOTHER ALARM AT 18:55 ON THE CHANDLER STATION SUCTION PIPING.  A FIELD EMPLOYEE, WHO LIVES WITHIN MINUTES OF THE CHANDLER COMPRESSOR STATION, HEARD THE VENT AT THE STATION FROM HIS HOME.  HE IMMEDIATELY CALLED SYSTEM CONTROL AT 19:00 TO LET THEM KNOW HE WAS IN ROUTE TO CHECK THIS OUT.  AT 19:15, EMPLOYEE ARRIVED ON SITE TO CONFIRM WE HAD AN EVENT TAKING PLACE.  EMPLOYEE HAD TO CALL FOR ADDITIONAL PERSONNEL, THAT WAS TRAINED ON THIS STATION, TO RESPOND TO ASSIST IN THE EVENT.  IT WAS DETERMINED THAT AN O-RING ON THE SHAFT SEAL FAILED DURING THE BELOW FREEZING WEATHER, WHICH INCLUDED ICE AND SNOW, ON THE 8" PILOT OPERATOR ON THE STATION ESD VENT VALVE ON THE SUCTION HEADER OF THE STATION, CAUSING THE VALVE TO OPEN AND VENT GAS.  VALVE WAS ISOLATED AT 19:40. PILOT OPERATOR WAS REPLACED, AND SYSTEM WAS PUT BACK IN SERVICE AT 21:30 THE SAME DAY.  PART G REVISED TO G2 PER REQUEST BY MATHEWS/PHMSA.</t>
  </si>
  <si>
    <t>1421083, 1430839</t>
  </si>
  <si>
    <t>MASTIC AND CONCRETE</t>
  </si>
  <si>
    <t>AT APPROXIMATELY 1210 ON 01/13/25, OPERATIONS WAS CONDUCTING AN OVERFLIGHT TO VERIFY BUBBLES IN THE AREA NEAR THE SEA ROBIN 716-10-1 LATERAL IN EUGENE ISLAND 331 (EI 331) AND NOTICED ANOTHER LOCATION WITH BUBBLES. NRC WAS CALLED REPORTING THE SECOND SET OF BUBBLES. (NRC#1421007, 48HR UPDATE#1421083).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5/12/25 AT 1100.  THE PIPELINE WAS RETURNED TO SERVICE AT APPROXIMATELY 1415 ON 05/14/25.    THE 48HR NRC NOTIFICATION WAS UPDATED ON 05/11/25 AT 1955 TO REFLECT THE CHANGE FROM UNKNOWN OWNER TO SEA ROBIN PIPELINE. (#1430839)    THE UNINTENTIONAL VOLUME WAS SPLIT BETWEEN TWO INCIDENTS FOR SEA ROBIN, BOTH OCCURRED 01/13/25 ON THE SAME PIPELINE.  TOTAL VOLUME FOR BOTH INCIDENTS WAS 1,587,069 MCF.</t>
  </si>
  <si>
    <t>1421082, 1430981</t>
  </si>
  <si>
    <t>MASTEC AND CONCRETE</t>
  </si>
  <si>
    <t>AT APPROXIMATELY 0733 ON 01/13/25, OPERATIONS RECEIVED A NOTIFICATION FROM A 3RD PARTY REPORTING BUBBLES IN THE AREA NEAR THE SEA ROBIN 716-10-1 LATERAL IN EUGENE ISLAND 330 (EI 330).  AN OVERFLIGHT WAS CONDUCTED TO VERIFY THE LOCATION OF THE BUBBLES AND WAS CONFIRMED AT APPROXIMATELY 1210 ON 01/13/25.  NRC WAS CALLED REPORTING THE BUBBLES IN EI 331 (NRC#1420963, 48HR UPDATE#1421082).     THE PIPELINE WAS ISOLATED ON 01/13/25 AT 1330.  OVERFLIGHTS WERE CONDUCTED DAILY TO MONITOR THE AREA FOR ANY CHANGES AS WEATHER PERMITTED.    DUE TO POOR WEATHER CONDITIONS, SEA STATES AND DSV AVAILABILITY, THE REPAIR CONTRACTOR WAS NOT ABLE TO DEPLOY UNTIL 5/11/25.  THE LEAK WAS LOCATED AND A CLAMP WAS INSTALLED ON 5/14/25 AT 0330.  THE PIPELINE WAS RETURNED TO SERVICE AT APPROXIMATELY 1415 ON 05/14/25.     THE 48HR NRC NOTIFICATION WAS UPDATED ON 05/13/25 AT 1440 TO REFLECT THE CHANGE FROM UNKNOWN OWNER TO SEA ROBIN PIPELINE. (#1430981)    THE UNINTENTIONAL VOLUME WAS SPLIT BETWEEN TWO INCIDENTS FOR SEA ROBIN, BOTH OCCURRED 01/13/25 ON THE SAME PIPELINE.  TOTAL VOLUME FOR BOTH INCIDENTS WAS 1,587,069 MCF.</t>
  </si>
  <si>
    <t>BIG SPRING</t>
  </si>
  <si>
    <t>HOWARD</t>
  </si>
  <si>
    <t>NORTH BIG SPRING COMPRESSOR STATION</t>
  </si>
  <si>
    <t>INVESTIGATION IDENTIFIED NO CONTROLLER ISSUES. CONTROLLER ACTIONS WERE CONSISTENT WITH COMPANY PROTOCOLS.</t>
  </si>
  <si>
    <t>COMPRESSOR OR COMPRESSOR-RELATED EQUIPMENT</t>
  </si>
  <si>
    <t>SEAL FAILURE</t>
  </si>
  <si>
    <t>325-933-3577</t>
  </si>
  <si>
    <t>ON DECEMBER 25, 2024, A FIRE OCCURRED AT THE NORTH BIG SPRING COMPRESSOR STATION, 6 MILES NORTHEAST OF BIG SPRING, TEXAS IN HOWARD COUNTY.    AT APPROXIMATELY 0605 SCADA NOTIFIED OPERATIONS ABOUT AN ISSUE AT THE NORTH BIG SPRING COMPRESSOR STATION.    0645, IT WAS DISCOVERED THAT COMPRESSOR UNIT #6 WAS ON FIRE, ESD'D THE STATION AND CALLED THE LOCAL FIRE DEPARTMENT TO THE STATION.    AT 0936, IT WAS DETERMINED THE REPAIRS AND DAMAGES WOULD EXCEED THE $145,400.00 REPORTABLE DOLLAR CRITERIA AND THE NRC AND THE TXRRC WAS NOTIFIED.    LOCAL FIRE DEPARTMENT EXTINGUISHED THE FIRE.    THIS IS A LEASED COMPRESSOR FROM A 3RD PARTY    THE LEAK OF THE GAS AND THE CAUSE OF THE FIRE IS STILL UNDER INVESTIGATION. A SUPPLEMENTAL REPORT WILL BE SUBMITTED ONCE INVESTIGATION IS COMPLETE.    **THE FINAL INVESTIGATION FOUND THAT COMPRESSOR CYLINDER #1 DISCHARGE FLANGE BOLTS WERE BROKEN AND THE GASKETED FLANGE CONNECTION FAILED WHICH RESULTED IN THE RELEASE OF GAS. COMPRESSOR CYLINDER #1 IS LOCATED WITHIN CLOSE PROXIMITY TO THE ENGINE AND ASSOCIATED EXHAUST COMPONENTS WHICH LIKELY RESULTED IN THE IGNITION OF THE GAS. ADDITIONAL FINDINGS INDICATED THAT UNIT #6 HAD EXPERIENCED SIGNIFICANT SEVERE VIBRATION. FINDINGS INCLUDE; MOVEMENT/SHIFTING OF COMPRESSOR SKID ON GRAVEL FOUNDATION, NUMEROUS FAILED, LOOSE, OR MISSING BOLTS/FASTENERS ON 1ST STAGE COMPRESSOR CYLINDER ASSEMBLIES AND CYLINDER SUPPORTS, LOOSE CROSS TIE BARS ON COMPRESSOR FRAME, FAILED THROUGH BOLTS ON DISCHARGE BOTTLE SUPPORTS, FAILED PROCESS PIPING CLAMP ON CYLINDER #2.  THIS COMPRESSOR WAS PERMANENTLY REMOVED AND BYPASSED WITH NO REPLACEMENT.  FACILITY STARTED BACK UP WITH UNIT #5 AT 1300 ON DECEMBER 25, 2024.     TO PREVENT THIS FROM OCCURRING IN THE FUTURE, THE FOLLOWING WILL BE CONSIDERED:  - VISUALLY INSPECT ENGINE MOUNTING HARDWARE FOR LOOSENESS OR ABNORMALITIES ON ALL ARCHROCK LEASED UNITS IN THE REGION AND REPORT ANY FINDINGS TO ARCHROCK FOR EVALUATION. ETC OPERATIONS  - VERIFY PROPER TORQUE AND MOUNTING ON ARCHROCK LEASED AND MAINTAINED COMPRESSOR PACKAGES. ARCHROCK  - ENSURE COMPRESSOR PACKAGE VIBRATION SHUTDOWNS ARE ADJUSTED PROPERLY AND FULLY FUNCTIONAL ON ARCHROCK LEASED AND MAINTAINED COMPRESSOR PACKAGES. ARCHROCK  - AVOID OPERATING OR RESTARTING UNITS THAT HAVE EXPERIENCED CRITICAL SHUTDOWNS UNTIL A THOROUGH EVALUATION CAN BE PERFORMED BY A SUBJECT MATER EXPERT AND THE EQUIPMENT HAS BEEN DEEMED SAFE TO OPERATE. ETC OPERATIONS</t>
  </si>
  <si>
    <t>COYANOSA</t>
  </si>
  <si>
    <t>PECOS</t>
  </si>
  <si>
    <t>MILEPOST</t>
  </si>
  <si>
    <t>608 + 00</t>
  </si>
  <si>
    <t>K TO COYA 24 TX-PECOS_BLK OW,8</t>
  </si>
  <si>
    <t>X-60</t>
  </si>
  <si>
    <t>WAX</t>
  </si>
  <si>
    <t>192.619(A)(3)</t>
  </si>
  <si>
    <t>NO LAUNCHERS AND RECEIVERS</t>
  </si>
  <si>
    <t>THE INVESTIGATION IDENTIFIED NO CONTROLLER ISSUES. THE CONTROLLER ACTIONS WERE CONSISTENT WITH COMPANY PROTOCOLS.</t>
  </si>
  <si>
    <t>EXTERNAL CORROSION</t>
  </si>
  <si>
    <t>GENERAL CORROSION</t>
  </si>
  <si>
    <t>DIRECT CURRENT</t>
  </si>
  <si>
    <t>ADJACENT PARALLEL PIPELINE</t>
  </si>
  <si>
    <t>Yes, and an investigative dig was cunducted at the point of the Accident</t>
  </si>
  <si>
    <t>432-423-2069</t>
  </si>
  <si>
    <t>713-989-5231</t>
  </si>
  <si>
    <t>ON JULY 15, 2024, A RUPTURE OCCURRED ON ENERGY TRANSFER COMPANYS K TO COYA 24-INCH PIPELINE LOCATED APPROXIMATELY 15 MILES SOUTHWEST OF MONAHANS, TX.      AT 3:30 A.M. SUPERVISORY CONTROL AND DATA ACQUISITION (SCADA) SYSTEM ALERTED THE COYANOSA GAS PLANT OPERATOR OF A LOSS OF PRESSURE.        AT 4:40 A.M. THE PIPELINE OPERATOR ARRIVED ON LOCATION TO FIND LOCAL FIRST RESPONDERS WERE ALREADY ON SCENE BATTLING A FIRE. THE EMERGENCY PERSONNEL HAD BEEN NOTIFIED OF THE FIRE BY A THIRD PARTY.        AT 5:20 A.M. THE AFFECTED PIPELINE WAS ISOLATED, AND THE FIRE HAD BURNED OUT, ENERGY TRANSFER PERSONNEL WERE ABLE TO CONFIRM THE DISCOVERY OF A RUPTURE ON THE K TO COYA 24. IT WAS DETERMINED THE REPAIRS AND DAMAGES WOULD EXCEED THE $145,400.00 REPORTABLE DOLLAR CRITERIA AND THE NRC AND THE TXRRC WERE NOTIFIED.      THE LOCAL FIRE DEPARTMENT ALLOWED THE FIRE TO BURN ITSELF OUT. THE CAUSE OF THE RUPTURE IS STILL UNDER INVESTIGATION.         THE CAUSE OF THE RUPTURE WAS IDENTIFIED AS EXTERNAL CORROSION OCCURRING ALONG THE 3:00 OCLOCK SIDE OF THE PIPE. THE THINNEST MEASURED REMAINING WALL THICKNESS WAS DETERMINED TO BE 0.020-INCH (7% OF THE NOMINAL WALL THICKNESS).     OTHER AREAS OF CORROSION PRESENT ON THE PIPE MATERIAL PROVIDED APPEARED CONSISTENT WITH DC INTERFERENCE CURRENT CORROSION AND UNDER DEPOSIT CORROSION.       PLAN TO PREVENT RECURRENCE, OPERATIONS WILL INSTALL MORE CP TEST STATIONS TO HELP LOCATE EXTERNAL CORROSION TROUBLE AREAS AND INSTALL MORE RECTIFIERS TO IMPRESS CURRENT EQUALLY OVER THE ENTIRETY OF THE PIPELINE. OPERATIONS WILL ALSO UTILIZE CORROSION COUPONS AND CHEMICAL INJECTION TO MONITOR AND MITIGATE ANY INTERNAL CORROSION.</t>
  </si>
  <si>
    <t>OASIS WAHA COMPRESSOR STATION</t>
  </si>
  <si>
    <t>COMPRESSOR UNIT</t>
  </si>
  <si>
    <t>NO LEAK, COMPRESSOR FUEL GAS WAS CONSUMED BY FIRE</t>
  </si>
  <si>
    <t>BOLTS (SEE PART H NARRATIVE)</t>
  </si>
  <si>
    <t>FATIGUE</t>
  </si>
  <si>
    <t>713-882-0590</t>
  </si>
  <si>
    <t>ON JULY 2, 2024, A FIRE OCCURRED AT THE OASIS WAHA COMPRESSOR STATION, 2.26 MILES NORTH OF COYANOSA, TEXAS IN PECOS COUNTY.    AT APPROXIMATELY 0500 SCADA NOTIFIED OPERATIONS ABOUT A UNIT DOWN ON FIRE DETECTION.    0520, IT WAS DISCOVERED THAT COMPRESSOR UNITS 3 &amp; 4 WERE ON FIRE, ESDD THE STATION AND CALLED THE LOCAL FIRE DEPARTMENT TO THE STATION.    AT 0543, IT WAS DETERMINED THE REPAIRS AND DAMAGES WOULD EXCEED THE $145,400.00 REPORTABLE DOLLAR CRITERIA AND THE NRC AND THE TXRRC WAS NOTIFIED.    LOCAL FIRE DEPARTMENT EXTINGUISHED THE FIRE.    THE DAMAGED COMPRESSORS WERE BYPASSED, AND THE STATION WAS BACK ONLINE ON JULY 5.    FUEL GAS AND LINE OIL FUELED THE FIRE.  THE CAUSE OF THE FIRE IS STILL UNDER INVESTIGATION. A SUPPLEMENTAL REPORT WILL BE SUBMITTED ONCE INVESTIGATION IS COMPLETE.      **DURING THE PHYSICAL INSPECTION THERE WERE ALSO FOUND TO BE BROKEN BOLTS GATHERED FOR ANALYSIS.  THE COUPLING COVER BOLT, AS WELL AS A MISSING BOLT FROM THE TURBINE DRAIN FLANGE WERE FOUND ON THE SKID FLOOR.  THESE BOLTS WERE ALSO SENT TO METALLURGIST ALSO AND WERE DETERMINED TO HAVE FAILED DUE TO FATIGUE.      THE SHEARED BOLT AND STAINING ON THE DRAIN FLANGE SUGGEST A POSSIBLE ROOT CAUSE OF THE FIRE.  THE FAILURE OF THE FLANGE AS AN OIL SEALING MECHANISM WOULD LEAD TO OIL DRAINING DIRECTLY ONTO THE EXHAUST BLANKET LEADING TO VAPORIZATION AND IGNITION OF THE OIL.    THIS WAS AN ISOLATED INCIDENT.     THE MITIGATION STEPS TO PREVENT THIS FROM OCCURRING IN THE FUTURE ARE AS FOLLOWED:  -EVALUATE FIRE EYES/GAS DETECTOR PLACEMENT ON THESE PACKAGES.    -CHANGE FASTENERS ON ENGINE SWINGS.     -COORDINATE AN EVALUATION OF ALL UNITS TO CONFIRM NO MISSING/BROKEN FASTENERS, THIS IS NOW INCLUDED IN OUR 4000-HOUR PREVENTATIVE MAINTENANCE PLAN.</t>
  </si>
  <si>
    <t>1402044 1402224</t>
  </si>
  <si>
    <t>ALVIN</t>
  </si>
  <si>
    <t>BRAZORIA</t>
  </si>
  <si>
    <t>3019 TEXAS CITY JUNCTION/TX CITY LOOP 18-INCH</t>
  </si>
  <si>
    <t>COUNTY ROAD 190 FARM TAP (CENTERPOINT)</t>
  </si>
  <si>
    <t>ONSHORE REGULATOR/METERING STATION EQUIPMENT AND PIPING</t>
  </si>
  <si>
    <t>SEAMLESS</t>
  </si>
  <si>
    <t>AN ABOVE-GRADE -DISTRIBUTION LATERAL- (CENTERPOINT) OFF LINE 3019 (ETC PIPELINE) WAS STRUCK AS A RESULT OF A VEHICLE ACCIDENT.  THE ABOVE-GRADE DISTRIBUTION CONNECTION WAS SHEARED OFF AT GRADE LEVEL, RESULTING IN NATURAL GAS BLOWING INTO THE ATMOSPHERE FROM ETCS TRANSMISSION PIPELINE.</t>
  </si>
  <si>
    <t>CENTERPOINT GAS COMPANY</t>
  </si>
  <si>
    <t>THIS EVENT DID NOT GENERATE ALARMS AS GAS LEAKAGE VENTED TO THE ATMOSPHERE VIA 1-INCH PIPING AT THE CENTERPOINT TAP CONNECTION.  ETC'S UPSTREAM OVERPRESSURE DEVICES ADJUSTED FLOW, INCREASING GAS FLOW AND MAINTAINING FLOW RATES AND PRESSURE, AND DID NOT EXCEED SET POINTS THAT WOULD HAVE GENERATED ALARMS. (THE LEAK AND FLOW RATE WAS INSUFFICIENT TO CREATE ALARMS.)</t>
  </si>
  <si>
    <t>OTHER OUTSIDE FORCE DAMAGE</t>
  </si>
  <si>
    <t>DAMAGE BY CAR, TRUCK, OR OTHER MOTORIZED VEHICLE/EQUIPMENT NOT ENGAGED IN EXCAVATION</t>
  </si>
  <si>
    <t>THIRD PARTY</t>
  </si>
  <si>
    <t>PASSENGER CAR</t>
  </si>
  <si>
    <t>ROADWAY</t>
  </si>
  <si>
    <t>832-894-4289</t>
  </si>
  <si>
    <t>ON JUNE 16, 2024, AT APPROXIMATELY 6:00 AM, CENTERPOINT NOTIFIED ENERGY TRANSFER (ET) OF A PIPELINE LEAK ON THE RIGHT-OF-WAY LOCATED AT 29.441306 -95.292957. NOTE: CENTERPOINT WAS AWARE OF THE LEAK AS EARLY AS 2:00 AM ON JUNE 16, 2024.     ON JUNE 16, 2024, AT 6:37 A.M., ET OPERATION CREWS RESPONDED TO THE EMERGENCY, ASSESSED THE EVENT, AND SUCCESSFULLY ISOLATED THE PIPELINE BY 9:56 A.M. THE BLOWDOWN WAS COMPLETED AT 1:04 PM, JUNE 16, 2024.    ON JUNE 16, 2024, CREWS MOVED IN AND BEGAN EXCAVATING PIPELINE 3019, 18-INCH MAINLINE, AND 2-INCH TAP AT 5:20 PM. OPERATIONS CLOSED THE BURIED 2-INCH TAP VALVE THAT SERVICED THE CENTERPOINT FARM TAP.    ON JUNE 18, 2024, AT 7:15 AM, ET MADE 48-HOUR FOLLOW-UP NOTIFICATIONS TO THE NRC.     GAS LOST: 3.432 MMCF WAS UNINTENTIONAL, AND 3.194 MMCF WAS FROM BLOWDOWN.     SUPPLEMENTAL:  AT APPROXIMATELY 2:00 A.M. ON JUNE 16, 2024, AN INDIVIDUAL WAS TRAVELING AT A HIGH RATE OF SPEED ON COUNTY ROAD 190. THE INDIVIDUAL LOST CONTROL OF THE VEHICLE, LEFT THE ROAD, AND PLUNGED INTO THE CENTER POINT DISTRIBUTION FARM TAP SERVICED BY ENERGY TRANSFER COMPANY (ETC). AS A RESULT OF THE VEHICLE INCIDENT, THE FARM TAP WAS FRAGMENTED AT GROUND LEVEL, RESULTING IN A RELEASE OF NATURAL GAS FROM ETCS TRANSMISSION PIPELINE.    ETC EXPOSED LINE 3019 AND REPLACED THE EXISTING RISER WITH A NEW 2-INCH RISER TO SUPPLY THE CENTER POINT DISTRIBUTION FARM TAP.  THE WORK WAS COMPLETED ON JULY 18, 2024, IN CONJUNCTION WITH A SCHEDULED ENCROACHMENT PROJECT.</t>
  </si>
  <si>
    <t>FLORIDA GAS TRANSMISSION CO</t>
  </si>
  <si>
    <t>EASTERN</t>
  </si>
  <si>
    <t>FL</t>
  </si>
  <si>
    <t>THONOTOSASSA</t>
  </si>
  <si>
    <t>HILLSBOROUGH</t>
  </si>
  <si>
    <t>COMPRESSOR STATION 27 THONOTOSASSA</t>
  </si>
  <si>
    <t>12-INCH BLOWDOWN DISCHARGE HEADER</t>
  </si>
  <si>
    <t>AUXILIARY OR OTHER VALVE</t>
  </si>
  <si>
    <t>STATION DISCHARGE HEADER BLOWDOWN INADVERTENTLY OPENED.</t>
  </si>
  <si>
    <t>NOTIFICATION FROM EMERGENCY RESPONDER</t>
  </si>
  <si>
    <t>THE INVESTIGATION DID NOT IDENTIFY CONTROLLER ACTION AS A CONTRIBUTING FACTOR.</t>
  </si>
  <si>
    <t>VALVE LEFT OR PLACED IN WRONG POSITION, BUT NOT RESULTING IN AN OVERPRESSURE</t>
  </si>
  <si>
    <t>NO INDICATORS ON THREE-WAY BALL VALVE TO DIFFERENTIATE BLOCKED, BLOCKED AND VENTED, OR OPEN.</t>
  </si>
  <si>
    <t>TODD NARDOZZI</t>
  </si>
  <si>
    <t>DIRECTOR - DOT COMPLIANCE</t>
  </si>
  <si>
    <t>todd.nardozzi@energytransfer.com</t>
  </si>
  <si>
    <t>713-989-7126</t>
  </si>
  <si>
    <t>ON 05/31/2024 AT 18:12, THE 12-INCH STATION DISCHARGE HEADER BLOWDOWN INADVERTENTLY OPENED RESULTING IN GAS BLOWING AT APPROXIMATELY 1100 PSI FOR 78 MINUTES. A LOCAL EMERGENCY RESPONDER NOTIFIED THE CONTROL CENTER IN HOUSTON, TX.  CONTROL CENTER CALLED LOCAL OPERATIONS MANAGEMENT AND AN FGT EMPLOYEE WAS DISPATCHED TO COMPRESSOR STATION 27 THONOTOSASSA AND FOUND THE DISCHARGE BLOWDOWN OPEN. THE EMPLOYEE IMMEDIATELY CLOSED THE MANUAL BLOCK VALVE JUST DOWNSTREAM OF THE AUTOMATIC VALVE.     UPON FURTHER INVESTIGATION, THE EMPLOYEE FOUND A THREE-WAY VALVE ON THE ESD LINE IN THE CLOSED POSITION. SEALS IN THE OPERATOR ON THE DISCHARGE BLOWDOWN VALVE HAD BEEN REPLACED ON THE PREVIOUS DAY. THERE ARE TWO VALVES INLINE ON THE ESD SENSING FEED LINE.    THE CAUSE OF THE INCIDENT WAS DUE TO A VALVE LEFT OR PLACED IN WRONG POSITION, BUT NOT RESULTING IN AN OVERPRESSURE.    REPLACING 3-WAY-SWITCHING VALVE WITH A MANUAL BLOCK VALVE IN LINE WITH A MANUAL BLEED BETWEEN THE TWO BLOCK VALVES TO PREVENT POTENTIAL REOCCURRENCE.</t>
  </si>
  <si>
    <t>ENABLE OKLAHOMA INTRASTATE TRANSMISSION, LLC</t>
  </si>
  <si>
    <t>UNIT 427 WAS ISOLATED AND BLOWN DOWN AND UNIT 428 WAS PUT ONLINE IN ITS PLACE.</t>
  </si>
  <si>
    <t>CLAREMORE</t>
  </si>
  <si>
    <t>ROGERS</t>
  </si>
  <si>
    <t>CLAREMORE COMPRESSOR STATION</t>
  </si>
  <si>
    <t>LINE 4</t>
  </si>
  <si>
    <t>TUBING ON A RELIEF VALVE FAILED CAUSING THE DISCHARGE RELIEF VALVE ON UNIT 427 TO VENT OUTSIDE TO THE YARD SILENCER.</t>
  </si>
  <si>
    <t>BI-DIRECTIONAL</t>
  </si>
  <si>
    <t>NO ACTIONS BY THE CONTROLLER WERE INVOLVED IN THIS INCIDENT RESULTING IN NO INVESTIGATION OF THE CONTROLLERS' ACTION.  THE PRESSURES NEVER MET AN ALARM STATUS SO THAT THE CONTROLLER WOULD NOT HAVE BEEN NOTIFIED.  THE FIRST SIGN OF A PROBLEM, TO THE CONTROLLER, WAS A PHONE CALL FROM THE PUBLIC.</t>
  </si>
  <si>
    <t>DEFECTIVE OR LOOSE TUBING OR FITTING</t>
  </si>
  <si>
    <t>5/19/24 13:04, OPERATOR RECEIVED A REPORT OF GAS VENTING AT CLAREMORE COMPRESSOR STATION.  TECHNICIAN WAS DISPATCHED TO THE STATION TO INVESTIGATE REPORT.  ON 5/19/24 AT 13:40, TECHNICIAN ARRIVAL AT THE STATION. TECHNICIAN IDENTIFIED UNIT 427 DISCHARGE RELIEF VALVE VENTING INTO THE YARD SILENCER.  AT 14:00, TECHNICIAN NOTIFIED SYSTEM CONTROL OF THE INCIDENT.  TECHNICIAN ENTERS THE BUILDING AND TAKES UNIT 427 OFFLINE AND ISOLATED THE UNIT.  14:07, TECHNICIAN NOTIFIED SYSTEM CONTROL OF THE PROBLEM AND INSTRUCTED THEM TO START UP UNIT 428 AND PUT IT ONLINE TO REPLACE UNIT 427.  UPON INVESTIGATION OF THE FAILURE, TECHNICIAN IDENTIFIED A TUBING SENSING LINE, THAT WENT TO THE UNIT RELIEF VALVE, HAD FAILED RESULTING IN THE CAUSE OF THE RELIEF VALVE VENTING.  AT 14:20, TECHNICIAN STARTED GATHERING DATA TO DETERMINE THE AMOUNT OF GAS LOSS THAT WAS VENTED DURING THIS INCIDENT.  AT 14:55, IT WAS DETERMINED THAT THE GAS LOSS FOR THE INCIDENT WAS 8,475 MSCF MAKING THIS A REPORTABLE INCIDENT. AT 15:03, DOT COMPLIANCE WAS NOTIFIED OF THE REPORTABLE INCIDENT.  AT 15:23, NOTIFICATION WAS MADE TO THE NATIONAL RESPONSE CENTER (INCIDENT REPORT # 1399561).  ON 05/20/24 AT 08:00, TUBING LINE WAS REPLACED (WITH A HIGH-PRESSURE FLEX STEEL LINE TO PREVENT INCIDENT FROM RECURRING AGAIN IN THE FUTURE), RELIEF VALVE WAS RETESTED AND PUT BACK IN SERVICE.</t>
  </si>
  <si>
    <t>AR</t>
  </si>
  <si>
    <t>OUACHITA</t>
  </si>
  <si>
    <t>SM-23</t>
  </si>
  <si>
    <t>API 5L</t>
  </si>
  <si>
    <t>MECHANICAL PUNCTURE</t>
  </si>
  <si>
    <t>NOTIFICATION FROM THIRD PARTY THAT CAUSED THE INCIDENT</t>
  </si>
  <si>
    <t>NO SCADA ON THIS PARTICULAR PIPELINE SEGMENT. INCIDENT WAS CALLED IN BY THIRD PARTY.</t>
  </si>
  <si>
    <t>EXCAVATION DAMAGE</t>
  </si>
  <si>
    <t>EXCAVATION DAMAGE BY THIRD PARTY</t>
  </si>
  <si>
    <t>18î ñ 36î</t>
  </si>
  <si>
    <t>CONTRACTOR</t>
  </si>
  <si>
    <t>BULLDOZER</t>
  </si>
  <si>
    <t>GRADING</t>
  </si>
  <si>
    <t>UNKNOWN/OTHER</t>
  </si>
  <si>
    <t>NOTIFICATION ISSUE</t>
  </si>
  <si>
    <t>NO NOTIFICATION MADE TO THE ONE-CALL CENTER/811</t>
  </si>
  <si>
    <t>DANIEL ANTOINE</t>
  </si>
  <si>
    <t>SR. DOT SPECIALIST</t>
  </si>
  <si>
    <t>daniel.antoine@energytransfer.com</t>
  </si>
  <si>
    <t>501-351-8513</t>
  </si>
  <si>
    <t>MATT GREENE</t>
  </si>
  <si>
    <t>matthew.greene@energytransfer.com</t>
  </si>
  <si>
    <t>870-703-0482</t>
  </si>
  <si>
    <t>DIRECTOR REGULATORY COMPLIANCE</t>
  </si>
  <si>
    <t>ON THURSDAY, MAY 9TH AT APPROXIMATELY 1:25PM CENTRAL TIME, EMMET OPERATIONS RECEIVED A CALL FROM A THIRD PARTY ABOUT A POSSIBLE LINE STRIKE WITH A GAS RELEASE. AT 1:38PM, OPERATIONS PERSONNEL CONFIRMED THAT A THIRD PARTY HAD STRUCK LINE SM-23 WITH A BULLDOZER CAUSING A GAS RELEASE. NO ONE WAS INJURED AND THE GAS DID NOT IGNITE. AN OPERATIONS TECHNICIAN REMAINED ON SITE TO MONITOR THE RELEASE WHILE ONE TECHNICIAN WENT TO THE UPSTREAM VALVE SITE AND ANOTHER TECHNICIAN MOBILIZED TO THE DOWNSTREAM VALVE SITE. PRESSURE AT THE TIME OF THE STRIKE WAS 550PSIG; PRESSURE WAS LOWERED TO 350PSIG AND MONITORED. THE DECISION TO MONITOR PRESSURE WAS MADE TO AVOID SIGNIFICANT OUTAGES TO RESIDENTIAL CUSTOMERS. ONCE CUSTOMER NOTIFICATIONS WERE FINALIZED, THE PIPELINE WAS SHUNT IN AND BLOWN DOWN. A TYPE B SLEEVE WAS INSTALLED OVER THE DEFECT AND THE PIPELINE WAS PURGED AND RETURNED TO SERVICE ON FRIDAY MAY 10TH AT APPROXIMATELY 4:40PM CENTRAL TIME.    THE PIPELINE WAS STRUCK BY A THIRD PARTY LOGGING COMPANY. THE CONTRACTORS WORKING FOR THE LOGGING COMPANY DID NOT COMPLETE A ONE CALL AND WERE NOT AUTHORIZED TO PERFORM WORK ON THE SM-23 RIGHT OF WAY.</t>
  </si>
  <si>
    <t>100-2 36-INCH</t>
  </si>
  <si>
    <t>MAINLINE FIRE GATE VALVE FAILED TO SEAL CLOSED</t>
  </si>
  <si>
    <t>FAULTY WIRE ON GAS DETECTION SYSTEM</t>
  </si>
  <si>
    <t>LEAD SPECIALIST DOT COMPLIANCE</t>
  </si>
  <si>
    <t>409-202-3088</t>
  </si>
  <si>
    <t>MANAGER - DOT COMPLIANCE</t>
  </si>
  <si>
    <t>ON APRIL 30, 2024 AT APPROXIMATELY 5:52 PM, GAS CONTROL RECEIVED AN ALARM AND DISPATCHED ETE PERSONNEL TO THE LONGVILLE COMPRESSOR STATION.  ETE FOUND THE ESD SYSTEM HAD BEEN SET OFF AND THE STATION WAS BLOWING GAS. MAIN FIRE GATE VALVE DID NOT SEAL OFF AND CONTINUED TO BLOW GAS FOR AN ADDITIONAL FORTY-THREE MINUTES UNTIL EMPLOYEES DETERMINED WHICH FIRE GATE VALVE WAS CAUSING THE STATION NOT TO BLOW DOWN.      IT WAS DETERMINED THAT THE ESD SYSTEM WAS TRIGGERED BY A FAULTY WIRE CAUSED THE GAS DETECTION SYSTEM TO THE SOUTH GAS DETECTOR ON 4509 TO INDICATE A FALSE READING WITH UP TO 50% LEL AND OVER RANGE.      AFTER FURTHER INVESTIGATION, IT WAS DETERMINED AT 4:15 PM ON MAY 1, 2024 APPROXIMATELY 67.68 MMSCF OF NATURAL GAS WAS RELEASED TO THE ATMOSPHERE.    MAIN FIRE GATE PLUG VALVE WAS DISASSEMBLED, INSPECTED, REASSEMBLED AND GREASED, TESTED FOR FUNCTIONALITY AND SEALING OFF AGAINST POSITIVE PRESSURE.    EQUIPMENT WAS RETURNED TO SERVICE.    SUPPLEMENTAL/FINAL    -UPDATED TIME IN A4 &amp; A16A  -UPDATED C3 TO VALVE</t>
  </si>
  <si>
    <t>STINGRAY PIPELINE COMPANY, LLC</t>
  </si>
  <si>
    <t>IDLE</t>
  </si>
  <si>
    <t>STINGRAY PIPELINE</t>
  </si>
  <si>
    <t>LINE 1004C-100 30-INCH (3394)</t>
  </si>
  <si>
    <t>OCS-GULF OF MEXICO</t>
  </si>
  <si>
    <t>WEST CAMERON</t>
  </si>
  <si>
    <t>U.S. STEEL</t>
  </si>
  <si>
    <t>CONCRETE</t>
  </si>
  <si>
    <t>LAUNCHER IS SUBSEA</t>
  </si>
  <si>
    <t>OFFSHORE GATHERING</t>
  </si>
  <si>
    <t>CONTRACTOR WORKING FOR THE OPERATOR</t>
  </si>
  <si>
    <t>INCIDENT DUE TO A SMALL PINHOLE AND WAS TOO SMALL FOR SCADA TO DETECT</t>
  </si>
  <si>
    <t>ON 4/20/24 AT APPROXIMATELY 15:30 WHILE ADDING PRESSURE TO THE PIPELINE IN ORDER TO LOCATE A LEAK POINT FROM 02/02/24, A SHEEN WAS SPOTTED IN WC 538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</si>
  <si>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ON 4/20/24 AT APPROXIMATELY 15:30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</si>
  <si>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LINE 1004C-100 30-INCH</t>
  </si>
  <si>
    <t>ON 4/20/24 AT APPROXIMATELY 09:26 WHILE ADDING PRESSURE TO THE PIPELINE IN ORDER TO LOCATE A LEAK POINT FROM 02/02/24, A SHEEN WAS SPOTTED IN WC 550 BY THE OVERFLIGHT.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</si>
  <si>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ON 4/19/24 AT APPROXIMATELY 17:54 WHILE ADDING PRESSURE TO THE PIPELINE IN ORDER TO LOCATE A LEAK POINT FROM 02/02/24, A SHEEN WAS SPOTTED IN WC 564 NEAR THE ORIGINAL COORDINATES OF THE LEAK BY THE OVERFLIGHT.  SONAR WAS USED TO SCAN THE AREA BUT WAS UNABLE TO SEE THE SOURCE USING THAT TECHNOLOGY. THE SHEEN WAS LOCATED APPROXIMATELY ONE MILE FROM THE LOCATION WHERE THE DSV WAS WORKING TO LOCATE A LEAK.  OVERFLIGHTS ARE BEING CONDUCTED DAILY AND CURRENTLY THERE IS NO SHEEN OR BUBBLES BEING RELEASED.    THE FOLLOWING INFORMATION WAS GIVEN TO BRYAN LETHCOE, ANTHONY WRIGHT AND GERY BAUMAN FOR THE FOUR SHEENS FOUND DURING THE REPAIR OF LEAK 7:  -LEAK 7 DISCOVERED IN FEBRUARY  -LINE PRESSURE WAS LOWERED FROM 125-150PSIG TO BELOW BOTTOM PRESSURE TO STOP LEAK  -DSV DEPLOYMENT WAS DELAYED DUE TO OTHER COMMITMENTS AND WEATHER CONDITIONS  -ONCE DSV WAS AVAILABLE LINE PRESSURE WAS INCREASED IN ORDER TO LOCATE LEAK 7  -2X DAILY OVERFLIGHTS NOTED SEPARATE SHEENS AND AREA OF SURFACE BUBBLES AFTER PRESSURE WAS INCREASED.  --3 SHEENS  --1 AREA OF BUBBLES  -DSV CREW POSITIVELY IDENTIFIED LEAK 7  -PRESSURE WAS PULLED DOWN BELOW 70PSIG TO STOP OTHER 4 LEAKS  --THESE 4 ADDITIONAL LEAKS HAVE NOT BEEN POSITIVELY LOCATED  --SHEENS ARE SHRINKING  --OVERFLIGHTS CONTINUE  -CLAMP INSTALLED ON LEAK 7  -LEAKS ARE BEING EVALUATED AND FUTURE USE OF LINE TO BE DETERMINED  -PRESSURE IS CURRENTLY BE MAINTAINED BELOW 50 PSI</t>
  </si>
  <si>
    <t>LAREDO</t>
  </si>
  <si>
    <t>SME L 11 NORTH 12-INCH</t>
  </si>
  <si>
    <t>CALIFORNIA STEEL INDUSTRIES</t>
  </si>
  <si>
    <t>NOTIFICATION FROM PRODUCER SM ENERGY</t>
  </si>
  <si>
    <t>LOCALIZED PITTING</t>
  </si>
  <si>
    <t>THE COMBINATION OF LOW FLOW, SIDERITE, AND IRON SULFIDE</t>
  </si>
  <si>
    <t>713-398-7715</t>
  </si>
  <si>
    <t>ON APRIL 17TH 2024, AT APPROXIMATELY 12:00 ENERGY TRANSFER RECEIVED A NOTIFICATION FROM THE PRODUCER SM ENERGY, OF A POSSIBLE LEAK IN THE AREA. ET PERSONNEL PROCEEDED WITH ISOLATING THE LINE AND AT 14:03 THE VALVES WERE LOCKED OUT. AT APPROXIMATELY 14:45, ENERGY TRANSFER PERSONNEL CONFIRMED A LEAK ON THE SME L11 12-INCH PIPELINE   (28.122918, -99.967259) AND PROCEEDED WITH BLOWING DOWN THE LINE. THIS IS A 12-INCH TYPE C GAS GATHERING LINE IN A RURAL AREA LOCATED IN WEBB COUNTY NEAR LAREDO, TX    AN ESTIMATED 22 MCF OF UNINTENTIONAL GAS WAS RELEASED. IT WAS DETERMINED UPON CONFIRMED DISCOVERY THAT THIS INCIDENT WOULD BE REPORTABLE DUE TO THE ESTIMATE OF PROPERTY DAMAGE AND REPAIR COST. THIS INCIDENT WAS REPORTED TO THE NRC ON APRIL 17TH 2024, AT 2:57PM    THE LINE WAS EXCAVATED AND A COUPON (36-INCHES LONG: 0.250-INCH WT) WAS SENT INTO ADV INTEGRITY FOR 3RD PARTY ANALYSIS.  FAILURE WAS FOUND TO BE AT THE 6 OCLOCK POSITION; PIT WAS MEASURED TO BE 0.5 INCHES IN DIAMETER.  SEDIMENT WAS FOUND, REMOVED, AND ANALYZED AT THE 6 OCLOCK POSITION OF THE PIPE.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OUR EFFORTS TO MITIGATE THIS ISSUE IS TO MODIFY OUR MAINTENANCE PLAN BY INCORPORATING CHEMICAL TREATMENT FOR IRON SULFIDE AND SOLID DEPOSITS ALONG WITH OUR ROUTINE MAINTENANCE AND PIGGING</t>
  </si>
  <si>
    <t>BRISCOE R SA 21H, 22H, 23H</t>
  </si>
  <si>
    <t>HYUNDAI</t>
  </si>
  <si>
    <t>ON APRIL 14, 2024, AT 9:43AM ENERGY TRANSFER RECEIVED A NOTIFICATION FROM THE PRODUCER SM ENERGY OF A POSSIBLE LEAK IN THE AREA. ET PERSONNEL ARRIVED ON SITE TO INVESTIGATE AT 11:00AM. AT 11:11AM ET PERSONNEL SHUT IN THE BRISCOE R 21H. THIS IS A 10-INCH TYPE C GAS GATHERING LINE IN A RURAL AREA LOCATED IN WEBB COUNTY NEAR LAREDO, TX. AFTER THE LINE WAS EXCAVATED AND EXPOSED,  ET WAS ABLE CONFIRM DISCOVERY ON APRIL 15, 2024 AT 9:00AM. THE LOCATION OF THE LEAK WAS DISCOVERED AT 28.069722, - 99.934444.  UPON CONFIRMED DISCOVERY IT WAS DETERMINED THAT THIS INCIDENT WOULD BE REPORTABLE DUE TO THE ESTIMATE OF PROPERTY DAMAGE AND REPAIR COST. THIS INCIDENT WAS REPORTED TO THE NRC ON APRIL 15, 2024, AT 10:04AM    AN ESTIMATED 22.5 MCF OF GAS WAS UNINTENTIONALLY RELEASED.    THE LINE WAS EXCAVATED, AND COUPONS WERE SENT TO ADV INTEGRITY FOR 3RD PARTY ANALYSIS. FAILURES WERE FOUND TO BE AT THE 6 OCLOCK POSITION; TWO OF THE PITS MEASURED ABOUT 1/4-INCH IN DIAMETER, WHILE THE OTHER PIT MEASURED 1/8-INCH  IN DIAMETER.  SEDIMENT WAS FOUND, REMOVED, AND ANALYZED AT THE 6 OCLOCK POSITION OF THE PIPELINE.  THE FINDINGS SHOWED THE SEDIMENT HAD PRESENCE OF SIDERITE. AFTER REVIEWING OPERATIONAL AND HISTORICAL RECORDS ALONG WITH A LAB ANALYSIS WE HAVE CONCLUDED THAT THE COMBINATION OF SIDERITE, SAND, IRON SULFIDE, AND OTHER DEBRIS LED TO UNDER DEPOSIT CORROSION AND TO AN EVENTUAL FAILURE. THIS LINE IS CURRENTLY NON-PIGGABLE . OUR EFFORTS TO MITIGATE THIS ISSUE IS TO MODIFY OUR QUARTERLY MAINTENANCE PLAN BY INCORPORATING CHEMICAL TREATMENT FOR IRON SULFIDE AND SOLID DEPOSITS.</t>
  </si>
  <si>
    <t>ALTO</t>
  </si>
  <si>
    <t>CHEROKEE</t>
  </si>
  <si>
    <t>20101162 VANTEX_MARATHON 8IN TIEIN</t>
  </si>
  <si>
    <t>UNCASED</t>
  </si>
  <si>
    <t>UNNAMED CREEK</t>
  </si>
  <si>
    <t>BELOW WATER, PIPE BURIED BELOW BOTTOM (NOT IN BORED/DRILLED CROSSING)</t>
  </si>
  <si>
    <t>TEXTUBE CO</t>
  </si>
  <si>
    <t>NO LAUNCHERS/RECEIVERS</t>
  </si>
  <si>
    <t>SLADE BEARD</t>
  </si>
  <si>
    <t>SENIOR SPECIALIST-DOT COMPLIANCE</t>
  </si>
  <si>
    <t>slade.beard@energytransfer.com</t>
  </si>
  <si>
    <t>430-258-1223</t>
  </si>
  <si>
    <t>ON APRIL 5, 2024, AT APPROXIMATELY 11:45AM, ENERGY TRANSFER DETECTED A LEAK IN THE RIGHT OF WAY OF A GATHERING LINE LOCATED AT 31.67124, -95.15346.  AT THIS POINT, THE GATHERING LINE WAS ISOLATED, AND PRODUCERS WERE NOTIFIED TO SHUT IN.      ON APRIL 6, 2024, AT 9:12AM CREWS ARRIVED ON SEEN TO BEGIN EXCAVATION ON SITE ONLY TO DISCOVER THERE WAS NO LEAK PRESENT ON THE GATHERING LINE.      ON APRIL 6, 2024, AT 11:55AM THE LEAK WAS CONFIRMED TO BE ON A TRANSMISSION LINE IN THE SAME RIGHT OF WAY CORRIDOR, 20101162 VANTEX MARATHON 8IN. BY 12:30PM THE LINE WAS ISOLATED AT THE UPSTREAM AND DOWNSTREAM VALVES.     AN ESTIMATED 4723 MCF OF UNINTENTIONAL GAS WAS LOST, AS WELL AS 299 MCF FROM BLOWDOWN.  ON APRIL 6, 2024, AT 12:48PM THE NATIONAL RESPONSE CENTER(NRC) WAS NOTIFIED.</t>
  </si>
  <si>
    <t>KS</t>
  </si>
  <si>
    <t>LYON</t>
  </si>
  <si>
    <t>MP 3.46</t>
  </si>
  <si>
    <t>OPLE 300</t>
  </si>
  <si>
    <t>OLPE - 41-03-003-1200</t>
  </si>
  <si>
    <t>API-5LX</t>
  </si>
  <si>
    <t>NORMAL FLOWS AND OPERATIONS.</t>
  </si>
  <si>
    <t>DOT COMPLIANCE SPECIALIST</t>
  </si>
  <si>
    <t>DIRECTOR DOT COMPLIANCE</t>
  </si>
  <si>
    <t>AT 12:54PM PEPL EMPLOYEE RECEIVED CALL FROM A LANDOWNER THAT HE COULD HEAR A LEAK AND SEE VAPOR EAST OF ROAD N AND SOUTH OF 100 RD. AT 1:00PM NOTIFIED EMPLOYEES AT OLPE STATION TO GO TO LOCATION AND CONFIRM LEAK AND LOCATION. AT 1:15PM THE LOCATION AND LEAK WERE CONFIRMED AND BELIEVED TO BE THE 300L. AT 1:17PM SENT AN EMPLOYEE TO PROTECT LEAK SITE AND TWO EMPLOYEES TO 300L WEST RIVER HEADER FOR ISOLATION. AT 1:23PM STATION VALVE 554-3 WAS CLOSED. AT 1:45PM A GAUGE WAS PLACED ON 554-3 DSBO 642PSI TO CONFIRM THE 300L WAS LEAKING BY PRESSURE DROP. AT 1:47PM CALLED LYON COUNTY DISPATCH AND INFORMED OF THE SITUATION AND LOCATION, WAS ASKED IF ASSISTANCE WAS NEEDED, INFORMED THEM THAT NO ASSISTANCE WAS NEEDED AT THE TIME. AT 1:48PM WEST RIVER HEADER VALVE 326W WAS CLOSED, AND AT 1:55PM 516 W-1W WAS OPENED. AT 2:10PM THE STATION PRESSURE WAS AT 569 PSI. AT 2:17PM VALVE 516W-2W WAS OPENED. AT 2:20PM STATION PRESSURE WAS AT 545 PSI. AT 2:28PM STARTED BLOWDOWN. AT 2:38PM 2 GATE 300-400 CROSSOVER VALVE 302-E OPENED. AT 2:39PM 2 GATE 300-400 CROSSOVER VALVE 402-E OPENED. AT 3:19PM ISOLATED SECTION WAS BLOWN FLAT.    ON 4/11/2024 PIPE WAS EXPOSED, AND LEAK IDENTIFIED AS A CRACKED WELD. A 44-FOOT PIPE SEGMENT WAS CUT OUT AND REPLACED.  A SPECIMEN WAS SENT TO THE LAB FOR EVALUATION AND DETERMINATION OF CAUSE.     THE LAB REPORT WAS COMPLETED ON 11/1/2024 AND FOUND THAT THE LEAK WAS CAUSED BY A COMBINATION OF A PREEXISTING DELAYED HYDROGEN CRACK ON THE INTERNAL PIPE SURFACE AT THE TOE OF THE GIRTH WELD, THE PRESENCE OF A CONCENTRATED AXIAL STRESS AT THE BOTTOM OF THE PIPE, AND THE EXCEEDANCE OF THE GIRTH WELD'S TENSILE STRAIN CAPACITY.  THE CRACK MEASURED 34 INCHES LONG CIRCUMFERENTIALLY ALONG THE BOTTOM SIDE OF THE GIRTH WELD.</t>
  </si>
  <si>
    <t>SEALY</t>
  </si>
  <si>
    <t>AUSTIN</t>
  </si>
  <si>
    <t>2716+55</t>
  </si>
  <si>
    <t>OLD OCEAN 24-INCH</t>
  </si>
  <si>
    <t>9054 LINE O AMOCO PLANT BELLVILLE OLD OCEAN</t>
  </si>
  <si>
    <t>FLASH WELDED</t>
  </si>
  <si>
    <t>A.O. SMITH</t>
  </si>
  <si>
    <t>KRAFT PAPER WRAP</t>
  </si>
  <si>
    <t>LINE STRIKE BY 3RD PARTY DAMAGE</t>
  </si>
  <si>
    <t>MEASURED DEPTH FROM GRADE</t>
  </si>
  <si>
    <t>FENCING</t>
  </si>
  <si>
    <t>JOE STOVER</t>
  </si>
  <si>
    <t>SR. SPECIALIST - DOT COMPLIANCE</t>
  </si>
  <si>
    <t>713-989-7715</t>
  </si>
  <si>
    <t>A THIRD-PARTY CONTRACTOR BUILDING A FENCE FOR A LANDOWNER FAILED TO MAKE A ONE CALL AND STRUCK THE SOUTH OOPL 24 INCH WITH A SKID STEER POST DRIVER CRACKING THE PIPE CAUSING A GAS LEAK. THE LANDOWNER CALLED THE NUMBER ON THE LINE MARKER ADJACENT TO THE FENCE CONSTRUCTION AND NOTIFIED OUR GAS CONTROL OF THE LEAK. ET GAS CONTROL NOTIFIED OPERATIONS AND THE LEAK WAS LOCATED AND THE AREA WAS SECURED. THE PIPE SEGMENT WAS THEN ISOLATED, AND A CONTROLLED BLOWDOWN WAS COMPLETED. THE AREA WAS DEEMED SAFE FOR ENTRY. ET CONSTRUCTION THEN EXCAVATED AND REPAIRED THE PIPE BY MEANS OF PIPE REPLACEMENT. AFTER REPAIRS WERE MADE THE PIPELINE WAS PUT BACK INTO SERVICE.</t>
  </si>
  <si>
    <t>SEA ROBIN EI BLOCK 295</t>
  </si>
  <si>
    <t>3330 LINE 709</t>
  </si>
  <si>
    <t>BELOW WATER, PIPE ON OR ABOVE SEABED</t>
  </si>
  <si>
    <t>API 5L X-52</t>
  </si>
  <si>
    <t>SINGLE SAW</t>
  </si>
  <si>
    <t>OFFSHORE LOCATION MULTIPLE DIAMETER PIPE</t>
  </si>
  <si>
    <t>BSEE</t>
  </si>
  <si>
    <t>SR. ANALYST - DOT COMPLIANCE</t>
  </si>
  <si>
    <t>ON FEBRUARY 15, 2024 AT APPROXIMATELY 17:57, ET WAS NOTIFIED BY BSEE OF A POSSIBLE LEAK IN EUGENE ISLAND BLOCK 295.  ET PERSONNEL PLOTTED THE COORDINATES AND DETERMINED THE BUBBLES WERE APPROXIMATELY 1000 FEET FROM OUR NEAREST PIPELINE AND WITHIN 100 FEET OF A PRODUCER'S LINE.      DUE TO POOR WEATHER CONDITIONS AND CONTRACTOR AVAILABILITY, WE COULD NOT COMPLETE THE INVESTIGATION UNTIL FEBRUARY 24, 2024.  AT THAT TIME, ET PERSONNEL AND THE PRODUCER PERFORMED A JOINT INVESTIGATION TO SEE WHICH LINE THE LEAK WAS LOCATED ON.  IT WAS DETERMINED THE LEAK WAS COMING FROM LINE 709 (SEG# 3330).  PRODUCTION WAS SHUT-IN AND PIPELINE WAS ISOLATED.    ET PERSONNEL DEPRESSURIZED THE PIPELINE.  WE ARE CURRENTLY WAITING FOR DSV AVAILABILITY TO MAKE REPAIRS.    DUE TO DSV AVAILABILITY AND WEATHER CONDITIONS, THE REPAIR CONTRACTOR WAS NOT ABLE TO MAKE REPAIRS UNTIL APRIL 13, 2024. THE DSV CONTRACTOR WAS ABLE TO LOCATE THE LEAK AND INSTALL A CLAMP AT APPROXIMATELY 21:06.      ET PERSONNEL CHECKED FOR LEAKS AND STARTED EQUALIZING ON APRIL 14, 2024 AT APPROXIMATELY 23:27.    THE CAUSE OF THE LEAK WAS DETERMINED TO BE INTERNAL CORROSION DUE TO A PINHOLE AT THE 6 OCLOCK POSITION.</t>
  </si>
  <si>
    <t>SME L11 NORTH 12-INCH</t>
  </si>
  <si>
    <t>NOTIFICATION FROM PRODUCER</t>
  </si>
  <si>
    <t>MIXED MECHANISMS OF INTERNAL CORROSION</t>
  </si>
  <si>
    <t>ON FEBRUARY 14, 2024 AT APPROXIMATELY 4:53 PM, ENERGY TRANSFER PERSONNEL CONFIRMED A LEAK ON THE SME L11 12IN PIPELINE (28.135952, - 99.964216). THIS IS A 12IN TYPE C GAS GATHERING LINE IN A RURAL AREA LOCATED IN WEBB COUNTY NEAR LAREDO, TX. OPERATIONS PROCEEDED WITH LINE ISOLATION AND UPSTREAM AND DOWNSTREAM VALVES WERE LOCKED OUT AND TAGGED OUT BY 6:20 PM.     INVESTIGATION REVEALED THAT THE APPARENT CAUSE OF THE INCIDENT WAS DUE TO INTERNAL CORROSION (MIC).    AN ESTIMATED 27.80 MCF OF UNINTENTIONAL GAS WAS RELEASED AND AN ESTIMATED 25 BBLS OF ACCOMPANYING LIQUID (FULL WELLSTREAM MIXTURE OF CONDENSATE AND WATER) WAS RELEASED. AT THE TIME, THIS INCIDENT DID NOT MEET REPORTING CRITERIA, BUT AFTER FURTHER CALCULATIONS AND INVESTIGATING, IT WAS DETERMINED THAT THE PROPERTY DAMAGE AND REPAIR COST WAS GOING TO EXCEED THE REPORTING CRITERIA. ON FEBRUARY 14, 2023, THIS INCIDENT WAS REPORTED TO THE NATIONAL RESPONSE CENTER (NRC) AT 5:46 PM.</t>
  </si>
  <si>
    <t>ON 2/1/2024 AT APPROXIMATELY 22:15, MSU PORT ARTHUR CALLED ABOUT A SHEEN IN WC 551 NEAR THE STINGRAY PIPELINE. THE LINE WAS ALREADY SHUT IN AND PIPELINE VALVES REMAINED CLOSED. ON 2/2/2024 A SCHEDULED OVERFLIGHT CONFIRMED THE LEAK TO ON THE STINGRAY 1004C-100 30-INCH LINE.    A SUPPLEMENTAL REPORT WILL BE SUBMITTED ONCE A CAUSE HAS BEEN DETERMINED.     UPDATE 04/23/24:  ' LEAK 7 DISCOVERED ON 2/2/24  ' LINE PRESSURE WAS LOWERED FROM 125-150PSIG TO BELOW BOTTOM PRESSURE TO STOP LEAK  ' DSV DEPLOYMENT WAS DELAYED DUE TO OTHER COMMITMENTS AND WEATHER CONDITIONS  ' ONCE DSV WAS AVAILABLE LINE PRESSURE WAS INCREASED IN ORDER TO LOCATE LEAK 7  ' 2X DAILY OVERFLIGHTS NOTED SEPARATE SHEENS AND AREA OF SURFACE BUBBLES AFTER PRESSURE WAS INCREASED.  O 3 SHEENS  O 1 AREA OF BUBBLES  ' DSV CREW POSITIVELY IDENTIFIED LEAK 7  ' PRESSURE WAS PULLED DOWN BELOW 60 PSIG TO STOP OTHER 4 LEAKS  O THESE 4 ADDITIONAL LEAKS HAVE NOT BEEN POSITIVELY LOCATED  O SHEENS ARE SHRINKING  O OVERFLIGHTS CONTINUE  ' CLAMP CURRENTLY BEING INSTALLED ON LEAK 7  ' AFTER LEAK 7 REPAIR IS COMPLETE ADDITIONAL LEAKS WILL BE EVALUATED AND FUTURE USE OF LINE TO BE DETERMINED  ' PRESSURE WILL CONTINUE TO BE MAINTAINED BELOW BOTTOM PRESSURE     UPDATE 04/24/24:  ' DSV COMPLETED INSTALLATION OF FIRST CLAMP AT 00:38   ' LEAK WAS DUE TO INTERNAL CORROSION  ' TOTAL VOLUME RELEASED SINCE START OF INCIDENT 7.9 BBLS</t>
  </si>
  <si>
    <t>SAREPTA</t>
  </si>
  <si>
    <t>WEBSTER</t>
  </si>
  <si>
    <t>261+22</t>
  </si>
  <si>
    <t>TEPPCO 8INCH</t>
  </si>
  <si>
    <t>MIN-3-1-3</t>
  </si>
  <si>
    <t>713-380-3283</t>
  </si>
  <si>
    <t>AT 16:06 ON 1/25/24, AN ETC FIELD OPERATIONS MANAGER WAS NOTIFIED OF A POSSIBLE LEAK NEAR FIRE TOWER ROAD, EAST OF SAREPTA, LA.  THE ETC MANAGER DISPATCHED FIELD OPERATIONS PERSONNEL FOR EMERGENCY RESPONSE.  AT APPROXIMATELY 16:25, IT WAS CONFIRMED THAT IT WAS A PIPELINE RUPTURE.  AT APPROXIMATELY 16:35, THE LINE WAS ISOLATED AND DE-PRESSURIZED. CLEARED BY THE  VOLUNTEER FIRE DEPARTMENT RESPONDERS WERE ON THE SCENE AND FIRE TOWER ROAD WAS SHUT DOWN FOR APPROXIMATELY 15 MINUTES AT WHICH TIME THE FIRE DEPARTMENT CLEARED THE SCENE.  THE EMERGENCY ISOLATION VALVES WERE LOCKED AND TAGGED OUT.  ON 1/26/24, AS EXTRA PRECAUTION, ETC FIELD OPERATIONS ISOLATED AND BLEW DOWN ON BOTH SIDES OF THE SECTION THAT WAS BLOCKED IN FOR THE LEAK.  THESE SECTIONS WERE BLOWN DOWN TO APPROXIMATELY 5 PSIG.    THE PIPELINE IS SHUT-IN AND WAITING FOR REPAIRS.</t>
  </si>
  <si>
    <t>GALVAN G5LT CDP COMPRESSOR STATION</t>
  </si>
  <si>
    <t>MATERIAL OTHER THAN CARBON STEEL OR PLASTIC</t>
  </si>
  <si>
    <t>MILD STEEL ENGINE CASTING</t>
  </si>
  <si>
    <t>CONNECTION FAILURE</t>
  </si>
  <si>
    <t>INVESTIGATION IDENTIFIED NO CONTROLLER ISSUES. CONTROLLER ACTIONS WERE CONSISTENT WITH COMPANY PROTOCOL.</t>
  </si>
  <si>
    <t>THREADED CONNECTION/COUPLING FAILURE</t>
  </si>
  <si>
    <t>THREADED FITTING</t>
  </si>
  <si>
    <t>REFERENCE NARRATIVE IN PART H</t>
  </si>
  <si>
    <t>ON JANUARY 24, 2024, AT APPROXIMATELY 01:57, ENERGY TRANSFER (ET) PERSONNEL WERE NOTIFIED BY GAS CONTROL OF A COMPRESSOR SHUT DOWN AT THE GALVAN G5L CDP COMPRESSOR STATION. THIS STATION IS TIED TO THE G5LTS-8 LINE, WHICH IS A TYPE C GAS GATHERING LINE LOCATED IN WEBB COUNTY. ET PERSONNEL ARRIVED ON SITE AT 02:43 AND NOTICED THAT A UNIT WAS ON FIRE. ET PERSONNEL IMMEDIATELY INITIATED AN EMERGENCY AREA SHUT DOWN BY CLOSING THE FUEL LINE SUCTION HEADER VALVE AND DISCHARGE VALVE AT 02:45, WHICH ALLOWED THE FIRE TO BURN OUT.  DAMAGE WAS LIMITED TO THE INDIVIDUAL ENGINE.  THE UNIT WITH THE DAMAGED ENGINE WAS ISOLATED FROM THE COMMON HEADER, WHICH ALSO HAS 3 OTHER UNITS CONNECTED TO IT.  THE FACILITY WAS STARTED UP AND PUT BACK IN SERVICE ON JANUARY 24TH AT APPROXIMATELY 06:41 ON JANUARY 24TH.  THE DAMAGED ENGINE HAS BEEN ASSESSED AND A REPLACEMENT ENGINE HAS BEEN ORDERED.  INVESTIGATION REVEALED THAT THE MOST APPARENT CAUSE OF THE INCIDENT WAS THE STARTER/FUEL GAS SUPPLY DEVELOPED A LEAK AT OR NEAR THE VICINITY OF THE SEALCO VALVE. THE START/FUEL GAS LEAKAGE FOUND AN IGNITION SOURCE. THE HIGH HEAT CAUSED THE SEALCO VALVE TO LOSE ITS INTEGRITY AND SEPARATE INTO PIECES. THIS ALLOWED THE 120# OF FUEL GAS TO FUEL THE FIRE.</t>
  </si>
  <si>
    <t>ONLY ONE COMPRESSOR SHUTDOWN</t>
  </si>
  <si>
    <t>POLLOCK</t>
  </si>
  <si>
    <t>GRANT</t>
  </si>
  <si>
    <t>POLLOCK COMPRESSOR STATION</t>
  </si>
  <si>
    <t>100-3 24-INCH</t>
  </si>
  <si>
    <t>RELIEF VALVE LIFTED</t>
  </si>
  <si>
    <t>192.619(C)</t>
  </si>
  <si>
    <t>A REVIEW OF THE ACCIDENT DETERMINED THAT THERE WERE NO CONTROL ROOM ACTIONS THAT CONTRIBUTED TO THE EVENT.</t>
  </si>
  <si>
    <t>AGE RELATED</t>
  </si>
  <si>
    <t>ON 01/11/24 AT APPROXIMATELY 03:00, AN OVERPRESSURE PROTECTION VALVE FAILED AT POLLOCK COMPRESSOR STATION ALLOWING THE UNIT BLOWDOWN VALVE TO OPEN. THE UNIT WAS SHUTDOWN CAUSING THE RELIEF VALVE TO STOP BLOWING GAS.    AFTER FURTHER INVESTIGATION, IT WAS DETERMINED AT 15:10 THAT APPROXIMATELY 15 MMSCF OF NATURAL GAS WAS RELEASE TO THE ATMOSPHERE.    PILOT/RV WERE FUNCTIONALLY TESTED. DURING FUNCTION TESTING, THE DEVICE WOULD LIFT EARLY AND AT INCONSISTENT PRESSURES.    PILOT/RV WAS REPLACED, AND FUNCTION TESTED.    UNIT WAS RETURNED TO SERVICE.</t>
  </si>
  <si>
    <t>GARLAND</t>
  </si>
  <si>
    <t>BT-1-AN AT JESSIEVILLE JUNCTION</t>
  </si>
  <si>
    <t>BT-1-AN</t>
  </si>
  <si>
    <t>API-5L</t>
  </si>
  <si>
    <t>A.O. SMITH/US STEEL</t>
  </si>
  <si>
    <t>ENVIRONMENTAL CRACKING-RELATED</t>
  </si>
  <si>
    <t>STRESS CORROSION CRACKING</t>
  </si>
  <si>
    <t>STANDARD RESOLUTION</t>
  </si>
  <si>
    <t>ON 10/04/2023 AT APPROXIMATELY 443PM, BT-1-AN, A NATURAL GAS TRANSMISSION PIPELINE, RUPTURED AND IGNITED AT JESSIEVILLE JUNCTION.   -443PM: SYSTEM CONTROL WAS NOTIFIED BY A CALLER FROM THE GENERAL PUBLIC AT 443PM  -445PM: THE LEAD GAS CONTROLLER BEGAN NOTIFYING OPS PERSONNEL AT 445PM OF A POSSIBLE FAILURE AT JESSIEVILLE JUNCTION.  -447PM: THE LEAD GAS CONTROLLER RECEIVED A RATE OF CHANGE ALARM INDICATING A RAPID LOSS OF LINE PRESSURE.  -529PM: OPS PERSONNEL ARRIVED ON SITE AND CONFIRMED THAT A PIPELINE HAD FAILED AT JESSIEVILLE JUNCTION.  -531PM: OPS PERSONNEL ISOLATED THE DOWNSTREAM VALVE 16" BT-1-AS VALVE AT HWY 88.  -544PM: NRC NOTIFICATION WAS MADE (NRC# 1380909); 48HR NRC UPDATE (NRC# 1381352)  -615PM: DETERMINATION WAS MADE THAT ABOVE GROUND PIPING FOR BT-1-AN 24", BT-1 16", BT-1-AS 16", AND BT-1 30" WERE AFFECTED AT JESSIEVILLE JUNCTION.  -630PM: OPS PERSONNEL ISOLATED THE UPSTREAM VALVES FOR BT-1 16" AND BT-1-AN 24" AT DRY FORK MLV    OPS PERSONNEL MANNED THE VALVES AT DRY FORK AND HWY 88 WHILE ADDITIONAL TECHNICIANS STAYED ONSITE AT JESSIEVILLE JUNCTION THROUGHOUT THE NIGHT TO MONITOR THE FLAME AS IT BURNED OUT.    THREE PEOPLE WERE EVACUATED FROM A HOME APPROXIMATELY 645' FROM THE FAILURE SITE ON 10/04/2023; THEY WERE EVACUATED AT THE TIME OF INCIDENT AND ABLE TO RETURN TO THE HOME AT APPROXIMATELY 730PM THAT EVENING.     10/05/2023  -744AM: THE FIRE AT THE FAILURE SITE WAS CONFIRMED TO BE COMPLETELY EXTINGUISHED.  -800AM: OPS PERSONNEL INITIATED THE OPERATION OF AIR MOVERS  -1255PM: FAILURE SITE WAS CLEARED FOR ACCESS AND PERSONNEL FROM AID AND THE SW REGION WERE ABLE TO BEGIN THEIR INVESTIGATION    10/07/2023  -THE SUSPECTED ORIGIN FAILURE PIECE (BT-1-AN) WAS LOADED ON A TRUCK TO BE SHIPPED TO ADV INTEGRITY LAB IN MAGNOLIA, TX  -CONTRACT CREW BEGAN EXCAVATING BT-1-AN, BT-1 16", BT-1 30", AND BT-1-AS 16" TO THE APPROPRIATE LOCATION ON EACH SEGMENT TO CUT AND CAP.    THE METALLURGICAL TESTING RESULTS FOR THE ORIGIN PIECE OF PIPE ARE PENDING AND A SUPPLEMENTAL REPORT WILL BE FILED.     ON 10/13/2023, ENERGY TRANSFER RECEIVED A CORRECTIVE ACTION ORDER (4-2023-007 CAO EGT) DEFINING THE REQUIREMENTS TO RETURN BT-1-AN, BT-1 16", BT-1 30", AND BT-1-AS TO SERVICE FROM DRY FORK MLV TO HWY 88 GATE VALVE. THE SEGMENTS REMAIN ISOLATED AND OUT OF SERVICE AT THE OF THIS FILING.    CUSTOMER IMPACT   -THERE ARE 12 TOTAL TAPS AND 1 TOWN BORDER OUT OF SERVICE DUE TO THE ISOLATED SEGMENT FROM DRY FORK MLV TO HWY 88 GATE VALVE BEING OUT OF SERVICE.      -8 DOMESTIC STYLE TAPS AND 4 RURAL EXTENSION U-SHAPE TAPS      -HOT SPRINGS #2 TOWN BORDER  -THE LOCAL DISTRIBUTION COMPANY IN THE AREA HAS 244 CUSTOMERS AFFECTED WITH THE ISOLATED SEGMENTS FROM DRY FORK MLV TO HWY 88 GATE VALVE OUT OF SERVICE.           *SUPPLEMENTAL REPORT UPDATES*    PART C - ADDITIONAL FACILITY INFORMATION WAS UPDATED:  -3C: SMYS IS 60,000  -3F: PIPE MANUFACTURER IS A.O. SMITH/ US STEEL  -C6: TYPE OF RELEASE IS LONGITUDINAL AND APPROX. SIZE OF RELEASE  IS 30.0IN X 538IN    PART G - APPARENT CAUSE WAS UPDATED:  -G5 - "MATERIAL FAILURE OF PIPE OR WELD" WAS SELECTED AS THE APPARENT CAUSE.  -DETERMINED BY METALLURGICAL ANALYSIS.  -ENVIRONMENTAL CRACKING-RELATED "STRESS CORROSION CRACKING".  -POST CONSTRUCTION PT PRESSURE WAS ADDED    PART J - INTEGRITY INSPECTIONS  -UPDATED WITH MOST RECENT AND PREVIOUS TOOL RUN INFORMATION.    UPDATED SUPPLEMENTAL AND FINAL REPORT WITH DATE AND TIME THAT FLOW WAS ESTABLISHED ON BT-1-AN. THE PIPELINE WAS OFFICIALLY RESTARTED ON 3-28-2024 AT 19:20.</t>
  </si>
  <si>
    <t>PYOTE</t>
  </si>
  <si>
    <t>WARD</t>
  </si>
  <si>
    <t>88885654 WT APOLLO 6008442-WA 12IN</t>
  </si>
  <si>
    <t>HOWE 12IN</t>
  </si>
  <si>
    <t>NEEDING UPGRADE LAUNCHER AND RECEIVERS</t>
  </si>
  <si>
    <t>CONTROLLER</t>
  </si>
  <si>
    <t>A REVIEW OF THE ACCIDENT DETERMINED THAT THERE WERE NO CONTROL ROOM ACTIONS THAT CONTRIBUTED TO THE EVENT</t>
  </si>
  <si>
    <t>TOP QUARTER OF PIPE</t>
  </si>
  <si>
    <t>CHRISTOPHER PALAFOX</t>
  </si>
  <si>
    <t>ON SEPTEMBER 19, 2023 AT APPROXIMATELY 0800, THE CONTROL CENTER RECEIVED A CALL FROM A THIRD PARTY ABOUT A POTENTIAL LEAK ON THE 88885654 WT APOLLO 6008442-WA 12IN (HOWE 12IN), LOCATED 12 MILES SOUTH SOUTHWEST OF PYOTE, TEXAS. THE CONTROLLER NOTIFIED OPERATIONS AND AT APPROXIMATELY 0900 THE PIPELINE WAS BLOCKED AND ISOLATED BY OPERATIONS.    ONCE ONSITE, OPERATIONS CONFIRMED THE PIPELINE HAD RUPTURED.  APPROXIMATELY 5.5 MMCF OF NATURAL GAS WAS RELEASED.     AT 0730 THE WAHA GAS PLANT HAD AN OUTAGE THUS CAUSING THE PIPELINE TO PRESSURE UP.    THE CAUSE OF THE RUPTURE IS STILL UNDER INVESTIGATION.    THE RUPTURED PORTION OF THE PIPE WAS CUT OUT AND SENT TO THE LAB FOR ANALYSIS.    A SUPPLEMENTAL REPORT WILL BE SUBMITTED ONCE THE INVESTIGATION IS COMPLETE, AND THE RESULTS ARE IN FROM THE LAB.    OCTOBER 23, 2023 AT APPROXIMATELY 0300, THE PIPELINE WAS PUT BACK INTO SERVICE.    THE CONCLUSION OF THE LAB REPORT REVEALED THAT THE CORROSION WAS PRIMARILY CAUSED BY THE PRESENCE OF HYDROGEN SULFIDE (H2S).     TO PREVENT THIS FROM OCCURRING IN THE FUTURE, COUPONS WERE INSTALLED ON THE PIPELINE, THIS PIPELINE WILL BE PUT ON A WEEKLY PIGGING SCHEDULE AND INHIBITORS WILL CONTINUE TO BE INJECTED INTO THE PIPELINE.    AN ILI RUN WILL BE BUDGETED FOR 2025.</t>
  </si>
  <si>
    <t>WE INSTALLED A STOPPLE FITTING AND THE LINE REMAINED IN-SERVICE.</t>
  </si>
  <si>
    <t>OPERATIONAL CONTROL</t>
  </si>
  <si>
    <t>WE LOWERED THE LINE PRESSURE TO 180PSI.</t>
  </si>
  <si>
    <t>HOOKS</t>
  </si>
  <si>
    <t>BOWIE</t>
  </si>
  <si>
    <t>909+14</t>
  </si>
  <si>
    <t>CM-14</t>
  </si>
  <si>
    <t>CM-14 TO CM-20</t>
  </si>
  <si>
    <t>FILLET WELD</t>
  </si>
  <si>
    <t>GROUND PATROL BY OPERATOR OR ITS CONTRACTOR</t>
  </si>
  <si>
    <t>THE LEAK WAS VERY MINOR. OPERATIONS PERSONNEL FOUND THE LEAK DURING LINE PATROL DUE TO THE ODORANT.</t>
  </si>
  <si>
    <t>NO INVESTIGATION WAS PERFORMED ON THE WELD, SO CAUSE IS UNKNOWN.</t>
  </si>
  <si>
    <t>JOSH ALEXANDER</t>
  </si>
  <si>
    <t>charles.alexander@energytransfer.com</t>
  </si>
  <si>
    <t>405.576.8230</t>
  </si>
  <si>
    <t>THIS LEAK WAS CAUSED BY A CRACK IN A WELD ON A PREVIOUSLY INSTALLED FITTING. WE ARE UNSURE OF THE INSTALLATION DATE OF THE FITTING. OUR INVENTORY MAPS SHOW A DATE OF 1951 BUT THE INSTALLATION DATE IS NOT ON THE MAP. WE WERE ABLE TO INSTALL 3-WAY STOPPLE FITTING TO MAKE THE REPAIR. WE REPLACED 40' OF PIPE AND ONE 2" VALVE. THE LEAKING SECTION WAS REMOVED FROM THE PIPE.</t>
  </si>
  <si>
    <t>DUBACH</t>
  </si>
  <si>
    <t>LINCOLN</t>
  </si>
  <si>
    <t>SALEM COMPRESSOR STATION</t>
  </si>
  <si>
    <t>BELOWGROUND STORAGE OR ABOVEGROUND STORAGE VESSEL, INCLUDING ATTACHED APPURTENANCE</t>
  </si>
  <si>
    <t>STEEL ENG CASTING, COVERS, ELEC COMP</t>
  </si>
  <si>
    <t>FIRE ON COMPRESSOR FRAME</t>
  </si>
  <si>
    <t>NO INVESTIGATION DUE TO LIGHTNING STRIKE CAUSE FIRE</t>
  </si>
  <si>
    <t>LIGHTNING</t>
  </si>
  <si>
    <t>DIRECT HIT</t>
  </si>
  <si>
    <t>SR. REGULATORY ANALYST</t>
  </si>
  <si>
    <t>DIRECTOR - REGULATORY COMPLIANCE</t>
  </si>
  <si>
    <t>AT APPROXIMATELY 21:40 ON 07/16/23, ETE EMPLOYEE ARRIVED AT SALEM COMPRESSOR STATION TO PLACE COMPRESSOR UNIT #3 ONLINE DUE TO THE SEVERE STORM CAUSING WIDESPREAD POWER OUTAGES.  THE ETE EMPLOYEE FOUND UNIT #3 ON FIRE. STATION WAS ISOLATED AT 21:55. FIRE WAS EXTINGUISHED AT APPROXIMATELY 22:13.    DUE TO SAFETY AND FATIGUE OF THE EMPLOYEES BEING ONSITE OVERNIGHT TO EXTINGUISH FIRE AND TO ISOLATE EQUIPMENT, AN INVESTIGATION WAS NOT CONDUCTED UNTIL LATER IN THE MORNING OF 7/17/23.  IT WAS DETERMINED AT APPROXIMATELY 14:09 ON 7/17/23 THAT THE DAMAGE TO THE COMPRESSOR WAS OVER THE PROPERTY DAMAGE THRESHOLD AMOUNT.    THE NRC WAS NOTIFIED (#1373350) AT 14:43 ON 7/17/23 AND THE 48-HOUR NOTIFICATION (#1373494) WAS REPORTED ON 7/19/23 AT APPROXIMATELY 08:49.    THE STATION WAS PUT BACK ONLINE AT APPROXIMATELY 08:15 ON 07/19/23.</t>
  </si>
  <si>
    <t>MIDCONTINENT EXPRESS PIPELINE LLC</t>
  </si>
  <si>
    <t>1001 LOUISIANA ST</t>
  </si>
  <si>
    <t>ATLANTA</t>
  </si>
  <si>
    <t>CASS</t>
  </si>
  <si>
    <t>MEP 2 COMPRESSOR STATION</t>
  </si>
  <si>
    <t>GOV 1003; BDV 1005</t>
  </si>
  <si>
    <t>CLASS 2 LOCATION</t>
  </si>
  <si>
    <t>THE STATION ISOLATION VALVES ARE INTERLOCKED WITH THE STATION BLOWDOWN VALVES. HOWEVER, TWO FAILURES ON THE INTERLOCKING SYSTEM RESULTED IN BOTH THE DISCHARGE HEADER BLOWDOWN VALVE AND THE DISCHARGE HEADER ISOLATION VALVE TO REMAIN OPEN.</t>
  </si>
  <si>
    <t>RONALD BARNES II</t>
  </si>
  <si>
    <t>ENGINEER - CODES AND STANDARDS</t>
  </si>
  <si>
    <t>ronald_barnes@kindermorgan.com</t>
  </si>
  <si>
    <t>JAIME HERNANDEZ</t>
  </si>
  <si>
    <t>DIRECTOR - ENGINEERING CODES AND STANDARDS</t>
  </si>
  <si>
    <t>713-369-9443</t>
  </si>
  <si>
    <t>jaime_hernandez@kindermorgan.com</t>
  </si>
  <si>
    <t>ON 06/27/2023 AT 12:00 PM, MIDCONTINENT EXPRESS PIPELINE (MEP) HAD A REPORTABLE GAS RELEASE THAT OCCURRED AT THE MEP 2 COMPRESSOR STATION WHEN THE ESD SYSTEM WAS ACTIVATED AND THE DISCHARGE SIDE OF THE ESD SYSTEM DID NOT OPERATE AS DESIGNED. THE ESD WAS ACTIVATED AS A RESULT OF LOSS OF UPS POWER SUPPLY. THE USE OF THE UPS POWER WAS INITIATED BY A TRIPPED ELECTRICAL BREAKER THAT WAS CAUSED BY AN ELECTRICALLY SHORTED AIR COMPRESSOR.      THE ESD BLOCK VALVE THAT IS HELD CLOSED BY AN ENERGIZED SOLENOID, WHEN SUPPLIED BY COMMERCIAL OR UPS POWER. WHEN UPS BATTERIES WERE DRAINED, THE STATION LOST CONTROL POWER TO THE STATION COMPUTERS, PLCS AND UNIT HMIS. THE LOSS OF COMMERCIAL POWER DUE TO TRIPPED BREAKER AND THE LOSS OF UPS POWER ALLOWED THE ESD VALVE TO OPEN CAUSING THE STATION TO BLOWDOWN THROUGH A FULLY PNEUMATIC SYSTEM.    WHEN RESPONSE PERSONNEL ARRIVED THEY FOUND THE STATION DISCHARGE SIDE GATE AND DISCHARGE BLOWDOWN VENT VALVE IN AN OPEN POSITION WHICH LED TO THE 50,086.93 MCF RELEASE OF NATURAL GAS.  THE ESD SYSTEM BY DESIGN  HAS AN INTERLOCK PROCESS SO THAT THE BLOWDOWN VALVES WILL NOT OPEN UNLESS THE ASSOCIATED STATION SIDE GATE VALVES CLOSE. THIS IS ACCOMPLISHED THROUGH A SERIES OF TRIGGER VALVES.  THE SUCTION SIDE OF THE STATION WORKED AS DESIGNED DURING THE ESD.  HOWEVER, THE DISCHARGE SIDE EXPERIENCED FAILURES IN TWO SHAFER TRIGGER VALVES WHICH ALLOWED THE BLOWDOWN VENT VALVE TO OPEN WITH THE DISCHARGE SIDE GATE OPEN.  THE INVESTIGATION FOUND EXCESSIVE CORROSION/RUST WITHIN THE INTERNAL WORKINGS OF THE TWO SHAFER VALVES. THE SHAFER TRIGGER VALVES WERE REPLACED, THE TRIPPED BREAKER WAS RESET, THE SHORTED AIR COMPRESSOR WAS REMOVED FROM SERVICE UNTIL THE MOTOR WAS REPLACED, THE DISCHARGE SIDE GATE AND EDS DISCHARGE BLOWDOWN VALVE WERE RETURN TO THEIR NORMAL STATE AND THE STATION WAS PLACED BACK ONLINE.</t>
  </si>
  <si>
    <t>MOUNTAIN</t>
  </si>
  <si>
    <t>NM</t>
  </si>
  <si>
    <t>MALAGA</t>
  </si>
  <si>
    <t>EDDY</t>
  </si>
  <si>
    <t>000+00</t>
  </si>
  <si>
    <t>AVALON COMPRESSOR STATION</t>
  </si>
  <si>
    <t>UNIT #5</t>
  </si>
  <si>
    <t>SPECIALIST REGULATORY COMPLIANCE</t>
  </si>
  <si>
    <t>832-537-5207</t>
  </si>
  <si>
    <t>ON JUNE 15, 2023, AT APPROXIMATELY 20:15 LOCAL TIME, A FIRE OCCURRED AT THE AVALON COMPRESSOR STATION ON UNIT #5, 14 MILES SOUTH OF MALAGA, NEW MEXICO IN EDDY COUNTY.    OPERATIONS CAME UPON THE BURNING COMPRESSOR, ESDD THE STATION AND CALLED THE LOCAL FIRE DEPARTMENT TO THE STATION.    A DECISION WAS MADE TO LET THE FIRE BURN ITSELF OUT.    AT 21:00 MOUNTAIN TIME, IT WAS DETERMINED THE REPAIRS AND DAMAGES WOULD EXCEED THE $123,900.00 REPORTABLE DOLLAR CRITERIA AND THE NRC AND THE NMPRC WAS NOTIFIED.    ON JUNE 16, 2023, AT APPROXIMATELY 15:00, UNIT #5 WAS ISOLATED AND THE STATION WAS PUT BACK ONLINE BY USING THE OTHER COMPRESSORS.    THE UNINTENTIONAL GAS LOSS WAS CALCULATED AT 1.0 MCF.    THE CAUSE OF THE FIRE IS STILL UNDER INVESTIGATION. A SUPPLEMENTAL REPORT WILL BE SUBMITTED ONCE INVESTIGATION IS COMPLETE.      **THE INVESTIGATION FOUND THAT CONDENSATE FROM THE COMPRESSOR THROW #4 INLET SCRUBBER LEAKED ONTO THE ENGINE-COMPRESSOR SKID THRU A PARTIALLY OPEN (TWO TURNS OPEN) NEEDLE VALVE ATTACHED TO THE TOP OF A LIQUID DRAIN LINE CHECK VALVE. THE CONDENSATE VAPORS FOUND AN IGNITION SOURCE (ENGINE EXHAUST) AND IGNITED THE CONDENSATE.    TO PREVENT THIS FROM OCCURRING IN THE FUTURE, ALL OPENED-ENDED VALVES/LINES ON THESE PARTICULAR SYSTEMS ARE TO BE PLUGGED.    ALSO, RECOMMEND LIQUID DUMP LINE CHECK VALVE REPLACEMENT.</t>
  </si>
  <si>
    <t>ENABLE MIDSTREAM PARTNERS, LP</t>
  </si>
  <si>
    <t>1367226  1367294</t>
  </si>
  <si>
    <t>OPERATOR/CONTRACTOR</t>
  </si>
  <si>
    <t>SEBASTIAN</t>
  </si>
  <si>
    <t>O-470</t>
  </si>
  <si>
    <t>O-470 PLUNKETT COMP TO EGT LINE O</t>
  </si>
  <si>
    <t>NO RESTRICTIONS THAT WOULD LIMIT TOOL ACCOMMODATION. LAUNCHER AND RECEIVER WILL BE INSTALLED.</t>
  </si>
  <si>
    <t>THIS PIPELINE IS NOT MONITORED BY SCADA.</t>
  </si>
  <si>
    <t>PITTING</t>
  </si>
  <si>
    <t>DANNY BRADLEY</t>
  </si>
  <si>
    <t>daniel.bradley@energytransfer.com</t>
  </si>
  <si>
    <t>479-648-2320</t>
  </si>
  <si>
    <t>A POSSIBLE LEAK/FIRE WAS DISCOVERED ON 5/11/2023 AT 14:03 BY OPERATIONS TECHNICIANS CONDUCTING ANNUAL LINE PATROLS ON LINE O-470. TECHNICIANS WERE CHANGING OUT SIGN MARKERS IN THE O-470 ROW WHEN THEY FELT HEAT COMING FROM UNDERNEATH THE ROCKS THAT COVERED PIPELINE IN THE ROW. TECHNICIANS IMMEDIATELY BACKED AWAY FROM THE LOCATION. TECHNICIANS WENT TO BOTH THE UPSTREAM AND DOWNSTREAM VALVE LOCATIONS TO BEGIN ISOLATING THE PIPELINE.     OPERATIONS TECHNICIANS NOTIFIED THE OPS MANAGER AT 15:45, WHO THEN NOTIFIED THE OPS DIRECTOR OF THE SITUATION. A CONFERENCE CALL WAS CONDUCTED (BEGINNING AT 16:00) TO DEVELOP A PLAN TO ISOLATE AND REMEDIATE THE SECTION OF PIPE WITH THE LEAK.     THE NRC (#1367017) WAS NOTIFIED AT 16:21 ON 5/11/2023.  A 48HR NRC NOTIFICATION WAS PLACED AT 12:48 ON 5/14/2023.  A FINAL NRC NOTIFICATION WAS PLACED AT 11:29 ON 5/15/2023; THIS UPDATE WAS TO CLARIFY THAT THE PIPELINE INVOLVED IN THIS LEAK INCIDENT WAS A TRANSMISSION PIPELINE.    A PLAN WAS PUT IN PLACE TO LOWER PRESSURE FROM 728PSIG (THE PRESSURE AT TIME OF DISCOVERY) TO 200PSIG, IN AN EFFORT TO KEEP ANY POTENTIAL FLAME BURNING UNTIL THE EXACT LOCATION OF THE LEAK COULD BE DETERMINED. OPS TECHNICIANS BEGAN BLOWING DOWN THE PIPELINE AT 17:34 AND GOT THE LINE PRESSURE DOWN TO 600PSIG BY 18:11 WHILE CONTRACTORS MOBILIZED TO THE SITE. CONTRACTORS UTILIZED A TRACKHOE WITH AN EXTENDED BOOM TO PULL ROCKS AWAY FROM THE LEAK LOCATION...AS ROCKS WERE PULLED AWAY, THE FLAME/FIRE WAS VISIBLE; AS CONTRACTORS WERE WORKING THE PIPELINE WAS BROUGHT DOWN TO 200PSIG. THE FIRE WAS EXTINGUISHED JUST BEFORE 24:00 ON 5/11/2023. AIR MOVERS WERE THEN UTILIZED TO COMPLETE THE BLOW DOWN.    THE CAUSE OF THE LEAK WAS IDENTIFIED AS EXTERNAL CORROSION (PITTING) AND THE FIRE/FLAME WAS LIKELY IGNITED BY A LIGHTNING STRIKE ON 5/11/2023. A 41' SEGMENT OF PIPE WAS SPOOLED IN TO REMEDIATE THE LEAK LOCATION. THE PIPELINE WAS BROUGHT BACK IN TO SERVICE ON 5/15/2023 AT 16:30.    NO BUILDINGS INTENDED FOR HUMAN OCCUPANCY WERE WITHIN 220 YARDS OF THE SEGMENT AND NO DOMESTIC CUSTOMERS WERE IMPACTED BY THE OUTAGE.</t>
  </si>
  <si>
    <t>0+00</t>
  </si>
  <si>
    <t>B3LTE SUCTION TX-WEBB-A</t>
  </si>
  <si>
    <t>NO TRAPS AVAILABLE ON STATION PIPING</t>
  </si>
  <si>
    <t>NDE</t>
  </si>
  <si>
    <t>TIMOTHY BUNAG</t>
  </si>
  <si>
    <t>SR. ENGINEER - REGULATORY COMPLIANCE</t>
  </si>
  <si>
    <t>timothy.bunag@energytransfer.com</t>
  </si>
  <si>
    <t>832-294-5324</t>
  </si>
  <si>
    <t>CHRIS KRESTA</t>
  </si>
  <si>
    <t>MANAGER - REGULATORY COMPLIANCE</t>
  </si>
  <si>
    <t>713-989-7077</t>
  </si>
  <si>
    <t>chris.kresta@energytransfer.com</t>
  </si>
  <si>
    <t>ON MARCH 15, 2023 AT APPROXIMATELY 3:10 PM, ENERGY TRANSFER PERSONNEL IDENTIFIED A LEAK IN THE B3LTE FACILITY (28.069311 -99.923707) ON THE B3LTE SUCTION WEBB A PIPELINE. THIS IS A 12-INCH TYPE C GAS GATHERING LINE IN A RURAL AREA LOCATED IN WEBB COUNTY NEAR LAREDO, TX. OPERATIONS PROCEEDED WITH LINE ISOLATION AND UPSTREAM AND DOWNSTREAM VALVES WERE LOCKED OUT AND TAGGED OUT BY 3:20 PM. PIPE REPLACEMENT WAS MADE ON APRIL 26, 2023 AT 5:32 PM. LINE WAS PUT BACK IN SERVICE AS OF 3:30 PM ON APRIL 28, 2023.     INVESTIGATION REVEALED THAT THE APPARENT CAUSE OF THE INCIDENT WAS DUE TO INTERNAL CORROSION (MIC). TO PREVENT REOCCURRENCE, ENERGY TRANSFER COMPANY WILL WORK WITH SM ENERGY (PRODUCER) TO REVIEW GAS ANALYSIS AND MAKE ADJUSTMENTS AS NEEDED TO ENSURE BIOCIDE TREATMENT IS ADEQUATE.     AT THE TIME OF THE INCIDENT, REPORTING CRITERIA WAS NOT MET. AFTER FURTHER CALCULATIONS AND INVESTIGATING, IT WAS DETERMINED THAT THE PROPERTY DAMAGE AND REPAIR COST WAS GOING TO EXCEED THE $129,300 REPORTING CRITERIA. ON MARCH 20, 2023, THIS INCIDENT WAS TELEPHONICALLY REPORTED TO THE NATIONAL RESPONSE CENTER (NRC) AT 5:22 PM. A COURTESY CALL WAS ALSO MADE TO THE TEXAS RAILROAD COMMISSION AT 5:30 PM.     PHMSA AID / CURTIS HUFF REQUESTED WE UPDATE A4 TO MATCH THE TIME IN A13, BUT WE DECLINED TO MAKE THAT CHANGE BECAUSE IT WOULD BE INACCURATE.  HERE, THE FAILURE WAS IDENTIFIED (A13) FIVE DAYS BEFORE THE INCIDENT BECAME REPORTABLE (A4).  UPON IDENTIFICATION OF THE FAILURE, IT WAS REASONABLE TO BELIEVE IT WAS NOT REPORTABLE AS THE PROPERTY DAMAGE REPORTING THRESHOLD WOULD NOT BE EXCEEDED FOR THIS PINHOLE LEAK.  IT WAS NOT UNTIL 5 DAYS LATER THAT IT WAS DETERMINED THAT LIQUIDS RELEASED WITH THE GAS LEFT COMPANY PROPERTY AND AT THE RESULTING INCREASE IN THE REPAIR COST ESTIMATES THEN WERE DETERMINED TO FAR EXCEED WHAT WAS EXPECTED, CAUSING REPORTABILITY TO BE TRIGGERED AT THAT TIME.  AFTER SUBMITTING THE FINAL REPORT, AID/HUFF AGAIN CAME BACK AND REQUIRED THAT A4'S DATE BE CHANGED, AND HE QUOTED THE INSTRUCTIONS FOR THE FORM FOR TYPE R GATHERING INSTEAD OF TYPE C AS IS PRESENT HERE.  BECAUSE AID WILL NOT ALLOW US TO CLOSE THE REPORT WITHOUT MAKING THE CHANGE, A4 WAS UPDATED AS REQUIRED BY AID TO REFLECT THE SAME TIME AS A13.</t>
  </si>
  <si>
    <t>ROUTINE SHUTDOWN</t>
  </si>
  <si>
    <t>ODESSA</t>
  </si>
  <si>
    <t>MIDLAND</t>
  </si>
  <si>
    <t>ATHLON DISCHARGE 12IN PH1,2 PIG LAUNCHER DOOR</t>
  </si>
  <si>
    <t>BALL</t>
  </si>
  <si>
    <t>OTHER EQUIPMENT FAILURE</t>
  </si>
  <si>
    <t>MAIN LINE SUPPLY GAS VALVE</t>
  </si>
  <si>
    <t>713-989-4464</t>
  </si>
  <si>
    <t>ON MARCH 3, 2023 AT APPROXIMATELY 14:52, A NATURAL GAS RELEASE OCCURRED AT THE 20150013 ATHLON DISCHARGE 12-INCH PIG LAUNCHER SITE LOCATED 23 MILES SOUTHEAST OF ODESSA, TX IN MIDLAND COUNTY.    WHILE PREPARING TO LAUNCH A CLEANING PIG, THE OPERATOR MOVED ALL VALVES INVOLVED TO THEIR PROPER POSITIONS AS PER SOP. THE OPERATOR VISUALLY AND AUDIBLY WITNESSED THE PIG TRAP BLOW DOWN. ONCE THE PIG TRAP WAS COMPLETELY BLOWN DOWN THE OPERATOR BEGAN TO OPEN THE PIG TRAP DOOR AS PER SOP. THE OPERATOR WALKED AWAY FROM THE PIG TRAP DOOR TO RETRIEVE THE CLEANING PIG FROM HIS TRUCK AND HEARD A HISSING SOUND COMING FROM THE PIG TRAP. THE HISSING SOUND WAS GROWING LOUDER AND THE OPERATOR REMOVED HIMSELF FROM THE AREA TO BE SAFE. THAT IS WHEN THE GAS PRESSURE CAUSED THE PIG TRAP DOOR TO OPEN CAUSING THE RELEASE OF GAS FROM THE 16-INCH PIG TRAP DOOR.     AT APPROXIMATELY 16:35, IT WAS CALCULATED AND CONFIRMED THAT THE UNINTENTIONAL GAS LOSS WAS AT 3.69 MMCF, WHICH EXCEEDED THE 3 MMCF REPORTING CRITERIA AND THE NRC WAS NOTIFIED AT 16:49.    THE BETTIS ACTUATOR AND VERSE VALVE WERE REMOVED AND SENT FOR INSPECTION AND REPAIRS.      A NEW MANUAL GEAR OPERATOR WAS INSTALLED AND AT 14:00 ON 04MAR THE PIPELINE WAS PUT BACK INTO SERVICE.    **JUNE 1, 2023, IT WAS DETERMINED THAT THE 1-INCH MAIN LINE SUPPLY GAS BALL VALVE WAS LEAKING BY AND LIKELY RE-SUPPLIED THE ACTUATOR ASSEMBLY WITH ENOUGH PRESSURE TO ACTUATE THE VALVE OPEN ALLOWING GAS TO RE-ENTER THE PIG LAUNCHING BARREL THUS CAUSING THE UNINTENTIONAL GAS RELEASE.    THE LEAKING 1-INCH BALL VALVE WAS REPLACED WITH A NEW ONE.      THIS WAS AN ISOLATED INCIDENT AND TO PREVENT THIS FROM OCCURRING IN THE FUTURE AND THIS SITE, THE ACTUATORS WERE REMOVED AND REPLACED WITH MANUAL GEAR OPERATORS.     THE SITE SPECIFIC PIGGING PROCEDURES HAVE BEEN UPDATED TO INCLUDE AREAS WITH ACTUATORS TO LOCK OUT THE SUPPLY SOURCE BLOWDOWN VALVE IN THE OPEN POSITION IN CASE THERE IS A LEAKING VALVE AND TO PREVENT GAS FROM RE-ENTERING THE PIG LAUNCHER BARREL.</t>
  </si>
  <si>
    <t>1360130 1360277 1360366</t>
  </si>
  <si>
    <t>OPS MONITORED LEAK AROUND THE CLOCK TO AVOID SHUTTING IN CUSTOMERS</t>
  </si>
  <si>
    <t>OPS MONITORED A 3 FOOT FLAME AROUND THE CLOCK UNTIL A STOPPLE BYPASS COULD BE INSTALLED.</t>
  </si>
  <si>
    <t>INITIAL PRESSURE REDUCTION FROM 300 TO 200.</t>
  </si>
  <si>
    <t>BALD KNOB</t>
  </si>
  <si>
    <t>WHITE</t>
  </si>
  <si>
    <t>JM-10</t>
  </si>
  <si>
    <t>JM-10 BALL FIELD HCA</t>
  </si>
  <si>
    <t>LEAK DUE TO LIGHTNING STRIKE</t>
  </si>
  <si>
    <t>METHOD2</t>
  </si>
  <si>
    <t>NONE OTHER THAN POSSIBLE REVEG (SEED AND FERTILIZER) OF ROW.</t>
  </si>
  <si>
    <t>4" PIPE; MANY ACTIVE TAPS; STOPPLE FITTINGS; NO LAUNCHER/RECEIVER</t>
  </si>
  <si>
    <t>SEVERE THUNDERSTORM</t>
  </si>
  <si>
    <t>501-472-5065</t>
  </si>
  <si>
    <t>BRANDON BYRD</t>
  </si>
  <si>
    <t>brandon.byrd@energytransfer.com</t>
  </si>
  <si>
    <t>870-631-1026</t>
  </si>
  <si>
    <t>IN THE EARLY MORNING HOURS OF FEBRUARY 16TH, SEVERE THUNDERSTORMS MOVED THROUGH THE STATE OF ARKANSAS. AT APPROXIMATELY 7:45AM AN OPS TECHNICIAN WITH THE WEST POINT TEAM OVERHEARD ON HIS SCANNER THAT THERE WAS A FIRE ON A PIPELINE ROW NEAR THE BALD KNOW SPORTS COMPLEX, IN BALD KNOB, AR. THE TECHNICIAN IMMEDIATELY RECOGNIZED THAT THIS FIRE WAS LIKELY ON THE JM-10 ROW (IN HCA) AND QUICKLY RESPONDED TO THE LOCATION, ARRIVING AT 8:00AM. WHILE ON THE WAY TO THE SCENE, THE TECHNICIAN CONTACTED HIS OPS MANAGER AND SUPERVISOR, THE PIPELINE SPECIALIST, AND COMPLIANCE SPECIALIST COVERING THIS AREA.     THE FOLLOWING NRC NOTIFICATIONS WERE MADE FOR THIS EVENT:  NRC# 1360128 (INITIAL) AT 8:14 AM ON 3-16-23  NRC# 1360130 (UPDATED LOCATION) AT 8:29 AM 3-16-23  NRC# 1360277 (48HR UPDATE) 3-17-23  NRC# 1360366 (FINAL UPDATE) 3-18-23    WHEN THE TECHNICIAN ARRIVED ON SCENE HE SAW A 3' FLAME COMING FROM JM-10; THE FLAME WAS DUE TO A LIGHTNING STRIKE. THE DECISION WAS MADE TO LOWER PRESSURE ON THE LINE FROM 300 PSI TO 200 PSI AND TO MONITOR THE LEAK AND FLAME WHILE KEEPING THE LINE IN SERVICE UNTIL A STOPPLE BY-PASS COULD BE COMPLETED; THIS WAS DONE TO ENSURE GAS SERVICE WAS NOT INTERRUPTED FOR THE COMMUNITIES OF BALD KNOB AND JUDSONIA. OPS PERSONNEL WERE STATIONED AROUND THE CLOCK AT THE LEAK SITE, AND AT BOTH THE UPSTREAM AND DOWNSTREAM VALVE SITES, SO THAT THE LINE COULD BE ISOLATED IF CONDITION OF THE LEAK CHANGED FOR THE WORST.     STOPPLE BY-PASS EQUIPMENT ARRIVED ON SITE FRIDAY MORNING AND CREWS WORKED TO INSTALL THE STOPPLE FITTINGS. BY 9PM, ON FRIDAY 2-17-23, GAS WAS ON THE BY-PASS LINE. THE SECTION OF PIPE WITH THE LEAK WAS BLOWN DOWN AND THE FLAME WAS EXTINGUISHED.     ON SATURDAY, 2-18-23, THE ISOLATED SECTION WAS CUT OUT AND REPLACED.   -AT 12:39PM, WELDS WERE COMPLETE ON THE NEW PIPE AND X-RAY BEGAN.   -AT 2:03PM, NEW PIPE WAS PURGED AND PACKED. REMOVAL OF STOPPLES BEGAN.  -AT 5:02PM, PRESSURE WAS RETURNED TO NORMAL AT 300 PSI    *REMOVED 'SUSPECTED' LIGHTNING STRIKE LANGUAGE FROM PART H - NARRATIVE DESCRIPTION OF THE INCIDENT. THE LEAK WAS CAUSED BY A LIGHTING STRIKE.</t>
  </si>
  <si>
    <t>1359254 1359364</t>
  </si>
  <si>
    <t>CRAWFORD COUNTY</t>
  </si>
  <si>
    <t>OM-1</t>
  </si>
  <si>
    <t>AUTOMATIC</t>
  </si>
  <si>
    <t>THE LINE WAS LEAKING; THIS WAS NOT A RUPTURE EVENT.</t>
  </si>
  <si>
    <t>DUCTILE OVERLOAD</t>
  </si>
  <si>
    <t>danny.bradley@energytransfer.com</t>
  </si>
  <si>
    <t>LOCAL OPS PERSONNEL RECEIVED A PHONE CALL FROM A HUNTER ON SATURDAY MORNING FEBRUARY 4TH, 2023. THE HUNTER WAS IN A VERY REMOTE LOCATION AND CAME ACROSS THE OM-1 PIPELINE ROW; HE NOTICED VAPOR COMING FROM THE GROUND AND SAW ICE COVERING THE GROUND IN THE PIPELINE ROW. OPS PERSONNEL DROVE OUT TO THE LOCATION TO VERIFY A POTENTIAL LEAK; AT 1030AM THAT MORNING OPS VERIFIED THAT WE HAD A POTENTIAL NATURAL GAS LEAK ON OM-1 AT THIS LOCATION. DUE TO THE HISTORY OF LAND MOVEMENT ON OM-1, OUR PERSONNEL BACKED AWAY FROM THE SITE OF THE LEAK AND NOTIFIED MANAGEMENT AND REGULATORY COMPLIANCE OF THE ISSUE. AN NRC NOTIFICATION (NRC#1359244) WAS MADE AT APPROXIMATELY 1045AM....ALTHOUGH THE LEAK WAS RELATIVELY MINOR, OPS KNEW THAT ANY REPAIR ON THE PIPELINE WOULD EXCEED $129,000 DUE TO THE REMOTE ACCESS AND RUGGED TERRAIN. OPS PERSONNEL MOBILIZED TO THE WINSLOW AND TURKEY FARM VALVE TO ISOLATE THE PIPELINE SEGMENT; THE PIPE WAS BROUGHT DOWN TO ROUGHLY 44# BY THAT AFTERNOON. COMMERCIAL BEGAN NOTIFYING CUSTOMERS OF THE OUTAGE, AS THE REPAIR WAS EXPECTED TO TAKE AN EXTENDED AMOUNT OF TIME. THE LINE WAS COMPLETELY FLAT BY NOON ON MONDAY, FEBRUARY 6TH AND THE CONTRACTOR BEGAN EXCAVATING LEAK SITE; EXCAVATION WORK WAS VERY SLOW, AS THE GROUND WAS HARD/FROZEN.       ON 2-7-23, THE PIPE WAS EVALUATED AND IT APPEARS THE LEAK WAS CAUSED BY STRESS IN THE PIPE (LAB WILL CONFIRM CAUSE OF LEAK)  ON 2-10-23, A SECTION OF THE EXCAVATED PIPE WAS SENT OFF TO A METALLURGICAL LAB FOR FURTHER ANALYSIS/RESEARCH OF THE LEAK CAUSE.  ON 2-15-23, 2 40' REPLACEMENT PIPE JOINTS WERE HYDROTESTED IN PREPARATION FOR INSTALLATION.  ON 2-17-23, NEW PIPE REPLACEMENT SECTION TIE-INS COMPLETED (X-RAYS PASSED)  ON 2-21-23, THE LINE WAS PURGED AND RETURNED TO NORMAL OPERATING SERVICE.       SUPPLEMENTAL REPORT DATED 8.30.2023    PART C HAS BEEN UPDATED WITH THE FOLLOWING INFORMATION:  -CHANGED TYPE OF RELEASE FROM 'OTHER' TO 'CRACK'    PART G HAS BEEN UPDATED WITH THE FOLLOWING INFORMATION:  - APPARENT CAUSE WAS CHANGED FROM G8 TO G5  - SUB-CAUSE DETERMINED BY METALLURGICAL ANALYSIS  - SUB-CAUSE IS ENVIRONMENTAL CRACKING-RELATED  - ADDITIONAL FACTORS WERE 'OTHER' (DUCTILE OVERLOAD)  - POST CONSTRUCTION PT WAS 1250 PSIG    PART H HAS BEEN UPDATED WITH THE FINDINGS FROM THE LAB:    EXAMINATION OF THE PIPE SAMPLE REVEALED SEVERAL COLONIES OF CIRCUMFERENTIAL CRACK-LIKE INDICATIONS. THE LEAK FRACTURE SURFACE APPEARED CONSISTENT WITH CIRCUMFERENTIAL STRESS CORROSION CRACKING (CSCC), PROGRESSING APPROX. 0.080 INCH DEEP. THE REMAINING FRACTURE APPEARED CONSISTENT WITH DUCTILE OVERLOAD, INCLUDING NECKING ALONG THE INTERNAL PIPE SURFACE. PIPE MATERIAL WAS CONSISTENT WITH API 5LX (1968) GRADE X60 MATERIAL.</t>
  </si>
  <si>
    <t>1357998, 1357995</t>
  </si>
  <si>
    <t>AFFECTED COMPRESSOR WAS ISOLATED.  SYSTEM CONTINUED TO RUN WITH SEPARATE UNIT.</t>
  </si>
  <si>
    <t>TRENTON</t>
  </si>
  <si>
    <t>GILCHRIST</t>
  </si>
  <si>
    <t>1336+27</t>
  </si>
  <si>
    <t>FLORIDA GAS TRANSMISSION COMPANY</t>
  </si>
  <si>
    <t>COMPRESSOR STATION 24 TRENTON (F0442)</t>
  </si>
  <si>
    <t>SUCTION VALVE ACTUATOR MALFUNCTION WHICH LED TO COMPRESSOR UNIT VENTING THROUGH A BLOWDOWN VALVE.</t>
  </si>
  <si>
    <t>OPERATOR MAN-HOURS</t>
  </si>
  <si>
    <t>SUCTION VALVE ACTUATOR MALFUNCTION</t>
  </si>
  <si>
    <t>INADEQUATE PLC LOGIC FOR VALVE ACTUATOR</t>
  </si>
  <si>
    <t>MARK BUTEAU</t>
  </si>
  <si>
    <t>mark.buteau@energytransfer.com</t>
  </si>
  <si>
    <t>337-451-2944</t>
  </si>
  <si>
    <t>ON JANUARY 16, 2023, AT APPROXIMATELY 07:00, A FLORIDA GAS TRANSMISSION TECHNICIAN DISCOVERED A COMPRESSOR UNIT VENT VALVE WAS VENTING NATURAL GAS TO ATMOSPHERE AT THE COMPRESSOR STATION 24, NEAR TRENTON, FL. THE TECHNICIAN ISOLATED THE COMPRESSOR AT APPROXIMATELY 0730 HRS. ACCORDING TO COMPANY SCADA, THE VENT VALVE HAD BEGUN VENTING AT APPROXIMATELY 13:00 ON JANUARY 15, 2023, BUT NO OTHER SCADA ALARMS WERE TRIGGERED. THE UNIT WAS SHUT DOWN REMOTELY BY GAS CONTROL AT 11:00 ON JANUARY 15, 2023. THE COMPRESSOR UNIT AUTOMATICALLY VENTS AFTER TWO (2) HOURS OF SHUTDOWN. THE SHUTDOWN AND ALL VALVE POSITIONS INDICATED CLOSURE; THEREFORE, NO ALARMS WERE TRIGGERED.    THE VOLUME RELEASED WAS CALCULATED TO BE APPROXIMATELY 102.6 MMSCF NATURAL GAS. THE DETERMINATION TIME FOR THIS ESTIMATE WAS APPROXIMATELY 14:52 ON JANUARY 16, 2023, WHICH WAS FOLLOWED BY THE NRC NOTIFICATION THAT OCCURRED AT APPROXIMATELY 15:44.    THE CAUSE OF THE INCIDENT WAS LATER CONFIRMED TO BE A SUCTION SIDE ISOLATION VALVE NOT FULLY SEATING AFTER THE COMPRESSOR UNIT WAS SHUTDOWN. SPECIFICALLY, IT APPEARS THAT THE VALVE ACTUATOR MALFUNCTIONED RESULTING IN THE VALVE NOT FULLY SEATING, THEREBY ALLOWING PIPELINE PRESSURE TO BLEED BY INTO THE COMPRESSOR UNIT CAUSING THE NATURAL GAS TO BE VENTED TO ATMOSPHERE. THE SUCTION SIDE VALVE WAS FULLY CLOSED MANUALLY BY THE TECHNICIAN TO STOP FLOW OF GAS THROUGH THE COMPRESSOR. THE LOGIC TO ALLOW MORE TIME FOR VALVE CLOSURE WAS DEVELOPED AND INSTALLED THE DAY OF THE RCFA INVESTIGATION TO PREVENT RECURRENCE.</t>
  </si>
  <si>
    <t>1356779, 1356847</t>
  </si>
  <si>
    <t>CLEARWATER</t>
  </si>
  <si>
    <t>PINELLAS</t>
  </si>
  <si>
    <t>FLORIDA GAS TRANSMISSION</t>
  </si>
  <si>
    <t>FLBXT 4" CLEARWATER SOUTH LATERAL REGULATOR STA.</t>
  </si>
  <si>
    <t>REGULATOR/CONTROL VALVE</t>
  </si>
  <si>
    <t>BUNA-N (RUBBER)</t>
  </si>
  <si>
    <t>DAMAGED REGULATOR DIAPHRAGM CAUSED RELIEF VALVE ACTIVATION</t>
  </si>
  <si>
    <t>CLASS 3 LOCATION</t>
  </si>
  <si>
    <t>THIRD PARTY DELIVERY CUSTOMER</t>
  </si>
  <si>
    <t>THE INVESTIGATION DID NOT IDENTIFY CONTROLLER ACTION AS CONTRIBUTING FACTOR.</t>
  </si>
  <si>
    <t>EXCESSIVE WEAR OF SOFT COMPONENTS</t>
  </si>
  <si>
    <t>LEAD SPECIALIST - DOT COMPLIANCE</t>
  </si>
  <si>
    <t>ON JANUARY 2, 2023, AT APPROXIMATELY 1206 HOURS, AN FGT TECHNICIAN WAS NOTIFIED BY A DOWNSTREAM CUSTOMER THAT A RELIEF VALVE AT THE CLEARWATER SOUTH REGULATOR STATION WAS CURRENTLY ACTIVATED.  THE CLEARWATER STATION IS SHARED WITH ANOTHER OPERATOR (CLEARWATER GAS COMPANY).  THE FGT TECHNICIAN PROMPTLY RESPONDED TO THE AREA AND ISOLATED THE SOURCE AT APPROXIMATELY 1300 HRS.  LOCAL FIRE DEPARTMENT AND POLICE RESPONDED TO A 3RD PARTY NOTIFICATION, AND THEY BLOCKED TRAFFIC IN BOTH DIRECTIONS UNTIL THE COMPANY TECHNICIAN ISOLATED THE REGULATOR RUN.  ACCORDING TO SCADA, THE RELIEF VALVE BEGAN VENTING AT APPROXIMATELY 1030 HRS THAT DAY.  THE PRESSURE EXCEEDED THE HI ALARM LIMIT THAT WOULD HAVE INITIATED CLOSER MONITORING BY GAS CONTROL HOWEVER THE PRESSURE DID NOT EXCEED THE HIHI CRITICAL ALARM LIMIT THAT WOULD HAVE GENERATED A CALL OUT AND FIELD INVESTIGATION.         THE VOLUME RELEASED WAS CALCULATED TO BE APPROXIMATELY 3.45 MMSCF NATURAL GAS.  THE DETERMINATION TIME FOR THIS ESTIMATE WAS APPROXIMATELY 1452 HRS.  NRC NOTIFICATION OCCURRED AT APPROXIMATELY 1551 HRS.  THE CLEARWATER SOUTH REGULATOR STATION DOES CONTAIN COVERED SEGMENTS IN THE COMPANY IMP, HOWEVER THE PIPING ASSOCIATED WITH THIS INCIDENT IS NOT A COVERED SEGMENT AS DETERMINED BY METHOD 2 (PIR).    UPON INVESTIGATION THE CAUSE OF THE INCIDENT WAS CONFIRMED AS A DAMAGED DIAPHRAGM IN A MOODY PILOT ON THE REGULATOR WHICH ALLOWED HIGHER PRESSURE FLOW THROUGH THE STATION WHICH ACTIVATED THE RELIEF VALVE.  THE RELIEF CAPACITY WAS VALIDATED DURING THE RELEASE VOLUME CALCULATION.  THE DAMAGED EQUIPMENT WAS IMMEDIATELY REPLACED BY THE TECHNICIAN.     TO PREVENT RECURRENCE THE COMPANY IS REVIEWING THE HIHI CRITICAL ALARM SETTING AT THIS LOCATION IN RELATION TO RELIEF VALVE SETTING AND WILL RESET THE HIHI ALARM AT A LEVEL BELOW THE RELIEF VALVE SETTING.  THIS WILL RESULT IN A CALL OUT TO THE FIELD TO PERFORM INVESTIGATION BEFORE THE RELIEF ACTIVATES OR SHORTEN THE LENGTH OF TIME A RELIEF IS ACTIVATED.</t>
  </si>
  <si>
    <t>JAL</t>
  </si>
  <si>
    <t>LEA</t>
  </si>
  <si>
    <t>DOMINATOR COMPRESSOR STATION UNIT #6</t>
  </si>
  <si>
    <t>MANUAL ESD OF STATION</t>
  </si>
  <si>
    <t>CONTRACTORS TO ISOLATE UNIT</t>
  </si>
  <si>
    <t>FUEL RAIL DEVELOPED A CRACK FROM CONTACT WITH HANDRAIL CAUSING A FUEL LEAK</t>
  </si>
  <si>
    <t>713 -989-4464</t>
  </si>
  <si>
    <t>ON DECEMBER 30, 2022 AT APPROXIMATELY 01:15 LOCAL TIME, A FIRE OCCURRED AT THE DOMINATOR COMPRESSOR STATION ON UNIT #6, 30 MILES WEST OF JAL, NEW MEXICO IN LEA COUNTY.    OPERATIONS RECEIVED A CALL FROM THE 911 DISPATCHER AND THE FIRE DEPARTMENT WAS DISPATCHED TO THE STATION. THE OPERATIONS MECHANIC, WHO IS ALSO A VOLUNTEER FIRE FIGHTER, ARRIVED WITH THE FIRE DEPARTMENT AND ESD'D THE STATION.    A DECISION WAS MADE TO LET THE FIRE BURN ITSELF OUT.    AT 06:00 MOUNTAIN TIME, THE STATION WAS SAFE TO ENTER AND OPERATIONS MADE AN INITIAL ASSESSMENT AND IT WAS DETERMINED THE REPAIRS AND DAMAGES WOULD EXCEED THE $123,900.00 REPORTABLE DOLLAR CRITERIA.    AT APPROXIMATELY 15:30, UNIT #6 WAS ISOLATED AND THE STATION WAS PUT BACK ONLINE BY USING THE OTHER COMPRESSORS.    THE UNINTENTIONAL GAS LOSS WAS CALCULATED AT 1500 MCF.    THE CAUSE OF THE FIRE IS STILL UNDER INVESTIGATION.    COMPONENTS HAS BEEN SENT TO THE LAB FOR ANALYSIS TO DETERMINE THE CAUSE OF THE FIRE. AND UNIT #6 WILL BE SENT TO THE MANUFACTURER TO BE DISMANTLED AND EXAMINED.    A SUPPLEMENTAL REPORT WILL BE SUBMITTED ONCE THE DETERMINATION HAS BEEN MADE.    **3/22/2023 UPDATE**    AFTER THE COMPLETION OF THE LAB ANALYSIS, IT WAS DETERMINED THAT THE CAUSE OF THE FIRE WAS DUE TO A LEAK ON THE COMPRESSOR FUEL RAIL.     THE INVESTIGATION REVEALED THAT THE FUEL RAIL AND HANDRAIL WERE IN CONTACT FOR SOME PERIOD OF TIME BASED ON THE APPEARANCE OF WEAR ON THE HANDRAIL.  THE HANDRAIL EXPERIENCED VIBRATIONS OVER TIME, EVENTUALLY SHEARING THE BOLT PROVIDED AND INCREASING THE CONTACT BETWEEN THE FUEL RAIL AND HANDRAIL, THUS CAUSING THE FUEL RAIL TO LEAK FUEL GAS AND IGNITE FROM A HEAT SOURCE IN CLOSE PROXIMITY.     TO PREVENT REOCCURRENCE, OPERATIONS WILL BE VISUALLY INSPECTING, IDENTIFYING, AND CORRECTING UNITS THAT MAY HAVE SIMILAR INSTALLATIONS AND PERFORM PACKAGE ASSESSMENTS DURING ROUTINE PREVENTIVE MAINTENANCE.</t>
  </si>
  <si>
    <t>TRANSWESTERN PIPELINE COMPANY LLC</t>
  </si>
  <si>
    <t>GRANTS</t>
  </si>
  <si>
    <t>MCKINLEY</t>
  </si>
  <si>
    <t>STATION 5 THOREAU</t>
  </si>
  <si>
    <t>30" TW MAINLINE</t>
  </si>
  <si>
    <t>THE ESD BLOWDOWN VALVE CAME OPEN AFTER THE POWER GAS PILOT LINE FROZE</t>
  </si>
  <si>
    <t>PHMSA</t>
  </si>
  <si>
    <t>COLD FRONT CAUSED TEMPERATURES TO BE IN THE 20'S AND THE ESD BLOWDOWN VALVE OPENED AFTER THE POWER GAS PILOT LINE FROZE</t>
  </si>
  <si>
    <t>ON DECEMBER 18, 2022, AT APPROXIMATELY 19:30 MOUNTAIN TIME, THERE WAS A RELEASE OF NATURAL GAS AT THE THOREAU STATION N0. 5 ON THE TRANSWESTERN SYSTEM 30 MILES NORTHWEST OF GRANTS, NEW MEXICO IN MCKINLEY COUNTY.    OPERATIONS RESPONDED TO CALL OUT FROM GAS CONTROL.  AFTER ARRIVING AT THE STATION, IT WAS DISCOVERED THAT THE ESD BLOWDOWN VALVE OPENED AFTER THE POWER GAS PILOT LINE FROZE CAUSING THE STATION TO SHUT DOWN AND RELEASED NATURAL GAS.    THE ESD WAS SHUT MANUALLY SECURING THE RELEASE.  THE FROZEN LINE WAS REPLACED, AND THE PILOT LINE WAS PUT BACK IN SERVICE.     AT 22:00 MOUNTAIN TIME, IT WAS DETERMINED THE UNINTENTIONAL GAS RELEASE AMOUNT WAS GOING TO BE OVER THE 3 MMCF REPORTABLE   QUANTITY CRITERIA.    THE STATION WAS RESET AND AT APPROXIMATELY 23:45 MOUNTAIN TIME, THE STATION WAS BACK ONLINE.     THIS WAS AN ISOLATED INCIDENT.    TO PREVENT THIS FROM OCCURRING IN THE FUTURE, OPERATIONS WILL INSTALL WATER KNOCK OUT EQUIPMENT AND LARGER TUBING.</t>
  </si>
  <si>
    <t>1350783, 1350817</t>
  </si>
  <si>
    <t>ROUTINE START-UP</t>
  </si>
  <si>
    <t>THIS WAS A LOADING VALVE FAILURE ON A COMPRESSOR SKID.  UNIT DID NOT START UP.</t>
  </si>
  <si>
    <t>BRYAN</t>
  </si>
  <si>
    <t>BENNINGTON COMPRESSOR STATION</t>
  </si>
  <si>
    <t>COMPRESSOR UNIT #442</t>
  </si>
  <si>
    <t>THIS WAS A LOADING VALVE FAILURE ON A COMPRESSOR SKID.  UNIT DID NOT START UP.  THE LOAD VALVE FAILED PARTIALLY OPEN ALLOWING GAS TO VENT.</t>
  </si>
  <si>
    <t>THE ACTIONS OF THE CONTROLLER IN THIS INCIDENT DID NOT WARRANT AN INVESTIGATION.  THE CONTROLLER NOTIFIED FIELD PERSONNEL OF A UNIT BEING DOWN AT THE COMPRESSOR STATION.  THE INCIDENT OCCURRED WHEN THE FIELD PERSONNEL TRIED TO START UNIT 442 AND THE LOAD LINE VALVE FAILED.</t>
  </si>
  <si>
    <t>SEAL FAILURE AS WELL AS PLC PROGRAMMING CONTRIBUTED TO THIS INCIDENT.</t>
  </si>
  <si>
    <t>PROGRAM LOGIC ISSUE</t>
  </si>
  <si>
    <t>SR. MANAGER REGULATORY COMPLIANCE</t>
  </si>
  <si>
    <t>ON OCTOBER 21ST, 2022, AT APPROXIMATELY 19:00 HOURS, TECH WAS DISPATCHED TO BENNINGTON CS UNIT 447 TO TROUBLESHOOT UNIT 447 GOING DOWN.  TECH CORRECTED THE ISSUE, PUT IT BACK ONLINE AND DEPARTED. UNIT 447 WENT BACK DOWN ON OIL TEMPERATURE ON THE SAME DATE AT APPROXIMATELY 20:30 HOURS. AT APPROXIMATELY 20:35 HOURS, TECH ADVISED GAS CONTROL TO START UNIT 442 REMOTELY. TECH THEN WENT BACK TO STATION TO RESET THE OIL COOLER TEMPERATURE SHUTDOWN ON UNIT 447. DURING THIS TIME, UNIT 442 FAILED TO START DUE TO NOT BEING PRESSURIZED. AT APPROXIMATELY 21:05, TECH THEN STARTED UNIT 447 AND PUT BACK ONLINE AND ADVISED GAS CONTROL THAT UNIT 442 WAS UNAVAILABLE DUE TO THE LOAD VALVE FAILURE.  ON MONDAY, OCTOBER 24TH, 2022, AT APPROXIMATELY 07:00 HOURS, TECH ARRIVED AT THE STATION AND WAS REVIEWING ALARMS THAT OCCURRED OVER THE WEEKEND.  HE NOTICED THAT THE LOAD VALVE FAILURE ALARM ON UNIT 442 WAS STILL ACTIVE.  TECH WENT OUT TO UNIT 442 TO PHYSICALLY INSPECT WHY THE ALARM WAS STILL ACTIVE.  TECH DISCOVERED THAT UNIT 442'S LOAD VALVE WAS PARTIALLY OPEN AND VENTING GAS.  AT 08:25 HOURS, TECH MANUALLY CLOSED THE LOAD VALVE ON UNIT 442 TO PREVENT IT FROM VENTING AND NOTIFIED HIS SUPERVISOR OF THE INCIDENT AT APPROXIMATELY 08:30 HOURS.  SUPERVISOR THEN INITIATED AN INVESTIGATION OF THE INCIDENT TO TRY AND DETERMINE HOW LONG THE VALVE HAD VENTED GAS AND WHAT CAUSED THE INCIDENT.  A BALANCE SEGMENT WAS DONE ON BENNINGTON COMPRESSOR STATION TO DETERMINE THE VOLUME OF GAS VENTED.  IT WAS DETERMINED THAT THE VALVE HAD VENTED GAS FROM OCTOBER 21ST, 2022, AT 21:02 HOURS TO OCTOBER 24TH, 2022, AT 08:25 HOURS (APPROXIMATELY 59 HOURS AND 23 MINUTES). ON OCTOBER 24TH AT APPROXIMATELY 14:10 HOURS, SUPERVISOR NOTIFIED DOT COMPLIANCE PERSONNEL.  AT THIS POINT, IT WAS DETERMINED TO BE A REPORTABLE INCIDENT.  INCIDENT WAS REPORTED TO NRC ON OCTOBER 24TH, 2022, AT 14:20.  ON OCTOBER 25TH, 2022, AT APPROXIMATELY 13:00 HOURS, PLC PROGRAMMER REVIEWED THE PROGRAMMING ON UNIT 442 AND DETERMINED THERE WAS NOT A LOGIC IN THE PLC THAT WOULD PREVENT THIS FROM HAPPENING.  ON OCTOBER 26TH, 2022, AT APPROXIMATELY 10:00 HOURS, PLC PROGRAMMER AND STATION I&amp;E TECH, MADE THE PLC LOGIC CHANGES THAT WOULD PREVENT THIS FROM HAPPENING AGAIN. WE NOW HAVE A TIMED LOCKOUT ON THE UNIT THAT IF IT DOES NOT START IN A CERTAIN PROGRAMMED TIME, THE VALVE WILL AUTOMATICALLY CLOSE THE VENT VALVE AND GIVE AN ALARM OF THE LOCKOUT.  THE UNIT WAS LEFT LOCKED AND TAGGED OUT UNTIL SUCH PLC PROGRAMMING COULD BE TESTED AND VERIFIED TO BE ACCURATE.  ON DECEMBER 1ST, 2022, AT APPROXIMATELY 08:00 HOURS, LOGIC WAS TESTED ON THE PLC FOR UNIT 442, AND PROVEN TO BE EFFECTIVE.  THIS CHANGE WILL PREVENT FURTHER INCIDENTS FROM OCCURRING.  A SPECIFIC CAUSE OF THE LOAD VALVE FAILURE COULD NOT BE PINPOINTED THEREFORE, A NEW LOAD VALVE (NEW VALVE AND ACTUATOR) WAS ORDERED AND IS WAITING TO BE INSTALLED.  UNIT 442 IS LOCKED AND TAGGED OUT OF SERVICE UNTIL A STATION OUTAGE CAN BE SCHEDULED TO REPLACE THE LOAD VALVE ON UNIT 442.     NOTE:  AS DIRECTED BY AID/RODRIGUEZ, THE "EARLIEST TIME A REPORTING CRITERIA WAS MET" WAS CHANGED ON 4/26/2023.  THE ORIGINAL DATE AND TIME, 10/24/2022 14:20, WAS CHANGED TO 10/21/2022 21:02 AS DIRECTED TO DO PER AID.</t>
  </si>
  <si>
    <t>IL</t>
  </si>
  <si>
    <t>WAVERLY</t>
  </si>
  <si>
    <t>MORGAN</t>
  </si>
  <si>
    <t>0+47</t>
  </si>
  <si>
    <t>WAVERLY STORAGE FIELD</t>
  </si>
  <si>
    <t>ST PETER DRIP 24-INCH</t>
  </si>
  <si>
    <t>ABOVEGROUND STORAGE, INCLUDING ASSOCIATED EQUIPMENT AND PIPING</t>
  </si>
  <si>
    <t>PULSATION BOTTLE OR DRIP/DRIP COLLECTION DEVICE</t>
  </si>
  <si>
    <t>REPAYMENT TO FARMER/RANCHER WHO LEASED LAND FOR CATTLE.</t>
  </si>
  <si>
    <t>TRANSMISSION IN STORAGE FIELD</t>
  </si>
  <si>
    <t>CONTROLLER ACTIONS DID NOT AFFECT THE INCIDENT.</t>
  </si>
  <si>
    <t>PIPE WALL THINNING DUE TO INTERNAL CORROSION.  DETERMINED BY METALLURGICAL ANALYSIS.</t>
  </si>
  <si>
    <t>ON 10/03/22 AT 00:18, THE 24-INCH ST PETER DRIP LINE IN THE WAVERLY STORAGE FIELD FAILED RESULTING IN A FIRE. THE PIPE APPEARS TO HAVE FAILED AT THE 6 O'CLOCK POSITION ON THE SOUTH END OF THE PIPE.    APPROXIMATELY 7.1 MMCF OF NATURAL GAS WAS RELEASED. THE PIPELINE WAS ISOLATED AND BLOWDOWN BY AREA OPERATIONS RESULTING IN THE FIRE BEING EXTINGUISHED.    LOCAL EMERGENCY MANAGEMENT CLOSED ROADS AND EVACUATED TWO RESIDENTS NEAR THE FAILURE SITE TO PREVENT TRAFFIC FROM ENTERING THE AREA.    THE FAILED SECTION OF PIPE WAS REMOVED AND THE LINE WAS RESTARTED ON 10/06/22 AT 11:00.    THE FAILED SECTION OF PIPE WAS SENT TO THIRD PARTY LABORATORY FOR ANALYSIS. THE RESULTS OF THE ANALYSIS INDICATED THAT THE RUPTURE OCCURRED BY DUCTILE OVERLOAD AT THE APPROXIMATE 6:15 ORIENTATION IN AN AREA OF SIGNIFICANT WALL THINNING FROM INTERNAL CORROSION.  THE INTERNAL CORROSION THAT PRECEDED THE RUPTURE WAS LIKELY DUE TO THE PRESENCE OF CORROSIVE GASES IN THE PIPELINE.    TO PREVENT RECURRENCE, A NEW DRIP DESIGN WAS PREPARED TO BRING THE DRIP ABOVE GROUND SO IT CAN BE MONITORED MORE CLOSELY.</t>
  </si>
  <si>
    <t>A 3 WAY STOPPLE FITTING WAS USED TO ALLOW FOR REPAIRS.</t>
  </si>
  <si>
    <t>3 WAY STOPPLE FITTING</t>
  </si>
  <si>
    <t>ASHDOWN</t>
  </si>
  <si>
    <t>LITTLE RIVER</t>
  </si>
  <si>
    <t>AM-182</t>
  </si>
  <si>
    <t>33.6527893  -94.0982092</t>
  </si>
  <si>
    <t>THIS WAS A THIRD PARTY DAMAGE EVENT. THE PERSON WHO DAMAGED THE PIPE CALLED SYSTEM CONTROL AT THE TIME OF THE DAMAGE AND MAD THE NOTIFICATION. ALSO, THERE IS LOW FLOW ON THIS LINE SO DUE TO THE SIZE OF THE SMALL DIAMETER OF THE HOLE CAUSED BY THE DAMAGE IT DID NOT SET OFF ANY ALARMS OR SHOW A SIGNIFICANT DROP IN PRESSURE.</t>
  </si>
  <si>
    <t>LARGE TRUCK</t>
  </si>
  <si>
    <t>OFF-ROAD</t>
  </si>
  <si>
    <t>CHARLES ALEXANDER</t>
  </si>
  <si>
    <t>DOT COMPLIANCE</t>
  </si>
  <si>
    <t>SR. MANAGER COMPLIANCE</t>
  </si>
  <si>
    <t>8.31.22 WHILE CUTTING GRASS ON A TRACTOR, A LANDOWNER RAN OVER A 1" TAP VALVE THAT IS SUSPECTED TO HAVE BECOME EXPOSED DUE TO THE RECENT RAINFALL AMOUNTS IN THE AREA. THE TRACTOR CAUSED DAMAGE TO A PUNCHING TEE BELOW GROUND BY OPENING A 1/8" HOLE IN THE THREADS OF THE TEE. THE LANDOWNER THEN CALLED ET SYSTEM CONTROL AND NOTIFIED THEM OF THE SITUATION. AT 1630 SYSTEM CONTROL NOTIFIED MEMBERS OF THE EMMET TEAM AND THEY CONFIRMED THE DAMAGE AND LEAK AT 1727 OF THE SAME DAY. THE DECISION WAS MADE TO LOWER THE LINE PRESSURE FROM 350 TO 200PSI AND MONITOR UNTIL REPAIRS COULD BEGIN ON 9.1.22, DUE TO THE NEED TO MAINTAIN DELIVERY TO A CUSTOMER. THE INITIAL BELIEF WAS WE WOULD NOT EXCEED THE REPORTING THRESHOLD, AS WE BELIEVED WE COULD EXPOSE THE VALVE AND SHUT THE FLOW OFF. FURTHER INVESTIGATION OF THE DAMAGED FITTING REVEALED BROKEN THREADS BELOW THE VALVE. ONCE WE DISCOVERED THIS WE MADE THE REPORT, AS THE REPORTING CRITERIA WOULD BE MET BEFORE THE REPAIRS COULD BE COMPLETED. REPAIRS BEGAN AT APPROXIMATELY 1730 ON 9.1.22 AND CONTINUED INTO 9.2.22. THE LEAK WAS TERMINATED AT 0300 ON 9.2.22. ET EMPLOYEES AND CONTRACTORS INSTALLED A THREE-WAY STOPPLE FITTING AND REPLACED A 5' SECTION OF THE PIPE TO COMPLETE THE REPAIR. THE DAMAGED COMPONENT WAS REMOVED FROM THE SYSTEM. THERE WERE NO INJURIES OR INTERRUPTION TO CUSTOMERS AS A RESULT OF THIS EVENT.</t>
  </si>
  <si>
    <t>ENABLE GAS GATHERING, LLC</t>
  </si>
  <si>
    <t>STEPHENS</t>
  </si>
  <si>
    <t>COTTONWOOD STATION</t>
  </si>
  <si>
    <t>FACILITY STATION</t>
  </si>
  <si>
    <t>FLANGE ASSEMBLY</t>
  </si>
  <si>
    <t>GASKET</t>
  </si>
  <si>
    <t>NON-REGULATED GATHERING</t>
  </si>
  <si>
    <t>NON-THREADED CONNECTION FAILURE</t>
  </si>
  <si>
    <t>DURING NORMAL PIGGING OPERATIONS A VALVE GASKET FAILED APPROXIMATELY 6 FEET FROM THE PIG TRAP. THERE WAS NO PRESSURE EXCEEDANCE.  THE GASKET WAS INSPECTED, BUT THE INSPECTION AND REVIEW OF THE EVENT FOUND NO CAUSAL FACTORS CONTRIBUTING TO THE GASKET FAILURE. OPERATIONS CLEARED THE FACILITY FOR SAFETY REASONS AND BEGAN ISOLATION AND BLOWN DOWN OF THE SITE AT ADJACENT INTERCONNECTING FACILITIES, WHICH CONTRIBUTED TO THE RELEASE VOLUME MAKING IT REPORTABLE. THE VALVE WAS REMOVED AND BOTH GASKETS WERE REPLACED.</t>
  </si>
  <si>
    <t>POST-MAINTENANCE/REPAIR</t>
  </si>
  <si>
    <t>STINGRAY 30-INCH OFFSHORE PIPELINE (PSN 3394)</t>
  </si>
  <si>
    <t>API 5L X-60</t>
  </si>
  <si>
    <t>US STEEL</t>
  </si>
  <si>
    <t>THIRD PARTY PRODUCER</t>
  </si>
  <si>
    <t>INCIDENT DUE TO A SMALL PINHOLE LEAK AND TOO SMALL FOR SCADA TO DETECT.</t>
  </si>
  <si>
    <t>ON 8/17/22 AT APPROXIMATELY 07:43, WHILE RE-PRESSURIZING LINE SEGMENT 3394, ENERGY TRANSFER WAS NOTIFIED BY A PRODUCER THAT A SHEEN WAS SPOTTED IN THE VICINITY OF STINGRAY 30-INCH LINE SEGMENT 3394 IN THE WC550 BLOCK. STEPS WERE IMMEDIATELY TAKEN TO SHUT IN AND ISOLATE LINE. A CALL WAS PLACED TO THE NRC BY THE PRODUCER. ET CONFIRMED THE SHEEN WITH AN OVERFLIGHT. ET OUTSOURCED A DEPRESSURIZATION SPREAD AND DIVE COMPANY TO INVESTIGATE THE LEAK SITE. A NOTIFICATION WAS MADE TO THE NRC AT 10:50 (NRC # 1344742) AND THE 48-HOUR NRC NOTIFICATION WAS MADE ON 8/18/22 AT 16:22 (NRC # 1344893). OUR CREW AT WC509 IS WORKING TO REMOVE PRESSURE FROM THE LINE. THE DEPRESSURIZATION VESSEL ARRIVES ONSITE, 8/20/22, TO EXPEDITE THE PROCESS.     ON 8/22/22, THE DSV MESOTECH SONAR CONFIRMS THIS IS OUR LINE AND A NEW LEAK. DUE TO THE LINE PRESSURE AND CONDENSATE, THE DSV WAS UNABLE TO DIVE. VENTING AND DEPRESSURIZATION SPREAD CONTINUED UNTIL CONDENSATE WAS NO LONGER VISIBLE. THE DSV ARRIVED ONSITE AT APPROXIMATELY 01:00 ON 8/24/22. DIVERS CONFIRMED A PIN HOLE LEAK AT THE 6 OCLOCK POSITION IN A FIELD JOINT. THE DEPRESSURIZATION VESSEL WILL STAY AT WC 509 UNTIL THE CLAMP IS INSTALLED.     ENERGY TRANSFER CALLED THE NRC ON 8/25/22 AT 13:33 TO TAKE OWNERSHIP OF THE RELEASE AND UPDATE RESPONSIBLE PARTY TO STINGRAY. NRC# 1345524    A CLAMP WAS INSTALLED ON THE 30-INCH LINE AND IT WAS RETURNED TO SERVICE ON 8/27/22.</t>
  </si>
  <si>
    <t>GREENBRIER</t>
  </si>
  <si>
    <t>FAULKNER</t>
  </si>
  <si>
    <t>BM-21</t>
  </si>
  <si>
    <t>PIPELINE</t>
  </si>
  <si>
    <t>UNDER PAVEMENT</t>
  </si>
  <si>
    <t>FURNACE BUTT WELDED</t>
  </si>
  <si>
    <t>HOTEL STAYS FOR THOSE EVACUATED.</t>
  </si>
  <si>
    <t>NO LAUNCHER/RECEIVER; DEAD LEGS ARE PRESENT</t>
  </si>
  <si>
    <t>AN EMERGENCY LOCATE REQUEST WAS SUBMITTED BY SUMMIT UTILITIES.</t>
  </si>
  <si>
    <t>THE LEAK WAS VERY SMALL (PIN HOLE) AND NOT SOMETHING A CONTROLLER WOULD BE ABLE TO IDENTIFY.</t>
  </si>
  <si>
    <t>PIN HOLE IN WELD</t>
  </si>
  <si>
    <t>Yes, but the point of the Accident was not identified as a dig site</t>
  </si>
  <si>
    <t>870-769-2435</t>
  </si>
  <si>
    <t>318-426-2515</t>
  </si>
  <si>
    <t>A EMERGENCY LOCATE REQUEST WAS SENT IN FROM SUMMIT UTILITIES AT APPROXIMATELY (15:45) ON AUGUST 16, 2022. OUR OPERATIONS TECHNICIAN RESPONDED TO THE SCENE AT (16:15) AND DISCOVERED A GAS READING OF 3% LEL IN THE ATMOSPHERE....MORE TECHNICIANS ARRIVED AND BEGAN BAR HOLE TESTING WHICH REVEALED READINGS AS HIGH AS 50% GAS. THE PIPELINE (BM-21) IS IN THE VICINITY OF 2 DUPLEXES AND RUNS UNDER 2 CONCRETE DRIVEWAYS TO THESE DUPLEXES; THE SUSPECTED LEAK WAS UNDER ONE OF THESE CONCRETE DRIVEWAYS. THE DECISION WAS MADE TO EVACUATE THE RESIDENTS OF THE 2 DUPLEXES AS A PRECAUTION; THIS DECISION WAS MADE AT APPROXIMATELY 18:40 ON AUGUST 16, 2022.   AFTER EVACUATING THE RESIDENTS, OPERATIONS PERSONNEL FORMED A PERIMETER AND MONITORED GAS LEVELS WHILE WAITING FOR EQUIPMENT TO ARRIVE TO ISOLATE AND BLOW DOWN THE AFFECTED PIPELINE SEGMENT. OPERATIONS ISOLATED 8,661' OF PIPE BY PLACING A STOPPLE PLUG IN A STOPPLE FITTING LOCATED AT LINE PLUS 540+95 AND BY CLOSING BLOCK VALVE 43120 AT GREENBRIER TOWN BOARDER STATION LOCATED AT LINE PLUS 627+56; THE LINE WAS BLOWN FLAT AT 22:50 ON AUGUST 16, 2022.   CONTRACTORS MOBILIZED TO THE SITE ON THE MORNING OF AUGUST 17, 2022....AFTER HEAVY RAIN MOVED OUT OF THE AREA, THE CONTRACTORS BEGAN REMOVING BOTH CONCRETE DRIVEWAYS. THE PIPE WAS UNCOVERED ON THE AFTERNOON (AUGUST 17TH) AND A SMALL PINHOLE LEAK WAS DISCOVERED IN A GIRTH WELD. THE PIPE WAS CUTOUT AND 44' OF 0.237: WT, 4.5" DIA, X52 GRADE PIPE WAS INSTALLED IN ITS PLACE.  THE PIPE WAS PURGED AND LOADED AND THEN BROUGHT BACK INTO SERVICE ON THE MORNING OF AUGUST 18TH, 2022.</t>
  </si>
  <si>
    <t>VALVES ALREADY CLOSED DUE TO PREVIOUS INCIDENT.</t>
  </si>
  <si>
    <t>SEA ROBIN EI BLOCK 330</t>
  </si>
  <si>
    <t>SEGMENT # 7109 LINE 716-10-1</t>
  </si>
  <si>
    <t>MULTIPLE DIAMETER PIPE</t>
  </si>
  <si>
    <t>713-989-5391</t>
  </si>
  <si>
    <t>7/23/22, SEA ROBIN GAS CONTROL RECEIVED NOTIFICATION OF A SHEEN IN THE EI 330 BLOCK AREA. THE THIRD-PARTY PRODUCER WHO OBSERVED THE SHEEN NOTIFIED THE NRC AND THOSE WHO HAVE LINES IN THE AREA.    7/24/22, ET MADE AN OVERFLIGHT TO CONFIRM SHEEN. FINDINGS WERE REPORTED TO THE NRC AT 17:36, NRC#1342409.    7/25/22, THE PRODUCER WHO ORIGINALLY SPOTTED THE SHEEN HAS A DSV ON CONTRACT AND ARE IN THE PROCESS OF INVESTIGATING THE SOURCE. THEY ARE JUST ARRIVING IN THE FIELD BUT WILL UPDATE US AS THEY DETERMINE OWNERSHIP.    7/26/22, THE DSV SHOWS THE LEAK SOURCE IS AT A CROSSING BETWEEN THE SEA ROBIN WEST 8-INCH LINE AND A THIRD PARTY 6-INCH LINE. DUE TO THE LIMITATIONS OF THE DSV THAT RESPONDED, THEY WERE UNABLE TO SAFELY ACCESS THE CROSSING TO VERIFY WHICH LINE IS AT FAULT. THE SEA ROBIN WEST 8-INCH LINE IS CONNECTED TO THE SEA ROBIN WEST 24-INCH, WHICH IS CURRENTLY IN THE PROCESS OF DEPRESSURIZATION DUE TO THE LEAKING FITTING IN SMI128. THAT DEPRESSURIZATION WORK WILL CONTINUE AS WILL OUR ATTEMPTS TO LOCATE A DSV WITH THE NEEDED CAPABILITIES. THE NRC 48-HOUR UPDATE WAS MADE, AND THE REPORT WAS UPDATED WITH OVERFLIGHT FINDINGS. NRC#1342624.    8/19/2022, WE HAVE BEEN UNABLE TO SOURCE A DSV TO RESPOND TO OUR INCIDENTS. THE RESPONSIBLE PARTY FOR THIS RELEASE IS YET TO BE DETERMINED.    8/21/2022, ENERGY TRANSFER PLACED A CALL TO THE NRC TO TAKE OWNERSHIP OF THE RELEASE AND UPDATE RESPONSIBLE PARTY TO SEA ROBIN PIPELINE. NRC# 1345136. CONDENSATE FOUND LEAKING FROM A PINHOLE LEAK AT THE 5 O'CLOCK POSITION.     8/22/2022, THE REPAIR CLAMP HAS BEEN INSTALLED. OPERATIONS PERSONNEL BEGINNING THE PRESSURIZATION OF PIPELINE TO PERFORM LEAK CHECKS AT MULTIPLE STAGES. NO LEAKS WERE OBSERVED BY THE DIVERS OR OVERFLIGHT PERSONNEL THROUGHOUT EACH INCREASE IN PRESSURE POINTS.     8/23/22, THE LINE WAS BACK TO FULL PRESSURE (EQUALIZED) AT 16:39.</t>
  </si>
  <si>
    <t>BIENVILLE</t>
  </si>
  <si>
    <t>TRISTATE 9047, CHK WEYERHAEUSER 15-1</t>
  </si>
  <si>
    <t>INTERNAL ENVIRONMENTAL CRACKING</t>
  </si>
  <si>
    <t>ANGELA MORGAN</t>
  </si>
  <si>
    <t>LEAD SPECIALIST - REGULATORY COMPLIANCE</t>
  </si>
  <si>
    <t>angela.morgan@energytransfer.com</t>
  </si>
  <si>
    <t>903-243-6541</t>
  </si>
  <si>
    <t>ON 7/22/22 AT APPROXIMATELY 10:10, A PRODUCER CONTACTED ENERGY TRANSFER OPERATIONS PERSONNEL TO REPORT A LOSS OF PRESSURE AND WELL SHUT IN BIENVILLE PARRISH. THE 2 WELLS REPORTED TO BE SHUT IN WERE BOTH INLETS INTO THE ENERGY TRANSFER PIPELINE REFERENCED AS 20101088 TRISTATE 9047 CHK WEYERHAEUSER 15-1. OPERATIONS PERSONNEL WERE MOBILIZED AND ENROUTE TO SHUT MANUAL VALVES TO ISOLATE THE SEGMENT OF PIPELINE. THE UPSTREAM AND DOWNSTREAM VALVES WERE SHUT IN AND ENERGY TRANSFER PERSONNEL LOCATED A PIPELINE RUPTURE ON THE WEYERHAEUSER 15-1. ONCE ISOLATED, THE PIPELINE WAS ALLOWED TO BLOWDOWN AT THE RUPTURE SITE. A SEGMENT OF PIPE WAS LOCATED OUTSIDE OF THE RUPTURE AREA AND WAS PRESERVED TO SEND FOR METALLURGICAL ANALYSIS.    REPORTS WERE MADE TO THE LA STATE POLICE ON 722/22 AT 10:22 AND LA DNR ON 7/22/22 AT 11:46. NRC NOTIFICATIONS WERE MADE (1342244 &amp; 48-HR FOLLOW UP 1342376).    METALLURGICAL ANALYSIS IS BEING COMPLETED ON THE SAMPLE RECOVERED FROM THE RUPTURE SITE.  THE SEGMENT OF PIPE AFFECTED HAS BEEN REPLACED AND WAS PLACED BACK IN SERVICE ON 8/5/22 AT 18:00.    METALLURGICAL ANALYSIS INDICATED INTERNAL ENVIRONMENTAL CRACKING AS THE CAUSE LIKELY DUE TO INTERACTION BETWEEN CORROSION INHIBITOR AND COMPONENTS OF THE GAS STREAM.     SINCE THE TIME OF THE FAILURE THE PIPELINE WAS SUBJECTED TO A HYDROSTATIC PRESSURE STRENGTH AND SPIKE TEST.</t>
  </si>
  <si>
    <t>GLENARM</t>
  </si>
  <si>
    <t>SANGAMON</t>
  </si>
  <si>
    <t>GLENARM COMPRESSOR STATION ESD</t>
  </si>
  <si>
    <t>STAINLESS STEEL</t>
  </si>
  <si>
    <t>O-RING</t>
  </si>
  <si>
    <t>O-RING FAILURE</t>
  </si>
  <si>
    <t>SPECIALIST - REGULATORY COMPLIANCE</t>
  </si>
  <si>
    <t>ON JULY 11, 2022, AT APPROXIMATELY 14:50 A NATURAL GAS RELEASE OCCURRED AT THE GLENARM COMPRESSOR STATION LOCATED IN SANGAMON COUNTY, ILLINOIS.    THE NATURAL GAS RELEASE WAS DUE TO A FAILED O-RING IN THE SYSTEM THAT SUPPLIED DOME PRESSURE ON AN ESD BLOWDOWN VALVE.  THE DOME LOST PRESSURE WHICH CAUSED THE BLOWDOWN VALVE TO FAIL OPEN.    AT 15:08, A LOCAL OPERATOR ISOLATED AND CLOSED THE ESD VALVE, THE POWER GAS PRESSURE WAS STABILIZED, AND THE RELEASE WAS SECURED. THE DAMAGED O-RING WAS REPLACED WITH A NEW O-RING AND THE SYSTEM WAS PUT BACK INTO SERVICE.    AT APPROXIMATELY 16:20, IT WAS CONFIRMED THAT THE UNINTENTIONAL GAS LOSS WAS AT 5.928 MMCF, WHICH EXCEEDED THE 3 MMCF REPORTING CRITERIA AND THE NRC WAS NOTIFIED AT 16:44.</t>
  </si>
  <si>
    <t>WALLIS</t>
  </si>
  <si>
    <t>FORT BEND</t>
  </si>
  <si>
    <t>2220+15</t>
  </si>
  <si>
    <t>OLD OCEAN (SWEENY TO BURLESON CO) , 24-INCH</t>
  </si>
  <si>
    <t>COLD APPLIED TAPE</t>
  </si>
  <si>
    <t>COMPLETE BLOWOUT/SEPARATION</t>
  </si>
  <si>
    <t>TRUNKLINE GAS COMPANY PIPELINE CATHODIC PROTECTION SYSTEM</t>
  </si>
  <si>
    <t>ENGINEER - REGULATORY COMPLIANCE</t>
  </si>
  <si>
    <t>ON JULY 7, 2022, AT APPROXIMATELY 10:37AM, ENERGY TRANSFER GAS CONTROL OBSERVED A SUDDEN DROP IN FLOW AT THE SWEENY ENTERPRISE METER, DOWNSTREAM OF THE OLD OCEAN (SWEENY TO BURLESON COUNTY), 24-INCH PIPELINE. GAS CONTROL IMMEDIATELY INITIATED AN EMERGENCY AREA SHUTDOWN BY SHUTTING DOWN BELLVILLE COMPRESSOR STATION AND NOTIFYING OPERATIONS PERSONNEL. AT 11:14AM, OPERATIONS PERSONNEL CONFIRMED THERE WAS A LEAK AND FIRE ON THE OLD OCEAN (SWEENY TO BURLESON COUNTY), 24-INCH PIPELINE SEGMENT. ET PERSONNEL WERE IMMEDIATELY DISPATCHED TO THE UPSTREAM AND DOWNSTREAM VALVE AT 10:40AM. THE AUTOMATED UPSTREAM BLOCK VALVE WAS CLOSED AT 11:00AM AND THE DOWNSTREAM BLOCK VALVE WAS MANUALLY CLOSED AT 12:00 PM ISOLATING THE VALVE SECTION AND LETTING THE FIRE BURN OUT. AT 11:45AM, ET PERSONNEL ARRIVED ON SITE. A HALF MILE RADIUS WAS SECURED FROM THE PUBLIC WITH THE HELP OF LOCAL LAW ENFORCEMENT. THE FIRE WAS PUT OUT AT 12:15PM. ONCE THE AREA WAS DEEMED SAFE, REPAIRS WERE INITIATED. THE FAILED SECTION OF PIPE WAS CUT OUT AND REPLACED AND LINE WAS RETURNED TO SERVICE AS OF 8:00 PM ON JULY 9, 2022. THE CAUSE FOR THE FAILURE WAS DETERMINED TO BE EXTERNAL CORROSION DUE TO STRAY CURRENT INTERFERENCE.    TO PREVENT RE-OCCURRENCE, ET HAS REPLACED SEGMENTS OF BOTH PIPELINES, PUT IN PERMANENT ELECTRODES, TEST STATIONS, AND INSTALLED A CRITICAL BOND BETWEEN BOTH PIPELINES. THE BOND WILL BE MONITORED EVERY TWO MONTHS NOT TO EXCEED 2.5 MONTHS.     THIS PIPELINE IS A CLASS 1 TRANSMISSION PIPELINE LOCATED IN FORT BEND COUNTY NEAR WALLIS, TEXAS. THIS FACILITY IS UNDER THE JURISDICTION OF THE TEXAS RAILROAD COMMISSION. ON JULY 7, 2022, THIS INCIDENT WAS TELEPHONICALLY REPORTED TO THE NATIONAL RESPONSE CENTER (NRC) AT 11:55AM. A COURTESY CALL WAS ALSO MADE TO THE TEXAS RAILROAD COMMISSION AT 12:15 PM INCIDENT #2649.</t>
  </si>
  <si>
    <t>MANSFIELD</t>
  </si>
  <si>
    <t>DESOTO</t>
  </si>
  <si>
    <t>COMSTOCK EXT 10-INCH</t>
  </si>
  <si>
    <t>BREDERO SHAW</t>
  </si>
  <si>
    <t>INCIDENT WAS REPORTED TO GAS CONTROL BY A THIRD PARTY.</t>
  </si>
  <si>
    <t>LEAD SPECIALIST REGULATORY COMPLIANCE</t>
  </si>
  <si>
    <t>ON 6/27/22 AT APPROXIMATELY 10:56, GAS CONTROL RECEIVED A REPORT FROM LANDOWNER OF FIRE AND POSSIBLE RUPTURE IN THE VICINITY OF ENERGY TRANSFER (ET) PIPELINE KNOWN AS 20104059 COMSTOCK EXTENSION 10-INCH. AT 11:07, SCADA INFORMATION INDICATED A LOSS OF PRESSURE AT THE METER CLOSE TO THE LEAK SITE. ENERGY TRANSFER OPERATIONS PERSONNEL WERE NOTIFIED AND ENROUTE TO THE VALVE DOWNSTREAM FROM THE POSSIBLE LEAK SITE. THE SHUT-IN VALVE AT THE PETRO-HUNT WELLSITE HAD ALREADY CLOSED ON LOW PRESSURE. ET PIPELINE TECHNICIAN CLOSED THE DOWNSTREAM VALVE TO ISOLATE THE LOCATION AT APPROXIMATELY 12:04. ET PERSONNEL ARRIVED AT THE RUPTURE SITE AT 13:10 AND CONFIRMED THE FIRE WAS EXTINGUISHED AT 13:17. THE PIPELINE SECTION WAS EXCAVATED AND INSPECTED AND THE INITIAL CAUSE WAS THOUGHT TO BE MATERIAL DEFECT IN THE PIPE BODY. METALLURGICAL ANALYSIS INDICATED INTERNAL ENVIRONMENTAL CRACKING AS THE CAUSE LIKELY DUE TO INTERACTION BETWEEN CORROSION INHIBITOR AND COMPONENTS OF THE GAS STREAM. THE PIPE SEGMENT AFFECTED BY THE RUPTURE WAS REPLACED. PIPELINE BACK IN SERVICE ON 7/3/2022 AT 0:30.    LA STATE POLICE WAS NOTIFIED ON 6/27/2022 AT 11:19. AS A PRECAUTION, EMERGENCY RESPONDERS EVACUATED 35 PERSONS FROM APPROXIMATELY 6 RESIDENTIAL LOCATIONS. ONCE THE FIRE WAS EXTINGUISHED, THE EVACUATED PERSONS WERE ADVISED IT WAS SAFE TO RETURN TO THEIR RESIDENCES.    NRC NOTIFICATION (1339910) WAS MADE AT 6/27/2022, 11:32 NRC 48-HOUR REPORT WAS MADE 6/28/2022, 15:38 (1340030).    SINCE THE TIME OF THE FAILURE THE PIPELINE WAS SUBJECTED TO A HYDROSTATIC PRESSURE STRENGTH AND SPIKE TEST.</t>
  </si>
  <si>
    <t>SEA ROBIN - WEST</t>
  </si>
  <si>
    <t>LINE 716</t>
  </si>
  <si>
    <t>SOUTH MARSH ISLAND</t>
  </si>
  <si>
    <t>128A</t>
  </si>
  <si>
    <t>GROVE</t>
  </si>
  <si>
    <t>PRODUCER</t>
  </si>
  <si>
    <t>THREADED PLUG ON 24-INCH SUBSEA VALVE</t>
  </si>
  <si>
    <t>PLUG LEAK</t>
  </si>
  <si>
    <t>AT APPROXIMATELY 10:25 AM ON 06/18/22, GAS CONTROL RECEIVED A CALL FROM A 3RD PART REPORTING BUBBLES IN THE AREA NEAR THE SEA ROBIN 716 PIPELINE IN SMI BLOCK 128A.  THE INITIAL NRC NOTIFICATION (1339148) WAS CONDUCTED ON 6/18/22 AT 1:25 PM. SEA ROBIN DID NOT TAKE OWNERSHIP AT THIS TIME DUE TO THE UNCERTAINTY OF THE LEAK LOCATION BECAUSE OF THE INTERMITTENT NATURE OF THE RELEASE.  THE 48-HOUR FOLLOW-UP NRC NOTIFICATION (1339250) WAS CONDUCTED ON 6/20/22 AT 10:42 AM.  OVERFLIGHTS WERE CONDUCTED UNTIL WE WERE ABLE TO GET A MESOTECH AND SURVEY TECH ON A CREW BOAT TO BEGIN INVESTIGATION.  THE SONAR EQUIPMENT DID DETECT A LEAK ON THE 24-INCH SEGMENT 15532 ON 6/22/22 AT APPROXIMATELY 10:30 AM.  AN UPDATE WAS MADE TO THE NRC, (1339470) ON 6/22/22 AT 11:46 AM STATING THAT SEA ROBIN WAS TAKING OWNERSHIP OF THE LEAK.  A DSV CREW WAS DISPATCHED TO THE LEAK SITE ON 6/24/22 AND ARRIVED ON 6/25/22.  THE CONTRACTOR LOCATED THE LEAK COMING FROM A 1-INCH PLUG ON THE BODY OF THE 24-INCH SUBSEA BALL VALVE ON 6/27/22.  DSV CREW COULD NOT MAKE REPAIRS ON THE VALVE UNTIL THE PIPELINE WAS DEPRESSURIZED.  THE PROCESS OF DEPRESSURIZING THE PIPELINE IS ONGOING AND SEA ROBIN OPERATIONS IS WAITING ON THE AVAILABILITY OF DSV CREW TO MAKE THE REPAIR.    A SUPPLEMENTAL REPORT WILL BE FILED ONCE THE REPAIRS HAVE BEEN COMPLETED.    THE PLUG WAS REPLACED ON 8/21/22 AND THE LINE WAS PUT BACK IN SERVICE.</t>
  </si>
  <si>
    <t>KERMIT</t>
  </si>
  <si>
    <t>WINKLER</t>
  </si>
  <si>
    <t>20+00</t>
  </si>
  <si>
    <t>WTG BOOSTER 10IN TX-WINKLER</t>
  </si>
  <si>
    <t>NOTIFICATION FROM THIRD PARTY</t>
  </si>
  <si>
    <t>SEE NARRATIVE</t>
  </si>
  <si>
    <t>chris.palafox@energytransfer.com</t>
  </si>
  <si>
    <t>ON JUNE 2, 2022, THERE WAS A NATURAL GAS RELEASE ON THE 99991001 WTG BOOSTER 10IN TX-WINKLER_BLK B5 SUR 3,8,13,14,17,24, A TYPE C GATHERING LINE LOCATED 4.5 MILES SOUTH OF KERMIT, TX IN WINKLER COUNTY.    THE LINE SEPARATED AND RELEASED 1,667 THOUSAND CUBIC FEET OF NATURAL GAS DUE TO A PIPE FAILURE FROM A DEFECT DUE TO INTERNAL CORROSION.    ON JUNE 14, 2022, IT WAS DETERMINED THAT THE DAMAGE AND REPAIRS WAS GOING TO EXCEED THE $129,300.00 REPORTING CRITERIA. THIS EVENT WAS REPORTED TO THE NRC # AND TRRC #    2000 FEET OF PIPE WILL BE REPLACED WITH NEW PIPE AND TO PREVENT THIS FROM OCCURRING IN THE FUTURE, OPERATIONS WILL HAVE MEASUREMENT CONDUCT MONTHLY CHECKS ON THE THREE MONITORS FEEDING THE SYSTEM AND LOWER THE PPM HIGH AND HIGH HIGH ALARM SET POINTS.    THE AFFECTED PORTION OF THE PIPE WAS SENT TO THE LAB, WAITING FOR RESULTS.  A SUPPLEMENTAL REPORT WILL BE SUBMITTED WITH LAB RESULT FINDINGS.    ON JULY 9, 2022, THE PIPELINE REPLACEMENT WAS COMPLETE AND AT 12:00 THE PIPELINE WAS PUT BACK IN SERVICE.    ON NOVEMBER 2, 2022, THE RESULTS OF THE LAB METALLURGICAL ANALYSIS INDICATED SIGNIFICANT WALL LOSS DUE TO INTERNAL CORROSION.    THE RESULTS OF THE METALLURGICAL ANALYSIS INDICATE THAT THE RUPTURE INITIATED IN THE PIPE BODY AT THE 12:00 ORIENTATION AND TRAVERSED THROUGH THE PIPE FOR 70-IN BEFORE ARRESTING. SIGNIFICANT WALL LOSS FROM INTERNAL CORROSION WAS OBSERVED IN THE TOP HALF OF THE PIPE DUE TO AN UPSET WITH THE PRODUCERS WHICH ALLOWED OXYGEN IN THE PIPE WHICH CREATED THE INTERNAL CORROSION. THE FAILURE WAS NOT ASSOCIATED WITH THE LONGITUDINAL SEAM.     TO PREVENT THIS FROM OCCURRING IN THE FUTURE, OPERATIONS WILL BEGIN PIGGING THIS LINE TWICE A WEEK TO BETTER DISPERSE INJECTED CORROSION INHIBITOR AND ENSURE LINE IS CLEAN.  OXYGEN SENSORS HAVE ALSO BEEN INSTALLED ON THIS LINE TO CLOSELY MONITOR THE OXYGEN CONTENT OF GAS STREAM.    ADDITIONALLY, OUR CHEMICAL COMPANY HAS BEEN INSTRUCTED TO CHECK INSTALLED COUPONS FOR CHEMICAL RESIDUE QUARTERLY AND PERFORM BACTERIA TESTS AND MAKE NECESSARY ADJUSTMENTS AS NEEDED TO THE ONGOING CHEMICAL TREATMENT INJECTION PROGRAM.    THIS SYSTEM HAS ALSO BEEN BUDGETED FOR AN ILI INSPECTION FOR 2023.</t>
  </si>
  <si>
    <t>317+87</t>
  </si>
  <si>
    <t>OT-13</t>
  </si>
  <si>
    <t>BONANZA COMPRESSOR, OT-13 TO LINE O</t>
  </si>
  <si>
    <t>X-42</t>
  </si>
  <si>
    <t>SECTION OF PIPE WAS EJECTED DUE TO RUPTURE. ORIGIN AND INTERACTION WITH SEAM UNKNOW AT THIS TIME. WILL UPDATE AFTER LAB ANALYSIS.</t>
  </si>
  <si>
    <t>LAB COST FOR FAILURE ANALYSIS REPORT.</t>
  </si>
  <si>
    <t>CHECK VALVE</t>
  </si>
  <si>
    <t>NO LAUNCHERS OR RECEIVERS INSTALLED ON PIPELINE.</t>
  </si>
  <si>
    <t>NOTIFIED BY 3RD PARTY PRODUCER OF A LOW FLOW.</t>
  </si>
  <si>
    <t>LEVI CROSS</t>
  </si>
  <si>
    <t>levi.cross@energytransfer.com</t>
  </si>
  <si>
    <t>318-347-9238</t>
  </si>
  <si>
    <t>479-221-7202</t>
  </si>
  <si>
    <t>SR. MANAGER - REGULATORY COMPLIANCE</t>
  </si>
  <si>
    <t>ON 5/24/2022 AT APPROXIMATELY 3:30AM, THE COMPANY WAS NOTIFIED BY A PRODUCER OF A LOW PRESSURE FROM AN INPUT TIED TO OT-13. ASSUMING THERE WAS A LEAK, PERSONNEL WERE DISPATCHED BY MANAGEMENT TO ISOLATE THE LINE AND LOCATE ANY POSSIBLE ISSUES. THREE VALVES AND A CHECK VALVE WERE UTILIZED TO ISOLATE THE SECTION WITH THE FINAL VALVE BEING CLOSED AT 6:30AM. AT 7:30AM A RUPTURE WAS FOUND IN A RURAL AREA APPROXIMATELY 1350FT SOUTH OF BEAR CREEK LOOP RD. NEAR BONANZA, ARKANSAS. INTERNAL INCIDENT COMMUNICATIONS WERE MADE, AND THE EVENT WAS DETERMINED TO BE NON-REPORTABLE DUE TO ESTIMATES MADE BY MANAGEMENT AND ENGINEERING SUPPORT FOR THE COST OF REPAIR/CLEAN-UP AND RELEASE VOLUME. AN ENVIRONMENTAL CLEAN-UP CONTRACTOR WAS DISPATCHED TO THE SITE AND ASSESSED ACCESS TO THE LOCATION, TERRAIN, AND THE TIMELINE FOR THE CLEAN-UP. COST ESTIMATES BASED ON PRIOR COMPANY EXPERIENCE REQUIRED SUBSTANTIAL ADJUSTMENTS AFTER INPUT FROM CONTRACTOR. UPON RECEIVING THE UPDATED INFORMATION, IT WAS DETERMINED THAT THE COST OF REPAIR/CLEAN-UP WOULD EXCEED $122K AND AN IMMEDIATE REPORT WAS MADE TO THE NRC ON 5/25 AT 10:56AM. A 44.5IN SECTION OF PIPE WAS EJECTED DUE TO THE RUPTURE AND THE DAMAGED PIECE WAS COLLECTED AND SENT TO THE LAB FOR FAILURE ANALYSIS ON 5/28. THE LAB HAS ESTIMATED THAT THE FAILURE ANALYSIS REPORT WILL BE COMPLETED BY THE WEEK OF 6/27. THE RUPTURE WAS REMEDIATED BY REPLACEMENT ON 5/26 AND RETURNED TO PARTIAL SERVICE ON 5/27 AT 3:30PM. OT-13 WILL REMAIN AT (200PSI) TO SUPPORT A LOCAL DISTRIBUTION COMPANY (16-20 CUSTOMERS) WITH A RETURN TO NORMAL OPERATING PRESSURE PENDING THE OUTCOME OF FAILURE ANALYSIS AND ADDITIONAL INTEGRITY ASSESSMENT ACTIONS. SUPPLEMENTAL: LAB RESULTS FROM THE INITIAL FAILURE WERE RECEIVED ON 7/18 AND CONCLUDED THE RUPTURED OCCURRED DUE TO EXTERNAL CORROSION. OPERATIONS MANAGEMENT DECIDED TO PRESSURE TEST OT-13 AND MODIFY TO MAKE THE LINE PIGGABLE. DURING A PRESSURE TEST ON 8/23, A SECTION OF THE LINE FAILED AT (35.174671, -94.388078), APPROXIMATELY 3.2 MILES SOUTH OF THE INITIAL FAILURE. AFTER REPAIRS WERE MADE, A SUCCESSFUL PRESSURE TEST WAS COMPLETED ON 9/14. OT-13 WAS RETURNED TO NORMAL OPERATION AT 750PSI ON 9/30. LAB RESULTS FROM THE PRESSURE TEST FAILURE WERE RECEIVED ON 11/11 AND CONCLUDED THAT THE RUPTURE OCCURRED DUE TO EXTERNAL CORROSION.</t>
  </si>
  <si>
    <t>LOGAN</t>
  </si>
  <si>
    <t>BT-14</t>
  </si>
  <si>
    <t>LAKE DARDANELLE</t>
  </si>
  <si>
    <t>LEAK WAS NEAR SHORELINE OF SHOAL BAY</t>
  </si>
  <si>
    <t>WELD PLUS FITTING"</t>
  </si>
  <si>
    <t>THE AMOUNT OF GAS BEING RELEASED WAS AT AN AMOUNT THAT WOULD NOT HAVE SET OFF ANY ALARMS.</t>
  </si>
  <si>
    <t>MISCELLANEOUS</t>
  </si>
  <si>
    <t>LAB ANALYSIS IDENTIFIED THE LEAK AT THE DOWNSTREAM END OF THE WELD+ENDS COUPLER COINCIDING WITH THE CLAMP SCREW OVER PASS. THE LEAK COINCIDED WITH AN AREA OF UNDERCUT THAT CONNECTED TO THE FEMALE PORTION OF THE CLAMP SCREW ASSEMBLY THROUGH A TIGHT CRACK PATH.</t>
  </si>
  <si>
    <t>A LEAK ON BT-14 NEAR LAKE DARDANELLE WAS REPORTED BY THE PUBLIC ON 4/10/2022. OPERATION PERSONNEL ARRIVED ON SITE AND COMPLETED A VISUAL INSPECTION ON BT-14 NEAR THE SHORELINE OF SHOAL BAY (LAKE DARDANELLE). OPERATING PRESSURE WAS REDUCED FROM 700 TO 315 PSIG AND THE LEAK WAS MONITORED VIA DAILY PATROLS FOR TWO WEEKS UNTIL WEATHER PERMITTED ACCESS TO THE PIPE TO EVALUATE THE CAUSE OF THE LEAK. THE SECTION OF PIPE CONTAINING THE LEAK WAS ISOLATED ON 4/22/2022. THE LEAK APPEARED TO BE THE RESULT OF A PINHOLE AT A "WELD PLUS FITTING'. ON 4/23/2022 AT 12:59 IT WAS DETERMINED THAT THE COST OF REPAIR WOULD EXCEED $122,000....AN INCIDENT NOTIFICATION WAS SENT TO THE NRC AT 1:14PM CENTRAL TIME (NRC# 1334249). A 48HR FOLLOW UP WAS PROVIDED (NRC# 1334340) ON 4/25/2022. THE SECTION OF PIPE WAS BLOWN FLAT AT APPROXIMATELY 3:00PM ON 4/23/2022. THE "WELD PLUS FITTING" WAS SENT TO A LAB TO DETERMINE THE EXACT CAUSE AND LOCATION OF THE LEAK; RESULTS FROM THE LAB ARE PENDING. A 115' REPLACEMENT WAS COMPLETED AND THE PIPELINE WAS RETURNED TO SERVICE ON 5-7-2022 AT 10AM. A SUPPLEMENTAL REPORT WILL BE FILED ONCE RESULTS FROM THE LAB HAVE BEEN RECEIVED.     SUPPLEMENTAL REPORT 12/7/2022: UPDATED PART G AND PART H WITH THE INFORMATION BELOW:  LAB ANALYSIS IDENTIFIED THE LEAK AT THE DOWNSTREAM END OF THE WELD+ENDS COUPLER COINCIDING WITH THE CLAMP SCREW OVER PASS. THE LEAK COINCIDED WITH AN AREA OF UNDERCUT THAT CONNECTED TO THE FEMALE PORTION OF THE CLAMP SCREW ASSEMBLY THROUGH A TIGHT CRACK PATH.</t>
  </si>
  <si>
    <t>THE RELIEF WAS ISOLATED.</t>
  </si>
  <si>
    <t>BRISCOE</t>
  </si>
  <si>
    <t>HEMPHILL</t>
  </si>
  <si>
    <t>WOODALL PLANT</t>
  </si>
  <si>
    <t>AD-23</t>
  </si>
  <si>
    <t>RELIEF VALVE</t>
  </si>
  <si>
    <t>PREMATURE GAS RELEASE</t>
  </si>
  <si>
    <t>CASEY ROBERTS</t>
  </si>
  <si>
    <t>LEAD DOT COMPLIANCE PROGRAM MANAGER</t>
  </si>
  <si>
    <t>casey.roberts@energytransfer.com</t>
  </si>
  <si>
    <t>OPERATIONS PERSONNEL ARRIVED AT THE WOODAL PLANT YARD ON APRIL 11TH AND DISCOVERED A RELIEF VALVE VENTING ON LINE AD-23. THE RELIEF WAS ISOLATED AND IT WAS DISCOVERED THE RELIEF WAS RELIEVING PREMATURELY 967 PSI. THE MAOP OF AD-23 IS 1000 PSI.     THE NRC WAS NOTIFIED ON 4/11/2022 (#1333256) OF THE RELEASE AND A 48 HR. FOLLOW UP WAS PROVIDED ON 4/12/2022 (#1333381).    THIS RELIEF VALVE HAS RELIEVED PREMATURELY PREVIOUSLY AND OPERATIONS ORDERED A REPLACEMENT VALVE IN APRIL OF 2022. LEAD TIME ON THE NEW VALVE WAS 18 WEEKS AT TIME OF ORDER AND HAS NOT YET BEEN RECEIVED. AFTER THIS RELEASE WAS SECURED, OPERATIONS NOTICIDED THE THE EXISTING VALVE WAS A DIAPHRAGM TYPE PILOT AND THOUGHT THAT MIGHT BE THE ISSUE CAUSING IT TO RELIEVE PREMATURELY.  THE  PILOT HAS SINCE BEEN UPGRADED FROM A DIAPHRAGM TYPE TO A PISTON TYPE.  THE OPERATIONS GROUP LOCATED A PISTON PILOT THAT WAS NOT IN USE AND A SPARE PISTON PILOT OPERATOR HAS BEEN ORDERED TO KEEP ON THE SHELF (TENTATIVELY SCHEDULED FOR RECEIPT IN AUGUST 2022). A FULL REBUILD KIT FOR THE RELIEF VALVE HAS BEEN ORDERED AS WELL SHOULD IT BE NEEDED. A PROJECT IS BEING DEVELOPED TO POSSIBLY RELOCATE THE VALVE.     LINE AD-23, ADM-14, AND LINE AD-WEST ARE ALL TIED TOGETHER AT THE WOODALL PLANT YARD. ALL LINES HAVE A 1000 PSI MAOP AND ARE ALL COMMON. OVER THE LAST COUPLE OF YEARS, AD-WEST HAS ROUTINELY OPERATED AT A HIGHER PRESSURE ANYWHERE FROM 925 TO 975 PSI. SINCE EACH RELEASE HAS BEEN PREMATURE, ENABLE THOUGHT REPLACING THE DIAPHRAGM PILOT (WHICH HAS A +/- 5% INITIATION) WITH A PISTON PILOT WOULD ALLOW AD-WEST TO OPERATE CLOSER TO MAOP.  THE DIAPHRAGM WORKED WELL WHEN THE LINE WAS OPERATING AT A LOWER PRESSURE BUT COULD CONTINUE TO PREMATURELY RELIEVE +/- 50 PSI EARLY IF NOT CHANGED TO THE PISTON STYLE.    05.12.2022 SUPPLEMENTAL   PART H NARRATIVE UPDATED.</t>
  </si>
  <si>
    <t>THE VALVE WAS ISOLATED.</t>
  </si>
  <si>
    <t>RV TESTING.</t>
  </si>
  <si>
    <t>PREMATURE RV RELEASE.</t>
  </si>
  <si>
    <t>PREMATURE RELEASE</t>
  </si>
  <si>
    <t>LEAD DOT COMPLIANCE PROGRAM SPECIALIST</t>
  </si>
  <si>
    <t>A RELIEF VALVE WAS DISCOVERED VENTING AT THE WOODALL PLANT YARD. THE RELEASE WAS SECURED, AND IT WAS DETERMINED THAT A REPORTABLE RELEASE OF NATURAL GAS OCCURRED. THE NRC WAS NOTIFIED (INITIAL #1332234, 48 HR. @1332315). UPON INVESTIGATION, IT WAS DETERMINED THE RV RELIEVED PREMATURELY. LINE AD-23 HAS A 1000 PSI MAOP AND WAS OPERATING NEAR 964 PSI AT THE TIME OF RELEASE. THE RV WAS RE TESTED AND SET AT 1000 PSI.     THIS RELIEF VALVE IS AT A LOCATION WHERE ALL CONNECTING PIPELINES (AD WEST, AD-23, AND ADM-14) COME TOGETHER, ALL WITH A 1000 PSIG MAOPS. A NEW RV HAS BEEN ORDERED AND A PROJECT IS BEING DEVELOPED TO POSSIBLY RELOCATE THE VALVE TO LINE AD-WEST WHEN IT ARRIVES.</t>
  </si>
  <si>
    <t>STINGRAY 30-IN LINE 1004C-100</t>
  </si>
  <si>
    <t>AT 4:30 ON 02/27/2022, ET PERSONNEL WERE NOTIFIED BY A PRODUCER THAT THEY OBSERVED A SHEEN NEAR ETS 30-INCH PIPELINE LOCATED AT WC 550 BLOCK.  A CALL WAS PLACED TO THE NRC BY THE PRODUCER (NRC #1329846).  ET PERSONNEL ARRIVED ONSITE AND CLOSED THE UPSTREAM VALVE AT 5:00 PM.  THE DOWNSTREAM VALVES WERE CLOSED AT 5:10 PM ISOLATING THE PIPELINE.    AN OVERFLIGHT WAS ACCOMPLISHED ON 02/28/22 AT 10:15 AM.  ONCE THE LINE WAS CONFIRMED TO BE ETCS PIPELINE, ETC PLACED A CALL TO THE NRC (NRC# 1329873) AND THE 48 HOUR NOTIFICATION WAS MADE ON 03/01/2022 AT 1304.    THE REPAIRS ON THIS 30-INCH LINE ARE STILL PENDING DUE TO THE DEPRESSURIZATION PROCESS.  THE DEPRESSURIZATION STARTED ON 3/1/22 UTILIZING A DEPRESSURIZATION VESSEL AND ARE CURRENTLY STILL IN THE PROCESS OF DEPRESSURIZING THE 30-INCH LINE TO A SAFE WORKING PRESSURE FOR THE DIVE COMPANY SO THEY CAN BEGIN REPAIR.  SINCE THE BEGINNING OF THE DEPRESSURIZATION PROCESS, THE DEPRESSURIZATION VESSEL HAS HAD TO DEAL WITH INTERMITTENT HIGH SEAS AND STRONG WIND CONDITIONS MAKING THE DEPRESSURIZATION OPERATIONS UNABLE TO SAFELY PROGRESS.  THE CREWS HAVE HAD TO RUN INTO PROTECTED WATERS SEVERAL TIMES.  REPAIRS ON THE LINE WILL COMMENCE ONCE THE LINE HAS BEEN SAFELY DEPRESSURIZED.   OPERATIONS WILL CONTINUE TO SCHEDULE OVERFLIGHTS FOR MONITORING AS WEATHER ALLOWS.     ***07/13/22 UPDATE:  POOR OFFSHORE WEATHER CONDITIONS AND LACK OF AVAILABILITY OF RESOURCES TO MOBILIZE HAVE PROLONGED IDENTIFYING AND REPAIRING THE LEAK.  ON MAY 29, 2022, DSV ARRIVED ON LOCATION AND DURING DEPRESSURIZATION THE MAIN JET PUMP FAILED, DSV CONTINUED WITH A SMALLER BACK-UP SYSTEM UNTIL A TENDER(OPERATOR) ON THE DSV INJURED HIS ARM BY PLACING IT IN A PINCH POINT (ARM WAS BRUISED NOT BROKEN). DSV RETURNED TO DOCK TO OBTAIN NEW PUMPS AND RETURN TO THE SITE AND BEGAN DIVING OPERATIONS. ONCE THE DSV ARRIVED BACK ON LOCATION, THE CREW FOUND THE LEAK ON JUNE 2, 2022. IT WAS LOCATED ON A FIELD JOINT AT THE 5:30 POSITION (SMALL PINHOLE). ON JUNE 6, 2022, AN ERROR WAS MADE WHILE THE CONTRACT DIVERS WERE INSTALLING A LEAK CLAMP.  THIS ERROR REQUIRED THE REMOVAL OF THE NEWLY INSTALLED CLAMP.  DSV RETURNED TO DOCK TO PROCURE A REPLACEMENT CLAMP AND IS AWAITING THE AVAILABILITY OF ANOTHER DIVE VESSEL TO CONTINUE WITH THE REPAIR OPERATIONS.  ET WILL CONTINUE TO MAKE OVERFLIGHTS UNTIL THE REPAIRS ARE COMPLETE.    ***08/12/22 UPDATE:  CLAMP WAS INSTALLED AND PRESSURE INTRODUCED TO THE 30-INCH LINE.</t>
  </si>
  <si>
    <t>BRYSON</t>
  </si>
  <si>
    <t>JACK</t>
  </si>
  <si>
    <t>BRYSON TAP - BRYSON COMPRESSOR STATION</t>
  </si>
  <si>
    <t>9166 BRYSON TAP_ BRYSON COMP STATION 16-INCH</t>
  </si>
  <si>
    <t>RELEASE FROM STATION BLOWDOWN</t>
  </si>
  <si>
    <t>VERSA VALVE FAILED TO SHIFT</t>
  </si>
  <si>
    <t>LEAD SPECIALIST</t>
  </si>
  <si>
    <t>ON 2/27/22 AT 6:20, ENERGY TRANSFER GAS CONTROL CALLED ENERGY TRANSFER (ETC) OPERATIONS TECHNICIAN TO NOTIFY HIM OF A STATION ESD AT THE BRYSON FACILITY.  ETC OPERATIONS TECHNICIAN ARRIVED AT THE BRYSON FACILITY AT 7:05 AND FOUND THE STATION BLOWDOWN ACTIVELY RELEASING NATURAL GAS TO ATMOSPHERE.  ETC OPERATIONS TECHNICIAN IDENTIFIED THE VALVE THAT FAILED TO CLOSE DURING THE ESD AND AT 7:09 HE MANUALLY CLOSED THE VALVE TO STOP THE RELEASE.    THE QUANTITY OF GAS RELEASED WAS CALCULATED AND DETERMINED TO BE REPORTABLE AT 08:20. INITIAL NOTIFICATION WAS MADE TO THE NRC (REPORT # 1329823) AT 8:50 ON 2/27/22.  THE 48-HOUR UPDATE WAS MADE TO NRC (REPORT # 1329940) AT 8:41 ON 3/01/22.    FURTHER INVESTIGATION INDICATED THE VERSA VALVE ON THE CONTROL VALVE FAILED TO OPERATE, THEREFORE THE CONTROL VALVE FAILED TO CLOSE AND ALLOWED THE RELEASE OF NATURAL GAS FROM 9166 BRYSON TAP - BRYSON COMPRESSOR STATION 16-INCH PIPELINE.  THE REASON FOR THE ESD WAS LOSS OF INSTRUMENT AIR PRESSURE.     THE 9166 BRYSON TAP - BRYSON COMPRESSOR STATION 16-INCH PIPELINE WAS IDLE AT THE TIME OF THE ESD.  THE PIPELINE WAS NOT SHUTDOWN AS IT WAS NOT CURRENTLY NEEDED, HOWEVER IT WAS AVAILABLE TO RETURN TO SERVICE WHEN NEEDED, AT 11:50 ON 2/27/22.</t>
  </si>
  <si>
    <t>HATTIEVILLE</t>
  </si>
  <si>
    <t>CONWAY</t>
  </si>
  <si>
    <t>ROUND MOUNTAIN COMPRESSOR STATION</t>
  </si>
  <si>
    <t>LINE J</t>
  </si>
  <si>
    <t>ESD</t>
  </si>
  <si>
    <t>STATION ESD DUE TO POWER FAILURE.</t>
  </si>
  <si>
    <t>ACTUATOR SUPPLY GAS BLOCKAGE.</t>
  </si>
  <si>
    <t>ON 2/20/2022 THE ROUND MOUNTAIN COMPRESSOR STATION ESD'D WHEN A COMMERCIAL POWER FAILURE OCCURRED IN THE AREA. THE STATION WAS IDLE AT THE TIME OF THE POWER FAILURE. SYSTEM CONTROL RECOGNIZED THE ESD (AND A FLOW INCREASE FOR EGT LINE J) AND DISPATCHED OPS TO THE STATION TO DETERMINE CAUSE. WHEN OPS ARRIVED, THEY FOUND THE SUCTION VALVE OF THE STATION HAD NOT CLOSED ALLOWING LINE J (IN-SERVICE) GAS TO VENT INTO THE ATMOSPHERE.  THE SUCTION VALVE WAS CLOSED BY THE RESPONDING OPERATOR AND THE UNINTENTIONAL RELEASE OF GAS WAS ELIMINATED.   AFTER CLOSING THE SUCTION VALVE, OPERATIONS DETERMINED A REPORTABLE RELEASE HAD OCCURRED AND A CALL WAS PLACED TO THE NRC (NRC#1329308). A 48 HR. FOLLOW UP WAS PROVIDED (NRC#1329431) ON 2/22/2022.   AFTER FURTHER INVESTIGATION, IT WAS DETERMINED THE SUCTION VALVE FAILED TO CLOSE DUE TO DEBRIS IN THE ACTUATOR GAS SUPPLY LINE. THE DEBRIS WAS CLEARED FROM THE LINE AND A TEST WAS PERFORMED TO CONFIRM THE VALVE WAS OPERABLE. GOING FORWARD, A FILTER WILL BE PLACED ON THE LINE TO REMOVE CONTAMINANTS FROM THE GAS SUPPLY ALLOWING THE ACTUATOR TO WORK AS INTENDED.</t>
  </si>
  <si>
    <t>ORLA</t>
  </si>
  <si>
    <t>CULBERSON</t>
  </si>
  <si>
    <t>DELAWARE COMP TX-CULBERSON_T-P RW T1S BLK 58,59 SU</t>
  </si>
  <si>
    <t>#5 COMPRESSOR DISCHARGE CHECK VALVE</t>
  </si>
  <si>
    <t>TYPE A GATHERING</t>
  </si>
  <si>
    <t>FAILURE OF EQUIPMENT BODY (EXCEPT COMPRESSOR), VESSEL PLATE, OR OTHER MATERIAL</t>
  </si>
  <si>
    <t>ON FEBRUARY 10, 2022 AT APPROXIMATELY 00:20, A FIRE OCCURRED AT THE DELAWARE COMPRESSION STATION, A NON-REGULATED GATHERING STATION, 18 MILES NORTH-NORTHWEST OF ORLA, TX, 0.1 MILE SOUTH OF THE NEW MEXICO STATE LINE. OPERATIONS RECEIVED A CALL FROM GAS CONTROL STATING THAT THE COMPRESSOR STATION HAD A LOSS OF GAS AND OPERATIONS IMMEDIATELY DISPATCHED A TECHNICIAN TO THE STATION.    WHEN THE TECHNICIAN ARRIVED ON SITE, HE CONFIRMED THE STATION WAS ON FIRE, ESD THE STATION AND BEGAN TO EXTINGUISH THE FIRE WITH CAUTION. WHEN THE FIRE WAS COMPLETELY EXTINGUISHED THE TECHNICIAN CALLED THE LOCAL FIRE DEPARTMENT IN CASE THERE WAS A RE-FLASH.    WHEN THE STATION WAS SAFE TO ENTER, OPERATIONS BEGAN THE DAMAGE ASSESSMENT. IT WAS DETERMINED AT APPROXIMATELY 02:30 ON FEBRUARY 10, 2022, THE INCIDENT REPORTING CRITERIA WAS GOING TO BE MET. THE ASSESSMENT WAS DETERMINED THAT THE #5 UNIT'S DISCHARGE CHECK VALVE RUPTURED CAUSING THE INTAKE OF THE #3 UNIT, THE SECOND STAGE SCRUBBER ON THE #4 UNIT AND #5 UNIT TO CATCH FIRE AND THE ESTIMATED DAMAGE AND REPAIR DOLLAR AMOUNT WAS GOING TO BE OVER $122,000.    THE DAMAGED DISCHARGE CHECK VALVE WAS REMOVED AND REPLACED WITH A NEW CHECK VALVE AND HAS BEEN SENT TO THE LAB FOR ANALYSIS. THE CAUSE OF THE RUPTURE IS UNKNOWN AT THIS TIME, A SUPPLEMENTAL REPORT WILL BE SUBMITTED ONCE THE CAUSE IS KNOWN.     ON FEBRUARY 13, 2022, AT APPROXIMATELY 09:45 THE DELAWARE COMPRESSOR STATION WAS PUT BACK INTO SERVICE.     ON MARCH 30, 2022, THE LAB REPORT WAS RECEIVED AND REVIEWED BY OUR METALLURGIST.     IT WAS DETERMINED THAT A MANUFACTURING DEFECT COMBINED WITH THERMAL STRESS WAS THE CAUSE OF THE FAILURE.    THIS WAS AN ISOLATED INCIDENT. OPERATIONS WILL REVIEW OTHER CHECK VALVES AT OTHER LOCATIONS AND REPLACE IF NEEDED TO PREVENT THIS FROM REOCCURRING.</t>
  </si>
  <si>
    <t>SEA ROBIN - EAST</t>
  </si>
  <si>
    <t>300-2</t>
  </si>
  <si>
    <t>SHIP SHOAL</t>
  </si>
  <si>
    <t>API-5LX-6500</t>
  </si>
  <si>
    <t>KAISER</t>
  </si>
  <si>
    <t>1INCH X 7/8INCH OVAL HOLE</t>
  </si>
  <si>
    <t>STATIC SHUT-IN TEST OR OTHER PRESSURE OR LEAK TEST</t>
  </si>
  <si>
    <t>713.989.7126</t>
  </si>
  <si>
    <t>AT APPROXIMATELY 3:14 PM ON 01/21/2022, GAS CONTROL RECEIVED A CALL FROM A 3RD PARTY REPORTING SEEING BUBBLES IN THE AREA NEAR THE SEA ROBIN 300-2 PIPELINE IN SHIP SHOAL 93. THE INITIAL NRC REPORT (1327078) WAS SUBMITTED BY A THIRD PARTY PRODUCER ON 1/22/22 AT 2.03 PM. OFFSHORE WEATHER CONDITIONS CAUSED A DELAY IN DETERMINING THE SOURCE OF THE LEAK AND THE REPAIRS. AN OVERFLIGHT WAS ABLE TO BE ACCOMPLISHED ON 01/22/22 AND BASED ON THE COORDINATES OF THE LEAK AND THE 300-2 LINE WAS ISOLATED AT APPROXIMATELY 2:30 PM ON 1/22/22. DUE TO CONTINUED POOR OFFSHORE WEATHER CONDITIONS THE REPAIR CONTRACTOR WAS NOT ABLE TO DEPLOY UNTIL 1/29/22 TO INSPECT THE PIPE AND AFFECT A REPAIR. THE CAUSE OF THE RELEASE WAS DETERMINED TO BE DUE TO INTERNAL CORROSION. A MECHANICAL CLAMP WAS USED TO REPAIR THE PIPELINE ON 1/30/22 AT APPROXIMATELY 8:30 PM AND IS AVAILABLE FOR SERVICE.</t>
  </si>
  <si>
    <t>VALVE WAS CLOSED TO RE-SEAT RELIEF VALVE</t>
  </si>
  <si>
    <t>OOLOGAH</t>
  </si>
  <si>
    <t>NORTHEAST POWER STATION</t>
  </si>
  <si>
    <t>REGULATOR FAILURE DUE TO ICING</t>
  </si>
  <si>
    <t>ICING</t>
  </si>
  <si>
    <t>jimmy.cross@energytransfer</t>
  </si>
  <si>
    <t>ON 01/21/2022 A RELIEF VALVE WAS DISCOVERED VENTING WHEN A ENERGY TRANSFER EMPLOYEE ARRIVED AT THE NORTHEAST POWER STATION IN OOLOGAH, OKLAHOMA. GAUGES WERE INSTALLED TO VERIFY PRESSURES. THE RELIEF VALVE WAS IMMEDIATELY CLOSED AND UPON INVESTIGATION IT WAS DETERMINED THAT A REPORTABLE RELEASE OF NATURAL GAS HAD OCCURRED.     THE NRC WAS NOTIFIED (NRC# 1327084, 1327011) AND AN INVESTIGATION WAS INITIATED TO DETERMINE CAUSE. IT WAS DETERMINED THAT REGULATOR MALFUNCTION HAD OCCURRED DUE TO ICE BUILDUP ON THE REGULATOR.    THE REGULATOR WAS DE-ICED AND THE RELIEF VALVE WAS REBUILT BEFORE BEING PLACED BACK INTO SERVICE.     EXTREME TEMPERATURES OF 16 DEGREES OCCURED ON THS DAY AND CONTRIBUTED TO ICING OF THE REGULATOR, AND ULTIMATELY CAUSED THE RELEASE.</t>
  </si>
  <si>
    <t>STATION WAS DOWN AT TIME OF RELEASE</t>
  </si>
  <si>
    <t>ULYSSES</t>
  </si>
  <si>
    <t>COLUMBIAN STATION</t>
  </si>
  <si>
    <t>COLUMBIAN DISCHARGE</t>
  </si>
  <si>
    <t>RELIEF VALVE FAILED OPEN DUE TO LIQUIDS IN THE PILOT.</t>
  </si>
  <si>
    <t>A REVIEW OF THE ACCIDENT DETERMINED THAT THERE WERE NO CONTROL ROOM ACTIONS THAT CONTRIBUTED TO THE EVENT.  THIS COMPRESSOR STATION WAS DOWN AT THE TIME OF THE INCIDENT AND THE LINE WAS OPERATING BELOW MAOP.</t>
  </si>
  <si>
    <t>LIQUIDS IN THE PILOT</t>
  </si>
  <si>
    <t>KATHIE HARRYMAN</t>
  </si>
  <si>
    <t>SR. SPECIALIST REGULATORY COMPLIANCE</t>
  </si>
  <si>
    <t>kathryn.harryman@energytransfer.com</t>
  </si>
  <si>
    <t>713-989-7085</t>
  </si>
  <si>
    <t>ON 01/02/22 AT 09:13 GAS CONTROL RECEIVED A CALL FROM A LANDOWNER ABOUT A NOISE AT THE COLUMBIAN BOOSTER STATION. THE OPERATOR WAS CALLED OUT AND SHUT THE VALVE UNDER THE RELIEF VALVE. THE STATION WAS DOWN AT THE TIME SO TAKING THIS VALVE OUT OF SERVICE HAD NO NEGATIVE IMPACT ON PRESSURE PROTECTION. THE TEMPERATURES THE MORNING OF 1/2/2022 WERE IN THE SINGLE DIGITS. ON 1/03/22 IT WAS DETERMINED THAT THE THRESHOLD FOR IMMEDIATE NOTIFICATION WAS MET AND A CALL WAS PLACED TO THE NRC AT 7:49PM (NRC # 1325831). A 48HR UPDATE WAS PLACED ON 1/05/22 AT 12:14PM (NRC # 1325936). WHEN THE RELIEF VALVE WAS DISASSEMBLED AND REBUILT, LIQUIDS WERE FOUND IN THE PILOT AND ON TOP OF THE DOME.  THIS LED TO THE CONCLUSION THAT WHEN THE LIQUIDS IN THE PILOT FROZE, THE PILOT MALFUNCTIONED CAUSING THE RELIEF VALVE TO FAIL OPEN.  SUPPLEMENTAL - A4 DATE CHANGE AS PER PHMSA SW REGION DUE TO 01/03/22 BEING THE EARLIEST DATE AN INCIDENT REPORTING CRITERIA WAS MET.</t>
  </si>
  <si>
    <t>BLOWDOWN VALVE WAS CLOSED ELIMINATING RELEASE OF GAS.</t>
  </si>
  <si>
    <t>CENTRAHOMA</t>
  </si>
  <si>
    <t>COAL</t>
  </si>
  <si>
    <t>CHILES DOME STORAGE FACILITY</t>
  </si>
  <si>
    <t>CHILES DOME</t>
  </si>
  <si>
    <t>VALVE DID NOT FULLY CLOSE.</t>
  </si>
  <si>
    <t>EQUIPMENT PROGRAMMING</t>
  </si>
  <si>
    <t>PROGRAMMING ISSUE</t>
  </si>
  <si>
    <t>ON 12/24/2021 A UNIT 1 VENT VALVE WAS DISCOVERED OPEN BY AN OPERATIONS EMPLOYEE AT THE CHILES DOME STORAGE FACILITY. THE VALVE WAS IMMEDIATELY CLOSED AND UPON INVESTIGATION IT WAS DETERMINED THAT A REPORTABLE RELEASE OF NATURAL GAS HAD OCCURRED. THE NRC WAS NOTIFIED (NRC# 1325220, 1325255) AND AN INVESTIGATION WAS INITIATED TO DETERMINE CAUSE. THE RELEASE OCCURRED WHILE THE STATION WAS INJECTING INTO THE STORAGE FIELD.    AFTER FURTHER INVESTIGATION, THE VENT VALVE DID NOT CLOSE WHEN THE UNIT RESET, DUE TO THE CLOSE COMMAND BEING TURNED OFF IN THE PROGRAMMING. THE LIMIT SWITCH DID NOT CATCH THIS BECAUSE IT WAS OFF SEATED ON THE SUCTION VALVE SHOWING THE VALVE TO BE CLOSED WHEN IT WAS CRACKED OPEN. BOTH ISSUES WERE IMMEDIATELY CORRECTED AND WE HAVE PERFORMED SEVERAL STARTS ON THE UNIT AND EVERYTHING IS WORKING CORRECTLY.</t>
  </si>
  <si>
    <t>STINGRAY 30-INCH LINE 1004C-100</t>
  </si>
  <si>
    <t>DROP OUT.</t>
  </si>
  <si>
    <t>AT 4:53 PM ON 12/12/2021, ET OPERATION MANAGER RECEIVED A CALL FROM ARENA OFFSHORE LP PRODUCTION FOREMAN, STATING THAT WHILE THEY WERE FLYING OVER STINGRAY 30-INCH LINE 3394 IN THE WC 550 BLOCK A SHEEN WAS NOTICED. A CALL WAS PLACED TO THE NRC BY THE PRODUCER AT 5:50PM ON 12/12/21 (NRC # 1324367)  ET MANAGEMENT NOTIFIED OPERATIONS PERSONAL TO BLOCK IN THE INCOMING 30-INCH VALVE TOPSIDE ON THE WEST CAMERON 509 PLATFORM AND FOR ARENA TO ISOLATE THEIR DEPARTING VALVE TOPSIDE ON THEIR WC 544 PLATFORM AND MONITOR PRESSURE UNTIL AN OBSERVATION FLIGHT CAN BE MADE BY ET OPERATION PERSONAL. ONCE THE AERIAL CONFIRMED THE RELEASE; ENERGY TRANSFER PLACED A CALL TO THE NRC ON 12/13/21 TO TAKE OWNERSHIP OF THE RELEASE AND THE NRC REPORT 1324367. AT 2:11PM ON 12/14/21 A 48HR UPDATE TO THE NRC WAS PLACED (NRC # 1324511). DUE TO SEA CONDITIONS AND MOBILIZING RESOURCES, CREW ARRIVED ONSITE AT 7:30PM ON 12/16/21 TO START DEPRESSURIZING THE LINE. DEPRESSURIZING THE LINE AND REPAIRS ARE CURRENTLY UNDERWAY.     THE CLAMP WAS INSTALLED AND LINE WAS RESTARTED ON 2/11/22.</t>
  </si>
  <si>
    <t>ROVER PIPELINE, LLC</t>
  </si>
  <si>
    <t>TUBING WAS ISOLATED AND REPAIRED</t>
  </si>
  <si>
    <t>OH</t>
  </si>
  <si>
    <t>CADIZ</t>
  </si>
  <si>
    <t>HARRISON</t>
  </si>
  <si>
    <t>ROVER PIPELINE</t>
  </si>
  <si>
    <t>CADIZ STATION</t>
  </si>
  <si>
    <t>TUBING</t>
  </si>
  <si>
    <t>RIGID</t>
  </si>
  <si>
    <t>NICKLAS PAVLOVSKY</t>
  </si>
  <si>
    <t>nicklas.pavlovsky@energytransfer.com</t>
  </si>
  <si>
    <t>713-989-4527</t>
  </si>
  <si>
    <t>ON OCTOBER 22, 2021, OPERATIONS WERE NOTIFIED OF A GAS RELEASE AT THE CADIZ STATION, ONCE FIELD PERSONNEL ARRIVED ON SITE AT 19:36 THE COMPRESSOR WAS ISOLATED.  AT 21:51 IT WAS DETERMINED THAT THE VOLUME WOULD EXCEED 3 MILLION CUBIC FEET; SO, CALL WAS PLACED TO THE NRC AT 22:00. NRC # 1320188. IT WAS DETERMINED THAT THE U-BOLT HOLDING THE PSV TUBING FAILED AND WITH THE VIBRATION OF THE COMPRESSOR, THE TUBING SEPARATED FROM THE PSV RESULTING IN THE RELEASE OF 5 MMCF OF NATURAL GAS. THE TUBING WAS RE-ATTACHED, AND A NEW U-BOLT WAS INSTALLED TO PREVENT THE VIBRATION FROM DISLODGING THE TUBING. THE COMPRESSOR WAS RESTARTED AFTER WORK WAS COMPLETE.</t>
  </si>
  <si>
    <t>1318019, 1318243</t>
  </si>
  <si>
    <t>SEGMENT # 3787 LINE 716-10</t>
  </si>
  <si>
    <t>THIRD PARTY PLATFORM PERSONNEL</t>
  </si>
  <si>
    <t>GARRETT RAY</t>
  </si>
  <si>
    <t>713-989-7225</t>
  </si>
  <si>
    <t>garrett.ray@energytransfer.com</t>
  </si>
  <si>
    <t>AT APPROXIMATELY 1145 HRS. ON THE MORNING OF 9/26/2021, SEA ROBIN GAS CONTROL WAS NOTIFIED BY EI 331 RENAISSANCE PERSONNEL OF BUBBLES AND SHEEN SPOTTED IN THE EI 330 BLOCK AREA. CALL WAS MADE TO RENAISSANCE EI 331 PLATFORM TO GET SPECIFICS AND COORDINATES OF THE LEAK SITE. A CALL WAS MADE TO THE NRC AT 1213 HRS. TO REPORT THE LEAK, AT WHICH TIME THE EMPLOYEE WAS INFORMED BY THE NRC ON DUTY OFFICER THAT QUARTER NORTH ENERGY HAD ALSO REPORTED THE LEAK AND TOOK RESPONSIBILITY. QUARTER NORTH WAS ABLE TO SECURE THE TRITON EXPLORER DIVE VESSEL ON THE EVENING OF 9/26/21, TO HEAD TOWARDS THE LEAK LOCATION TO BEGIN A FORMAL INVESTIGATION. ONCE THE DIVE VESSEL REACHED ITS DESTINATION ON THE MORNING OF 9/27/21, IT BECAME APPARENT THAT THE ACTUAL LEAK SITE WAS ALSO IN THE VICINITY OF SEA ROBIN 12INCH SEGMENT #3787 AND SEA ROBIN 24INCH SEGMENT #15532. CALLS WERE MADE TO ALL PRODUCERS TIED INTO SEGMENT #3787 AND HAD THEM SHUT IN UNTIL FURTHER INVESTIGATION COULD BE COMPLETED. BY 1220 HRS. ON 9/27/21, ALL VALVES UPSTREAM AND DOWNSTREAM OF THE LEAK LOCATION WERE ISOLATED ON SEGMENT #3787. AFTER FURTHER INVESTIGATION BY THE DIVE VESSEL, THE LEAK WAS FOUND EMITTING FROM UNDER SEVERAL LAYERS OF 3/1 CEMENT BAGS AT THE 12INCH X 24INCH CROSSING. AT APPROXIMATELY 1600 HRS. ON 9/27/21, SEA ROBIN TOOK RESPONSIBILITY AWAY FROM QUARTER NORTH AND PICKED UP THE DIVE VESSEL TO EVALUATE THE LEAK WHICH WAS FOUND COMING FROM THE 12INCH SEGMENT #3787 AND MAKE NECESSARY REPAIRS. ARENA EI 338 PLATFORM ASSISTED AND BEGAN BLOWING DOWN SEGMENT #3787. AGAIN, A CALL WAS PLACED TO THE NRC AT 1635 HRS. ON 9/27/21 TO ACCEPT RESPONSIBILITY ON BEHALF OF SEA ROBIN PIPELINE AND PROVIDE UPDATE. WE RECEIVED CONTACT INFORMATION FROM AN OPERATOR WITH QUARTER NORTH ON THE BSEE REPRESENTATIVE HE HAD BEEN DEALING WITH. A CALL WAS PLACED WITH BSEE REPRESENTATIVE TO GIVE AN UPDATE AND ACCEPT RESPONSIBILITY ON BEHALF OF SEA ROBIN PIPELINE. CALLS WERE MADE WITH PHMSA FOR PERIODIC UPDATES. NO SHEENS WERE NOTED ON 9/28/21 AS THE DIVE VESSEL CONTINUED ITS SITE PREPARATION FOR REPAIRS. BY 1015 HRS. ON 9/28/21, THE PIPELINE PRESSURE WAS BLOWN DOWN TO 162 PSI AT THE REQUEST OF THE DIVE SUPERINTENDENT TO SAFELY WORK AROUND THE LEAK SITE. DIVE WORK CONTINUED THROUGHOUT THE DAY OF 9/29/21 WITH NO VISIBLE SHEEN. CALLED NRC AT 1535 HRS. ON 9/29/21 TO MAKE 48 HR. UPDATE. ALSO CALLED BSEE AND PHMSA TO GIVE UPDATES. AT APPROXIMATELY 0600 HRS. ON 9/30/21, THE REPAIR CLAMP WAS INSTALLED AND TORQUED. EI 338 PRODUCER BEGAN PRESSURIZATION OF PIPELINE TO PERFORM LEAK CHECKS AT MULTIPLE STAGES. NO LEAKS WERE OBSERVED BY THE DIVERS OR OVERFLIGHT PERSONNEL THROUGHOUT EACH INCREASE IN PRESSURE POINTS. BY 1635 HRS. ON 9/30/21, ALL VALVES WERE IN THE OPEN POSITION AND PIPELINE WAS RESTORED TO NORMAL OPERATIONS.</t>
  </si>
  <si>
    <t>RIO VISTA</t>
  </si>
  <si>
    <t>HILL</t>
  </si>
  <si>
    <t>4314+60</t>
  </si>
  <si>
    <t>REED TO CLEBURNE 42INCH</t>
  </si>
  <si>
    <t>API 5LX</t>
  </si>
  <si>
    <t>SPIRAL WELDED</t>
  </si>
  <si>
    <t>IPSCO</t>
  </si>
  <si>
    <t>THIRD PARTY DAMAGE</t>
  </si>
  <si>
    <t>PRIVATE LANDOWNER</t>
  </si>
  <si>
    <t>UTILITY</t>
  </si>
  <si>
    <t>AUGER</t>
  </si>
  <si>
    <t>POLE</t>
  </si>
  <si>
    <t>TEXAS 811</t>
  </si>
  <si>
    <t>UTILITY OWNER</t>
  </si>
  <si>
    <t>LOCATING ISSUE</t>
  </si>
  <si>
    <t>FACILITY NOT MARKED DUE TO INCOMPLETE MARKS AT DAMAGE LOCATION</t>
  </si>
  <si>
    <t>NICK PAVLOVSKY</t>
  </si>
  <si>
    <t>SPECIALIST - DOT COMPLIANCE</t>
  </si>
  <si>
    <t>ON 9/13/21, AT APPROXIMATELY 10:45AM HILCO ELECTRIC COOPERATIVE WAS INSTALLING POLES AND ANCHORS FOR A NEW ELECTRICAL SERVICE IN HILL COUNTY NEAR CR 1120.  WHILE DRILLING TO SET A POLE, THE ET REED TO CLEBURNE 42-INCH PIPELINE WAS STRUCK WITH AN AUGER.  THE LINE STRIKE WAS REPORTED TO ET AT 11:09 AND OPERATIONS PERSONNEL ARRIVED ONSITE AT APPROXIMATELY 12:10PM.  ET PERSONNEL SECURED THE AREA AND ADDITIONAL PERSONNEL WERE DISPATCHED TO BEGIN ISOLATING THE AFFECTED SEGMENT.  TWO HOMES IN THE AREA WERE CONTACTED TO EVACUATE.  NEITHER HOME WAS OCCUPIED AT THE TIME AND THE INDIVIDUALS WERE CONTACTED AND REQUESTED NOT TO RETURN TO THE RESIDENCES UNTIL NOTIFIED THAT THE AREA WAS SAFE.  THE PIPELINE WAS ISOLATED AT 2:30PM BY CLOSING THE BLOCK VALVES AT THE CLEBURNE COMPRESSOR STATION AND MAINLINE BLOCK VALVE #1 AND THEN THE LINE WAS BLOWN DOWN FOR ASSESSMENT AND REPAIR.    UPON BEING EXCAVATED IT WAS DISCOVERED THAT THE LINE STRIKE CAUSED A SERIES OF GOUGES ON THE PIPELINE AT APPROXIMATELY THE 1 TO 3 O'CLOCK POSITIONS.  A 13-INCH GOUGE NEAR THE 1 O'CLOCK POSITION ALSO CONTAINED A 1.5-INCH LEAK.    REPAIR WAS COMPLETED USING A WELD ON SLEEVE AND PIPELINE WAS PLACED BACK INTO SERVICE AT 7:52AM ON 9/15/21.    INVESTIGATION OF THE INCIDENT INDICATED THAT THE PIPELINE WAS NOT LOCATED AND MARKED CORRECTLY IN RESPONSE TO ONE CALL TICKET.  INDIVIDUALS INVOLVED IN THE LOCATING AND MARKING OF THE PIPELINE HAD OQ SUSPENDED FOR SPECIFIC COVERED TASKS AND WILL RECEIVE RETRAINING PRIOR TO OQ BEING REINSTATED.</t>
  </si>
  <si>
    <t>LAGUNA</t>
  </si>
  <si>
    <t>CIBOLA</t>
  </si>
  <si>
    <t>COMPRESSOR STATION 6 (LAGUNA)</t>
  </si>
  <si>
    <t>NMMM165</t>
  </si>
  <si>
    <t>STAINLESS</t>
  </si>
  <si>
    <t>SENSING LINE BROKE CAUSING THE RELIEF VALVE ON UNIT 601 TO GO FULLY OPEN.</t>
  </si>
  <si>
    <t>KATHRYN HARRYMAN</t>
  </si>
  <si>
    <t>ON JUNE 19TH 2021 AT 23:23HRS MST, THE RELIEF VALVE AT THE LAGUNA 6 COMPRESSOR STATION ALONG THE TRANSWESTERN PIPELINE LIFTED AND BEGAN RELEASING NATURAL GAS. AT 03:20 MST ON THE MORNING OF JUNE 20TH, THE LOCAL POLICE CALLED THE CONTROL CENTER AND REPORTED THE COMPRESSOR STATION RELIEF WAS GOING OFF. AT 03:40 MST, THE LOCAL TECHNICIAN ARRIVED ON SCENE AND CONFIRMED THE RELIEF VALVE WAS OPEN. AT 03:50 MST THE PIPELINE WAS SHUTDOWN AND THE TECHNICIAN WAS ABLE TO GET THE RELIEF VALVE CLOSED. THE CAUSE OF THE RELEASE WAS A BROKEN SENSING TUBE ON THE RELIEF VALVE. THE SENSING TUBE HOLDS PRESSURE ON THE VALVE AND KEEPS THE RELIEF VALVE CLOSED. ONCE THE TUBE WAS BROKEN, THE RELIEF WAS ALLOWED TO ENGAGE. IT IS BELIEVED THE TUBE BROKE DUE TO EXCESSIVE VIBRATION. AT 05:30 MST OPERATIONS COMPLETED THEIR VOLUME RELEASED CALCULATIONS AND CONFIRMED THE 3MMCF LIMIT HAD BEEN MET. REGULATORY COMPLIANCE WAS NOTIFIED AND A NRC NOTIFICATION (1308279) WAS MADE AT 05:44 MST ON JUNE 20TH. THE 48HOUR NRC NOTIFICATION (1308368) WAS MADE ON JUNE 21ST AT 13:13 MST.       ON JUNE 22ND AT APPROXIMATELY 13:45 MST, THE PIPELINE WAS RESTARTED AFTER REPLACING THE BROKEN TUBING ON THE RELIEF VALVE WITH TUBING THAT IS MORE FLEXIBLE TO ALLEVIATE VIBRATION INDUCED ISSUES.</t>
  </si>
  <si>
    <t>STINGRAY 30IN LINE 3394</t>
  </si>
  <si>
    <t>AIR PATROL</t>
  </si>
  <si>
    <t>BOTTOM OF PIPE</t>
  </si>
  <si>
    <t>ON JUNE 14, 2021 AT 8:24AM, STINGRAY OPERATION MANAGER WAS NOTIFIED BY COMPANY AIR PATROL OF A SHEEN IN THE VICINITY OF THE 30INCH STINGRAY LINE 3394 IN THE GOM WC-551 BLOCK. THIS PART OF THE LINE WAS REPAIRED ON 5/29 AND AGAIN ON 6/4. ARENA PLATFORM (WC-544) WAS NOTIFIED TO SHUT IN ON JUNE 14, 2021 @ 08:24. ON JUNE 14, 2021 A CALL WAS PLACED TO THE NRC (NRC# 1307727.) DUE TO SEA CONDITIONS AND WEATHER, CREWS ARRIVED ON SITE ON 7/8 TO DEPRESSURIZE AND REPAIR THE LINE VIA A 30-INCH CLAMP. THE CLAMP WAS INSTALLED ON JULY 12, 2021. THE LINE WAS RESTARTED TO FULL PRESSURE ON 8/16/21 AT 16:42..</t>
  </si>
  <si>
    <t>STINGRAY 30" LINE 3394</t>
  </si>
  <si>
    <t>X60</t>
  </si>
  <si>
    <t>TOP OF PIPE</t>
  </si>
  <si>
    <t>MANAGER - INTERSTATE PIPELINES</t>
  </si>
  <si>
    <t>ON JUNE 1, 2021 AT 11:44, STINGRAY OPERATION MANAGER WAS NOTIFIED BY COMPANY AIR PATROL OF A SHEEN IN THE VICINITY OF THE 30INCH STINGRAY LINE 3394 IN THE GOM WC-551 BLOCK. ARENA PLATFORM (WC-544) WAS NOTIFIED TO SHUT IN ON JUNE 1, 2021 @ 11:55. ON JUNE 1, 2021 AT 13:05 A CALL WAS PLACED TO THE NRC (NRC# 1306564). CREWS ARRIVED ON SITE ON 6/4 TO REPAIR THE LINE VIA A 30 INCH CLAMP. THE LINE WAS RESTARTED ON 6/6/21. A PREVIOUS LEAK ON THIS LINE APPROXIMATELY 200 FT. AWAY WAS REPAIRED ON 5/29/21 VIA 30INCH CLAMP.</t>
  </si>
  <si>
    <t>ETC TIGER PIPELINE, LLC</t>
  </si>
  <si>
    <t>CHATHAM</t>
  </si>
  <si>
    <t>CHATHAM COMPRESSOR STATION</t>
  </si>
  <si>
    <t>LAMT134</t>
  </si>
  <si>
    <t>LOSS OF POWER TO THE PLC AND BROKEN DRIVE PIN ON FUEL GAS ACTUATOR CAUSED VALVES TO TRAVEL TO THEIR FAIL SAFE POSITIONS. THE TWO 42" ESD (HEADER) VALVES REMAINED PARTIALLY OPEN ALLOWING LINE PRESSURE TO VENT THROUGH TWO 8IN VALVES FOR APPROXIMATELY 10 MINUTES UNTIL EMPLOYEES COULD MANUALLY CLOSE VALVES.</t>
  </si>
  <si>
    <t>OPERATIONS NOTIFIED GAS CONTROL OF EMPLOYEES WORKING ON SITE PERFORMING CHECKS ON PLC.</t>
  </si>
  <si>
    <t>BROKEN FUEL GAS ACTUATOR DRIVE PIN CAUSED THE ESD HEADER TO HANG OPEN</t>
  </si>
  <si>
    <t>14:20 CST, MAY 20TH WHILE WORKING TO UPGRADE COMMUNICATIONS (SWITCHES) FOR BOTH SCADA AND LOCAL COMMUNICATIONS, THE ESD WAS ACTIVATED. DURING THE ESD TWO 42IN ESD (HEADER) VALVES REMAINED OPEN FOR 10 MINUTES ALLOWING LINE PRESSURE TO VENT THROUGH TWO 8IN VALVES.  14:30 CST, MAY 20TH ESD BLOW-OFF VALVES WERE MANUALLY CLOSED AND STATION WAS BY-PASSED.  15:30 CST, MAY 20TH LOCAL LAW ENFORCEMENT WAS NOTIFIED REPORT # 21-02113.   19:32 CST, MAY 20TH NRC NOTIFICATION WAS MADE NRC #1305609 ROUGH CALCULATION OF GAS VOLUME LOSS WAS COMPLETED BY REGULATORY.  THIS NOTIFICATION WAS MADE ONCE THE GAS VOLUME WAS CALCULATED.     MAY 21ST, DURING THE INVESTIGATION, IT WAS DISCOVERED THAT THE ACTUATOR ON THE FUEL GAS VALVE HAD MALFUNCTIONED INTERNALLY LEAVING THE VALVE IN THE CLOSED POSITION CAUSING THE PLC TO LOSE POWER THERE BY FORCING VALVES TO RETURN TO THEIR FAIL SAFE POSITION. SINCE THE VALVE CLOSED THERE WAS A REDUCTION IN POWER GAS TO ASSIST IN CLOSING THE ESD VALVES ON THE SUCTION AND DISCHARGE HEADERS.     TO PREVENT THIS ISSUE FROM HAPPENING AGAIN, PERSONNEL HAVE SINCE TESTED AND ARE REPLACING ALL SOFT PARTS ON ALL OTHER ACTUATORS ON THE FUEL GAS VALVE ON FUEL SKIDS AT ALL COMPRESSOR STATIONS ON TIGER PIPELINE.    14:57 CST, MAY 21ST PHMSA 48 HOUR NRC NOTIFICATION WAS MADE NRC # 1305672, UPDATED THE GAS VOLUME, PHYSICAL ADDRESS, AND COORDINATES.</t>
  </si>
  <si>
    <t>ARENA OPERATOR OF PLATFORM WC 544</t>
  </si>
  <si>
    <t>ON APRIL 11, 2021 AT 14:28, STINGRAY OPERATION MANAGER WAS NOTIFIED BY ARENA OF SUSPECTED BUBBLES LOCATED IN THE VICINITY OF THE 30INCH STINGRAY LINE 3394 IN GOM BLOCK WC-551. ARENA PLATFORM (WC-544) SHUT IN AND MONITORING PRESSURE ON APRIL 11, 2021 AT 1637.    CURRENTLY COORDINATING WITH THE DIVE COMPANY ON THE DATE TO FIND AND CLAMP THE LEAK. THE PIPELINE IS STILL SHUTDOWN WITH BOTTOM PRESSURE.    REPAIR WAS MADE ON 5/29/21 WITH 30INCH CLAMP.</t>
  </si>
  <si>
    <t>THE POWER PLANT WAS NOT ONLINE AT THE TIME OF THE RELEASE</t>
  </si>
  <si>
    <t>FT. WORTH</t>
  </si>
  <si>
    <t>TARRANT</t>
  </si>
  <si>
    <t>HANDLEY 12IN LATERAL 2100 YARD</t>
  </si>
  <si>
    <t>9046 HANDLEY 12IN LATERAL</t>
  </si>
  <si>
    <t>PILOT WAS PREVIOUSLY DAMAGED</t>
  </si>
  <si>
    <t>NATURAL GAS WAS RELEASED AT THE RELIEF VALVE</t>
  </si>
  <si>
    <t>EXCELON EMPLOYEES NOTIFIED GAS CONTROL OF RELIEF VALVE OPENED.</t>
  </si>
  <si>
    <t>THERE WERE NO CONTROL ROOM ACTIONS THAT CONTRIBUTED TO THE EVENT</t>
  </si>
  <si>
    <t>PILOT DIAPHRAGM WAS DAMAGED PREVIOUSLY DUE TO EXTREME WINTER WEATHER IN FEBRUARY</t>
  </si>
  <si>
    <t>EXTREME WINTER WEATHER</t>
  </si>
  <si>
    <t>ON WEDNESDAY 3/3/21, AT APPROXIMATELY 06:54, A RELIEF VALVE OPENED CAUSING A RELEASE OF NATURAL GAS AT THE HANDLEY 2100 YARD WHICH SUPPLIES THE EXCELON (TEXGEN) HANDLEY POWER PLANT.  EXCELON NOTIFIED GAS CONTROL OF THE RELEASE AT 06:55 AND GAS CONTROL IMMEDIATELY NOTIFIED OPERATIONS. ADDITIONAL OPERATIONS PERSONNEL WERE NOTIFIED TO DETERMINE WHO HAD THE SHORTEST RESPONSE TIME.  OPERATIONS PERSONNEL ARRIVED ON SCENE AT 07:10 AND BECAUSE THE HANDLEY POWER PLANT WAS NOT ONLINE AT THE TIME OF THE RELEASE, THE VALVE WAS CLOSED AT 07:15.      OPERATIONS PERSONNEL ASSESSED THE SITUATION AND DETERMINED THE PILOT FOR THE 2ND CUT REGULATOR WAS DAMAGED DURING THE EXTREME COLD WEATHER THAT OCCURRED FEBRUARY 14 - 21, 2021.  THIS MALFUNCTION OCCURRED WHILE BRINGING THE STATION ON LINE FOR THE FIRST TIME SINCE THE COLD WEATHER EVENT.  OPERATIONS PERSONNEL REPLACED THE PILOTS AT EACH CUT AND AT 09:15 RESTORED NORMAL OPERATIONS TO THE HANDLEY POWER PLANT.</t>
  </si>
  <si>
    <t>WOULD HAVE REDUCED ELECTRIC GENERATION FOR THE AREA AT A CRITICAL TIME</t>
  </si>
  <si>
    <t>FT WORTH</t>
  </si>
  <si>
    <t>HANDLEY 12IN LATERAL 2000 YARD</t>
  </si>
  <si>
    <t>THERE WERE NO CONTROL ROOM ACTIONS THAT CONTRIBUTED TO THE EVENT. INCIDENT CAUSED BY WEATHER CONDITIONS (EXTREME WINTER WEATHER).</t>
  </si>
  <si>
    <t>WINTER STORM, EXTREME WINTER TEMPERATURES</t>
  </si>
  <si>
    <t>ON SATURDAY, 02/20/21, AT 01:22, A RELIEF VALVE OPENED ON THE 2ND CUT REGULATOR AT THE HANDLEY 2000 YARD AT THE TEXGEN HANDLEY POWER PLANT DUE TO A FREEZE IN THE GAS SUPPLY LINE TO THE INSTRUMENTATION. THE TEXGEN HANDLEY POWER PLANT IS SUPPLIED NATURAL GAS VIA PIPELINE FROM THE 9046 HANDLEY 12IN LATERAL AT THE HANDLEY 2000 YARD.    AT APPROXIMATELY 01:23, GAS CONTROL NOTIFIED OPERATIONS PERSONNEL THAT THE RELIEF VALVE ACTUATED AT APPROXIMATELY 01:22. OPERATIONS PERSONNEL WERE ON LOCATION AT THE HANDLEY 2100 YARD DUE TO THE EXTREME WEATHER CONDITIONS WHEN THE RELIEF VALVE AT HANDLEY 2000 YARD ACTUATED.    OPERATIONS PERSONNEL ARRIVED ON LOCATION AT THE HANDLEY 2000 YARD AT 01:30 AND THE MAINLINE BLOCK VALVE WAS CLOSED AT 01:38.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2000 YARD WAS NOT FULLY INTERRUPTED TO THE TEXGEN HANDLEY POWER PLANT.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2000 YARD.  DUE TO THE AGE OF THE REGULATOR THE LEAD TIME FOR REPLACEMENT PARTS IS CURRENTLY 12 WEEKS.  REPLACEMENT OF THE PILOT AND HEATER FOR THE GAS SUPPLY LINE WAS COMPLETED MARCH 3, 2021.</t>
  </si>
  <si>
    <t>ON FRIDAY 02/19/21, AT 06:45, A RELIEF VALVE OPENED ON THE 2ND CUT REGULATOR AT THE HANDLEY 2100 YARD AT THE TEXGEN HANDLEY POWER PLANT DUE TO A FREEZE IN THE GAS SUPPLY LINE TO THE INSTRUMENTATION. THE TEXGEN HANDLEY POWER PLANT IS SUPPLIED NATURAL GAS VIA PIPELINE FROM THE 9046 HANDLEY 12IN LATERAL AT THE HANDLEY 2100 YARD.     GAS CONTROL NOTIFIED OPERATIONS PERSONNEL THAT THE RELIEF VALVE ACTUATED AT APPROXIMATELY 06:45. OPERATIONS PERSONNEL WERE DISPATCHED TO THE LOCATION AT 06:58, AND OPERATIONS MANAGER WAS NOTIFIED AT 07:03. DUE TO HAZARDOUS ROAD CONDITIONS RESPONSE TIME WAS GREATER THAN NORMAL. GAS CONTROL DID NOT CLOSE THE CONTROL VALVE AT THE SUPPLY POINT BECAUSE THE TEXGEN HANDLEY POWER PLANT COULD NOT BE OFFLINE DURING THE EXTREME WINTER WEATHER CONDITIONS, AS IT WAS CRITICAL TO THE ELECTRIC GRID.     OPERATIONS PERSONNEL ARRIVED ON LOCATION AT 09:00 AND THE MAINLINE BLOCK VALVE WAS CLOSED AT 09:16. ONCE THE PRESSURE WAS RELIEVED ENOUGH FOR THE RELIEF VALVE TO RE-SEAT, THEN THE MAINLINE BLOCK VALVE WAS RE-OPENED IN ORDER TO MAINTAIN THE GAS SUPPLY TO THE POWER PLANT. OPERATIONS BEGAN ASSESSMENT OF THE SITUATION AND DETERMINED THAT THE GAS SUPPLY LINE TUBING EXPERIENCED A FREEZE, THE FREEZE WAS IDENTIFIED, AND THE SUPPLY LINE WAS CLEARED. OPERATIONS REINSULATED THE GAS SUPPLY LINES. THE FLOW TO THE TEXGEN HANDLEY POWER PLANT AT THE HANDLEY 2100 YARD WAS NEVER FULLY INTERRUPTED.     DUE TO THE CRITICAL NATURE OF THE SUPPLY POINT TO THE TEXGEN HANDLEY POWER PLANT DURING THE EXTREMELY COLD WEATHER CONDITIONS, OPERATIONS PERSONNEL REMAINED ON SITE AT THE LOCATION TO MINIMIZE ANY DOWN TIME TO THE TEXGEN HANDLEY POWER PLANT. ENERGY TRANSFER'S PLAN TO PREVENT A RECURRENCE INCLUDES OVERHAULING THE REGULATOR AT THE HANDLEY 2100 YARD.  DUE TO THE AGE OF THE REGULATOR THE LEAD TIME FOR REPLACEMENT PARTS IS CURRENTLY 12 WEEKS.  REPLACEMENT OF THE PILOT AND HEATER FOR THE GAS SUPPLY LINE WAS COMPLETED MARCH 3, 2021.</t>
  </si>
  <si>
    <t>PAMPA</t>
  </si>
  <si>
    <t>GRAY</t>
  </si>
  <si>
    <t>4509+30.9</t>
  </si>
  <si>
    <t>P-3 PAMPA COMPRESSOR STATION</t>
  </si>
  <si>
    <t>TXBP132 24IN LINE</t>
  </si>
  <si>
    <t>PAINT</t>
  </si>
  <si>
    <t>FIRE DETECTOR FAULT ON UNIT 304 TURBINE CAUSED THE STATION TO ESD. SUCTION VALVE DIDN'T CLOSE DUE TO THE POWER GAS SUPPLY LINE BEING FROZEN CAUSING GAS TO RELEASE UNTIL TECHNICIAN ARRIVED ONSITE AND ISOLATED THE STATION.</t>
  </si>
  <si>
    <t>CONTROLLER RECEIVED AN ALARM FROM SCADA AND CALLED TECHNICIAN IMMEDIATELY REQUESTING THEM TO GO TO THE SITE FOR FURTHER INVESTIGATION.</t>
  </si>
  <si>
    <t>POWER GAS LINE FROZE PREVENTING CLOSURE OF THE STATION SUCTION VALVE.</t>
  </si>
  <si>
    <t>02:05 CST SCADA INDICATED A DROP IN PRESSURE AT P-3 PAMPA COMPRESSOR STATION, CONTROLLER CONTACTED TECHNICIAN.  02:30 CST TECHNICIAN ARRIVED ON SITE AND MANUALLY SHUT SUCTION VALVE.  THE TECHNICIAN WAS ABLE TO DETERMINE A FIRE DETECTOR FAULT ON UNIT 304 TURBINE CAUSED THE STATION TO ESD. SUCTION VALVE DIDN'T CLOSE DUE TO THE POWER GAS SUPPLY LINE BEING FROZEN CAUSING GAS TO RELEASE UNTIL TECHNICIAN ARRIVED ONSITE AND ISOLATED THE STATION.  THE POWER GAS LINE WAS STEAM CLEANED TO DEFROST THEN RE-PRESSURED THE POWER GAS LINE AND PUT THE STATION BACK INTO SERVICE.      CURRENTLY THE POWER GAS LINE COMES OFF THE SIDE OF THE 24" DISCHARGE LINE, THEN DIVES BELOW GROUND.  TO PREVENT THIS FROM HAPPENING AGAIN, OPERATIONS PLANS TO RELOCATE THE POWER GAS LINE CLOSER TO THE SUCTION VALVE.</t>
  </si>
  <si>
    <t>LOST POWER DUE TO HURRICANE ZETA</t>
  </si>
  <si>
    <t>AL</t>
  </si>
  <si>
    <t>MOUNT VERNON</t>
  </si>
  <si>
    <t>MOBILE</t>
  </si>
  <si>
    <t>COMPRESSOR STATION  11 MOUNT VERNON</t>
  </si>
  <si>
    <t>MSMEA -24</t>
  </si>
  <si>
    <t>FILTER/STRAINER/SEPARATOR</t>
  </si>
  <si>
    <t>ACTUATOR FILTER CLOGGED</t>
  </si>
  <si>
    <t>LOSS OF POWER DUE TO HURRICANE ZETA ESD'D THE COMPRESSOR STATION, CONTROLLERS HAD NO PART IN THIS INCIDENT.</t>
  </si>
  <si>
    <t>POWER GAS FILTER CLOGGED PREVENTING PROPER OPERATION OF SIDE VALVE.</t>
  </si>
  <si>
    <t>kathie.harryman@sbcglobal.net</t>
  </si>
  <si>
    <t>10/28/20, 22:00 CST - COMPRESSOR STATION 11 LOST POWER DUE TO HURRICANE ZETA CAUSING THE STATION TO ESD WHEN A SIDE VALVE DID NOT SHUT.  10/28/20, 23:59 CST - THE PIPELINE TECHNICIAN MANUALLY OPERATED THE VALVE WITH HAND PUMP CLOSING THE VALVE.   UPON INVESTIGATION THE PIPELINE TECHNICIAN CHECKED THE POWER GAS FILTER AND FOUND IT TO BE CLOGGED WITH GREASE NOT ALLOWING GAS TO OPERATE THE VALVE.  ONCE THE GREASE WAS DISCOVERED IN THE FILTER THE TECHNICIAN CHANGED THE FILTER, TOOK ALL TUBING OFF CLEANING IT OUT. ALSO CLEANED ALL THE GREASE OUT OF THE POWER GAS LINE BACK TO THE 2" PLUG VALVE THEN RESTARTED UNITS AND FOUND THAT EVERYTHING WAS BACK TO NORMAL.    2/26/22 UPDATE - UPDATED SUB CAUSE TO "OTHER EQUIPMENT FAILURE".</t>
  </si>
  <si>
    <t>PIPELINE WAS PREVIOUSLY SHUTDOWN DUE TO HURRICANE ZETA.</t>
  </si>
  <si>
    <t>SEA ROBIN EC 335</t>
  </si>
  <si>
    <t>EAST CAMERON</t>
  </si>
  <si>
    <t>PORTION OF RISER OUTSIDE OF SPLASH ZONE, INCLUDING RISER BEND</t>
  </si>
  <si>
    <t>API5L</t>
  </si>
  <si>
    <t>NOT REQUIRED, POWER OUTAGE DUE TO HURRICANE ZETA.</t>
  </si>
  <si>
    <t>10/29/20, 14:42 CST PRODUCER NOTIFIED OPERATIONS PERSONNEL OF PINHOLE LEAK ON THE RISER CLAMP AREA OF THE PIPELINE DUE TO CORROSION.     10/29/20, 15:42 CST INITIAL NOTIFICATION MADE TO THE NRC # 1290995.    ON 10/31/20, PIPELINE WAS ISOLATED AND PRODUCER IS MAKING ARRANGEMENTS TO BLOWDOWN THEIR LATERAL TO BLEED THE PRESSURE OFF THE LEAK SITE. CURRENTLY WAITING ON PRODUCER TO BLOWDOWN THEIR EQUIPMENT ON PLATFORM IN ORDER TO MAKE NECESSARY REPAIRS.    10/31/20, 10:40 CST 48 HOUR NOTIFICATION MADE TO THE NRC # 1291104.     11/24/20 - ONCE PRODUCER BLOWS DOWN THEIR LINE, WE WILL BE WORKING TO INSTALL JUMPER LINE TO BLEED OFF OUR PRESSURE TO THE PRODUCER AND MAKE NECESSARY REPAIRS.    12/15/20 - STILL BLOWING 2" PIPELINE AROUND THE CHECK VALVE BACK DOWN TO THE PRODUCER. OPERATIONS IS CURRENTLY UNABLE TO BLOW INTO THE 30" LINE DUE TO V-149 INCIDENT HAVING THE LINE SHUT IN. NO SHEEN PRESENT AT THIS TIME. WE ARE CURRENTLY WORKING WITH LIMITED WORK HOURS AS THIS PLATFORM IS NOT MANNED 24/7. STARTED AT 570PSI AND CURRENTLY 416PSI, WILL NEED TO BLOWDOWN TO 0 PSIG BEFORE ABLE TO MAKE REPAIRS.    9/3/21 - REPAIRS WERE COMPLETED BY A WELDED FULL ENCIRCLEMENT SLEEVE AROUND THE LEAK SITE.</t>
  </si>
  <si>
    <t>CARLSBAD</t>
  </si>
  <si>
    <t>WT-1 CARLSBAD COMPRESSOR STATION</t>
  </si>
  <si>
    <t>NMBW119</t>
  </si>
  <si>
    <t>RELIEF VALVE OPERATION - MALFUNCTION OF RELIEF VALVE DUE TO CONTROL PILOT.</t>
  </si>
  <si>
    <t>A RELIEF VALVE FAILURE WAS THE CAUSE OF THE GAS RELEASE.</t>
  </si>
  <si>
    <t>SHORTER THAN NORMAL LIFE OF THE PARTS IN THE PILOT THAT CONTROLS THE RELIEF VALVE.</t>
  </si>
  <si>
    <t>RELIEF VALVE PILOT FAILURE.</t>
  </si>
  <si>
    <t>08:11 MTN, OCTOBER 18TH TECHNICIAN CONTACTED GAS CONTROL TO NOTIFY THEM OF GAS BLOWING. AT 08:22 MTN ISOLATED RELIEF VALVE THEN TESTED AND FOUND THAT THE RELIEF CONTROL PILOT WOULD NOT HOLD A SET POINT. REPLACED WITH SPARE RELIEF CONTROL PILOT, RETESTED AND SET PRESSURE.    08:35 MTN, RESTARTED UNITS AND FOUND THAT EVERYTHING WAS BACK TO NORMAL.  06:46 MTN, OCTOBER 19TH ROUGH CALCULATION OF GAS VOLUME LOSS WAS COMPLETED, NOTIFIED REGULATORY.  07:44 MTN, OCTOBER 19TH NRC NOTIFICATION WAS MADE NRC #1290106.  06:08 MTN, OCTOBER 21ST 48 HOUR NRC NOTIFICATION WAS MADE NRC #1290280, UPDATED GAS VOLUME.</t>
  </si>
  <si>
    <t>PIPELINE WAS ALREADY IN IDLE STATUS AND THERE WAS NO FLOW FROM THE PLATFORM.</t>
  </si>
  <si>
    <t>24" 100 LINE</t>
  </si>
  <si>
    <t>HIGH ISLAND</t>
  </si>
  <si>
    <t>PLATFORM</t>
  </si>
  <si>
    <t>ESTIMATED COSTS UNKNOWN UNTIL RECOVERY PLAN IS FULLY DEVELOPED AND IMPLEMENTED.</t>
  </si>
  <si>
    <t>GENESIS OPERATOR OF PLATFORM HI 330</t>
  </si>
  <si>
    <t>NATURAL ENVIRONMENTAL FACTORS.</t>
  </si>
  <si>
    <t>OTHER NATURAL FORCE DAMAGE</t>
  </si>
  <si>
    <t>,,,,,,CATEGORY 3 HURRICANE DELTA</t>
  </si>
  <si>
    <t>THE HI 330 PLATFORM WAS COMPLETELY DESTROYED BY HURRICANE DELTA ON OCTOBER 11TH, 2020. THE CATEGORY 3 STORM IMPACTED THE AREA WITH 125MPH + WINDS AND 10-25 FT WAVES. THE 24" PIPELINE HAD BEEN SHUTDOWN PRIOR TO THE STORM DUE TO PRODUCERS NOT HAVING COME BACK ONLINE YET FROM PRIOR STORMS IN THE GULF. UPON INSPECTION OF THE HI-330 PLATFORM ON OCTOBER 12TH, 2020 AND NOTING THE 24" FAILURE, THE DOWNSTREAM VALVE WAS CLOSED AND THE LINE ISOLATED.     A RECOVERY PLAN IS STILL BEING DEVELOPED AND EVALUATED.    SUPPLEMENTAL REPORT 11/12/2020   - CLARIFICATION ON A22: NO ACTIONS TAKEN UPSTREAM OF FAILURE. ET OWNERSHIP BEGINS AT HI 330 AND ALL UPSTREAM LINES WERE SEVERED DUE TO HURRICANE DAMAGE. ONLY THE DOWNSTREAM VALVE WAS SHUT IN.   - UPDATED RESPONSES TO E6, AND E7.    SUPPLEMENTAL/FINAL REPORT 05/03/2021  STINGRAY PIPELINE COMPANY 24" PIPELINE REMAINS ISOLATED AT THIS TIME AND WILL BE ABANDONED IN PLACE. STINGRAY PIPELINE DOES NOT HAVE A FIRM TIMELINE ON REMOVAL OF HI-A330 AS THAT PLATFORM BELONGS TO GENESIS.</t>
  </si>
  <si>
    <t>LAKE WORTH</t>
  </si>
  <si>
    <t>PALM BEACH</t>
  </si>
  <si>
    <t>18IN MAINLINE</t>
  </si>
  <si>
    <t>FLMEA21</t>
  </si>
  <si>
    <t>LONGITUDINAL ERW - LOW FREQUENCY</t>
  </si>
  <si>
    <t>YOUNGSTOWN SHEET &amp; TUBE</t>
  </si>
  <si>
    <t>HIGH-PH STRESS CORROSION CRACKING.</t>
  </si>
  <si>
    <t>SENIOR SPECIALIST REGULATORY COMPLIANCE</t>
  </si>
  <si>
    <t>AT ~9:48 EDT ON 9/24/2020, LOCAL OPERATIONS PERSONNEL RECEIVED A CALL FROM LAKE WORTH DRAINAGE DISTRICT ABOUT A GAS LINE RUPTURE JUST NORTH OF THE INTERSECTION OF LAKE WORTH ROAD AND THE FLORIDA TURNPIKE. AT THE SAME TIME THE CONTROL CENTER SAW THE PRESSURE DROP ON THE DISCHARGE SIDE OF COMPRESSOR STATION 21 AND TOOK ACTION TO SHUT DOWN THE PIPELINE. LOCAL OPERATIONS CONFIRMED THE INCIDENT AT ~9:52 AND THE SEGMENT WAS ISOLATED BY CLOSING THE UPSTREAM AND DOWNSTREAM MLV'S. AT ~10:53 EDT ON 9/24/20, INITIAL NOTIFICATION WAS MADE TO THE NRC (REPORT# 1288141) AND AGAIN ON 09/25/20 AT ~4:47 EDT WITH THE 48 HOUR UPDATE NOTIFICATION; NRC # 128828.     UPDATE: THE PIPELINE HAS SINCE BEEN REPAIRED AND WAS RESTARTED ON 12/11/2020 UNDER A PHMSA CORRECTIVE ACTION ORDER. THE FAILED SECTION WAS SENT TO THE LABORATORY FOR ANALYSIS AND THROUGH METALLURGICAL ANALYSIS, THE FAILURE WAS IDENTIFIED TO BE HIGH PH - STRESS CORROSION CRACKING.</t>
  </si>
  <si>
    <t>SANFORD</t>
  </si>
  <si>
    <t>SEMINOLE</t>
  </si>
  <si>
    <t>12" SANFORD LATERAL</t>
  </si>
  <si>
    <t>FLBOD</t>
  </si>
  <si>
    <t>YOUNGSTOWN SHEET</t>
  </si>
  <si>
    <t>NEAR NEUTRAL PH STRESS CORROSION CRACKING.</t>
  </si>
  <si>
    <t>09/10/20 AT 00:47 AM EASTERN FGT GAS CONTROL DETECTED A LOW PRESSURE ALARM AT THE DEBARY POWER PLANT.  INVESTIGATION BY FIELD OPERATIONS CONFIRMED A FAILURE ON THE 12IN SANFORD LATERAL THAT HAD IGNITED.   09/10/20 AT 02:35 AM EASTERN LOCAL EMERGENCY RESPONDER MADE CONTACT WITH FGT PERSONNEL ON THE SCENE.   THE LOCATION OF THE INCIDENT IS IN SEMINOLE COUNTY IN THE NORTHERN PART OF THE ORLANDO METROPOLITAN AREA.  THE INCIDENT OCCURRED IN A POWER LINE CORRIDOR AND RESULTED IN DAMAGE TO A DUKE ENERGY 230KV TRANSMISSION LINE.    THE PIPELINE WAS ISOLATED AT APPROXIMATELY 2:08 AM.   09/10/20 AT 07:55 AM EASTERN - THREE MARLIN CNG TRUCKS ARRIVED ON SITE AND WAS ABLE TO MOBILIZE ADDITIONAL TANKERS TO THE METER STATIONS TO MEET THE SUPPLY NEEDS FOR FPU CUSTOMERS.  09/10/20 AT 16:00 PM CONSTRUCTION UNDERWAY TO RETURN THE UPSTREAM PORTION OF THE 12IN SANFORD LATERAL TO SERVICE AT A REDUCED PRESSURE (344 PSIG).  THIS IS 50% OF THE OPERATING PRESSURE AT THE TIME OF THE FAILURE.  UPSTREAM SECTION IS CURRENTLY IN-SERVICE AT 50% MAOP.  DOWNSTREAM FAILED SECTION IS STILL OUT OF SERVICE AND ISOLATED.  THE ISOLATED SEGMENT IS UNDER A PHMSA CORRECTIVE ACTION ORDER AND THE FAILED PIPE IS UNDERGOING METALLURGICAL ANALYSIS, A SUPPLEMENTAL INCIDENT REPORT WILL BE FILED ONCE THE CAUSE IS DETERMINED.    UPDATE: THE PIPELINE HAS SINCE BEEN REPAIRED BY REPLACING THE FAILED SECTION AND WAS RESTARTED ON 11/24/2020 UNDER THE CORRECTIVE ACTION ORDER. THE FAILED SECTION WAS SENT TO A METALLURGICAL LABORATORY FOR ANALYSIS AND VIA THAT  ANALYSIS, THE FAILURE WAS IDENTIFIED TO BE NEAR NEUTRAL PH STRESS CORROSION CRACKING.</t>
  </si>
  <si>
    <t>SEA ROBIN PIPELINE</t>
  </si>
  <si>
    <t>INCIDENT DUE TO A SMALL PINHOLE LEAK.</t>
  </si>
  <si>
    <t>PINHOLE LEAK</t>
  </si>
  <si>
    <t>LOW FLOW</t>
  </si>
  <si>
    <t>PINHOLE AT THE 7:00 O'CLOCK POSITION</t>
  </si>
  <si>
    <t>TUESDAY, JULY 14, 2020 A LEAK WAS CALLED INTO OUR HOUMA OFFICE BY THE PRODUCER PLATFORM IN ST 229 A SHORT TIME AGO. OVERFLIGHT FOUND A 1 MILE BY 15 MILE SHEEN, RANGING FROM DARK BROWN AT THE SOURCE TO RAINBOW AND SILVER ON OUTER EDGES. WE HAVE CALLED THE NRC WITH CASE NUMBER 1281840 ASSIGNED AND ARE WORKING TO ISOLATE OUR LINE FROM THE REST OF THE SYSTEM, PRODUCTION IS GOING OFFLINE AT ST 229 AS WELL.     WEDNESDAY, JULY 15, 2020 OVERFLIGHT THIS MORNING SHOWS THE BUBBLES TO BE REDUCED IN SIZE, WITH A SHEEN APPROXIMATELY 100 FEET BY 15 MILES THAT IS SILVER TO RAINBOW IN COLOR AND DISSIPATING. WE ANTICIPATE A DSV TO BE IN THE FIELD EITHER SATURDAY OR SUNDAY, WATER DEPTH HERE REQUIRES A SAT VESSEL AND THERE IS LIMITED AVAILABILITY. LINE PRESSURE IS DOWN TO 370 PSIG AND FALLING, WE PLAN TO TAKE IT TO BOTTOM PRESSURE AS IS OUR NORMAL. WE HAVE UPDATED THE USCG WITH TODAY'S FINDINGS AND OUR PATH FORWARD. AT THIS TIME WE STILL HAVE NOT CONFIRMED RESPONSIBILITY BUT INDICATIONS ARE THAT IT IS LIKELY OURS.     FRIDAY, JULY 17, 2020 WEATHER HAS PREVENTED OVER FLIGHTS THE LAST TWO DAYS BUT THE PRODUCER PLATFORM IS REPORTING NO BUBBLES THIS MORNING WITH A GOLD TO RAINBOW COLORED SHEEN, 150 YDS. BY 2 MILES. WE WILL RESUME OVERFLIGHTS AS SOON AS WEATHER CONDITIONS ALLOW. THE LINE IS CURRENTLY AT APPROXIMATE BOTTOM PRESSURE AND WILL REMAIN SO. THE DIVE VESSEL HAS AN ETA TO THE SITE OF SUNDAY MORNING, THE REPAIR CLAMP WILL BE ONBOARD. WE HAVE BEEN IN DAILY CONTACT WITH THE USCG PROVIDING UPDATES. THE NRC AND USCG WILL BE UPDATED AGAIN TODAY WITH THE INFORMATION AND THAT ALL INDICATIONS ARE THE LEAK IS OUR LINE.    MONDAY, JULY 20, 2020 THE LEAK HAS BEEN CONFIRMED AS BEING ON OUR 10 IN. LINE, AT THE 7 O'CLOCK POSITION. THERE HAS BEEN NO SHEEN PRESENT IN THE AREA SINCE THE MORNING OF 7/18. THE PROTECTIVE COATING HAS BEEN REMOVED FROM THE LINE AND THE UT INSPECTION PERFORMED. THE REPAIR CLAMP WAS SUCCESSFULLY INSTALLED ONTO THE LINE AND COVERED, WITH THE LINE REMAINING OUT OF SERVICE. WE ARE RELEASING THE VESSEL PENDING INSTRUCTIONS FOLLOWING FURTHER DISCUSSIONS BETWEEN COMMERCIAL AND THE PRODUCER AT ST 229. BOTH THE NRC AND USCG HAVE BEEN KEPT UPDATED ON OUR STATUS.</t>
  </si>
  <si>
    <t>DENNISON</t>
  </si>
  <si>
    <t>CARROLL</t>
  </si>
  <si>
    <t>ROVER MAINLINE</t>
  </si>
  <si>
    <t>COMPRESSOR STATION 1</t>
  </si>
  <si>
    <t>A REVIEW OF THE INCIDENT DETERMINED THAT THERE WERE NO CONTROL ROOM ACTIONS THAT CONTRIBUTED TO THE EVENT.</t>
  </si>
  <si>
    <t>ON 7/12/20 AT 01:34 EST THE HOUSTON CONTROL CENTER RECEIVED A SCADA ALARM FOR SOUND LEVEL AT THE LEESVILLE COMPRESSOR STATION.  CONTROL CENTER IMMEDIATELY CONTACTED LOCAL OPERATIONS PERSONNEL TO RESPOND TO THE STATION AND INVESTIGATE.  LOCAL OPERATIONS PERSONNEL ARRIVED ONSITE AT APPROXIMATELY 01:54 AND THE STATION WAS SHUTDOWN AT 01:56.  AT 02:08 HOUSTON CONTROL CENTER WAS CONTACTED BY LOCAL FIRE DEPT. REGARDING A NOISE COMPLAINT AND EXPLAINED THAT THE SITUATION WAS BEING ADDRESSED.  UPON FURTHER INVESTIGATION AFTER THE AREA WAS SAFE OPERATIONS PERSONNEL DISCOVERED FAILED SMALL DIAMETER TUBING ON UNIT 205.  THE TUBING WAS REPLACED AND UNIT 205 WAS RETURNED TO SERVICE AT 03:10.  AFTER VOLUME RELEASED CALCULATIONS WERE COMPLETED IT WAS DETERMINED THAT THIS EVENT MET REPORTING THRESHOLDS AT WHICH TIME THE NRC WAS NOTIFIED.  TO PREVENT RECURRENCE ADDITIONAL SUPPORT WAS PROVIDED FOR THE TUBING.  OTHER FACILITIES OF SIMILAR DESIGN WILL BE INSPECTED AND ADDITIONAL SUPPORT WILL BE PROVIDED AS NECESSARY.</t>
  </si>
  <si>
    <t>EDNA</t>
  </si>
  <si>
    <t>209+71</t>
  </si>
  <si>
    <t>TOM O CONNOR</t>
  </si>
  <si>
    <t>YOUNGSTOWN</t>
  </si>
  <si>
    <t>TRENCHER</t>
  </si>
  <si>
    <t>WATER</t>
  </si>
  <si>
    <t>timothy.bunag.@energytransfer.com</t>
  </si>
  <si>
    <t>christopher.kresta@energytransfer.com</t>
  </si>
  <si>
    <t>ON JUNE 16, 2020, AT APPROXIMATELY 6:10 PM, ENERGY TRANSFER GAS CONTROL RECEIVED A CALL FROM A 3RD PARTY CONTRACTOR ABOUT A LINE STRIKE ON THE 3022 TOM O CONNOR 16 IN NATURAL GAS PIPELINE. THIS PIPELINE IS A TRANSMISSION LINE IN A CLASS 1 AREA LOCATED IN JACKSON COUNTY, APPROXIMATELY 4 MILES SOUTH OF EDNA, TX. OPERATIONS PERSONNEL WERE DISPATCHED AND ARRIVED ON LOCATION AT 6:30 PM TO INVESTIGATE. AT 6:40 PM, THE INVESTIGATION CONFIRMED THE 3RD PARTY LINE STRIKE ON THE 16 IN ETC PIPELINE. OPERATIONS PROCEEDED WITH LINE ISOLATION PROCEDURES AND BEGAN PROCESS TO REPAIR. THE UPSTREAM AND DOWNSTREAM VALVES WERE CLOSED TO ISOLATE THE PIPELINE AT 8:47 PM AND 8:59 PM. THE PIPELINE BLOW DOWN WAS COMPLETED AT 11:25 PM. THE REPAIRS WERE MADE AND LINE WAS PUT BACK IN SERVICE AS OF 7:10 PM ON JUNE 17, 2020. THE INVESTIGATION REVEALED THAT THE 3RD PARTY CONTRACTOR WAS TRENCHING ACROSS THE RIGHT-OF-WAY AND HIT THE PIPELINE WITH EXCAVATION EQUIPMENT. THE CONTRACTOR FAILED TO MAKE A ONE CALL NOTIFICATION PRIOR TO EXCAVATING.    THIS PIPELINE IS UNDER THE JURISDICTION OF THE TEXAS RAILROAD COMMISSION. ON JUNE 16, 2020, THIS INCIDENT WAS TELEPHONICALLY REPORTED TO THE NATIONAL RESPONSE CENTER (NRC#1279731) AT 7:39 PM AND TO THE TXRRC (INCIDENT #2221) AT 8:03 PM. A 48 HOUR NRC UPDATE WAS MADE ON JUNE 18, 2020  AT 9:29 AM (NRC#1279859)      **07/16/2020  UPDATED GPS COORDINATES  **07/20/2020  UPDATED NARRATIVE DESCRIPTION &amp; INCIDENT TIMES UNDER A4 AND A13</t>
  </si>
  <si>
    <t>LINE 702 #3334</t>
  </si>
  <si>
    <t>SAW CRISPIN (S.V.) DUNKERQUE, FRANCE</t>
  </si>
  <si>
    <t>CONCRETE WITH SOMASTIC</t>
  </si>
  <si>
    <t>A SMALL PINHOLE LEAK.</t>
  </si>
  <si>
    <t>PINHOLE LEAK.</t>
  </si>
  <si>
    <t>LOW FLOW.</t>
  </si>
  <si>
    <t>HISTORICAL DATA.</t>
  </si>
  <si>
    <t>LEAK LOCATED AT THE 6 O'CLOCK POSITION.</t>
  </si>
  <si>
    <t>877-917-0448</t>
  </si>
  <si>
    <t>SR. MANAGER - DOT COMPLIANCE</t>
  </si>
  <si>
    <t>SUNDAY, MAY 17, 2020 LATE AFTERNOON OPERATIONS WAS CONTACTED ABOUT BUBBLES IN THE SMI 27 AREA, NEAR TWO OF THE SEA ROBIN WEST PIPELINES.  IN TALKING TO THE USCG, BOTH A PRODUCER AND BSEE CALLED IN THE REPORTED BUBBLES BUT WERE UNABLE TO OFFER COORDINATES. SEVERAL ATTEMPTS WERE MADE TO CONTACT THE NRC BUT NO ONE ANSWERED THE HOTLINE. DUE TO THE TIME OF DAY AND WEATHER WE WERE UNABLE TO MAKE A FLIGHT AT THAT TIME.    MONDAY, MAY 18, 2020 OUR OVERFLIGHT THIS MORNING CONFIRMS BUBBLES AND A DARK COLORED SHEEN ARE PRESENT. CURRENTS ARE STRONG BUT COORDINATES DO INDICATE IT IS LIKELY TO BE OUR LINE, ALTHOUGH RESPONSIBILITY CANNOT BE CONFIRMED AS OF YET. GIVEN ASSET HISTORY WE ARE GOING TO ISOLATE THE 26" LINE 702 ON BOTH ENDS AND MONITOR PRESSURE. WE WILL ALSO BEGIN SOURCING A DSV TO MAKE AN INVESTIGATION DIVE FOR US AS SOON AS POSSIBLE.  THE AFTERNOON OVERFLIGHT HAS SEEN THE SAME AMOUNT OF BUBBLES, BUT NO SHEEN. THE NRC NUMBER WE WERE GIVEN IS1277495; WE HAVE NOT TAKEN RESPONSIBILITY FOR THE LEAK AS WE HAVE YET TO CONFIRM SOURCE. A DSV HAS BEEN IDENTIFIED AND IS EXPECTED TO BE ON LOCATION MID-DAY TOMORROW TO INVESTIGATE.     TUESDAY, MAY 19, 2020 THE DSV AND OUR OVERFLIGHT REPORT BUBBLES WITH NO SHEEN PRESENT. THE DSV USED A MESOTECH TO TAKE A SONAR SHOT OF THE LEAK, IT APPEARS TO BE ON THE 26" LINE. WE ARE ALSO IN THE PROCESS OF TAKING THE LINE DOWN TO BOTTOM PRESSURE. GIVEN WE KNOW THE LINE IS OURS WE HAVE UPDATED THE NRC WITH A NEW INCIDENT NUMBER OF 1277657.    WEDNESDAY, MAY 20, 2020 OVERFLIGHT AND THE DSV BOTH BUBBLES BUT NO SHEEN AS OF NOW. THE LINE PRESSURE CONTINUES TO DROP AND IS NEAR ENOUGH TO BOTTOM PRESSURE THAT OUR FIRST DIVER IS JETTING THE AREA NOW. ONCE WE ARE AT BOTTOM PRESSURE AND ARE DONE JETTING THE DIVER CAN INSPECT THE LINE THAT WILL TELL US FAILURE METHOD AND REPAIR APPROACH. THE DSV IS STAFFED TO WORK 24 HOURS SO WE WILL CONTINUE TO MAKE PROGRESS OVERNIGHT. USCG HAS BEEN UPDATED EARLIER TODAY.  DIVERS ARE REPORTING THE LEAK IS IN THE 6 O'CLOCK POSITION OF THE LINE. PLANS OVERNIGHT ARE TO FINISH REDUCING PRESSURE TO MATCH BOTTOM, COMPLETE THE MASTIC REMOVAL AND UT THE AREA OF THE LEAK TO EVALUATE PIPE FOR A LEAK CLAMP REPAIR. THE NRC WAS UPDATED EARLIER TODAY, WHICH SATISFIES THE PHMSA 48 HOUR UPDATE NRC # 1277765.    THURSDAY, MAY 21, 2020 AS OF 3:26PM LEAK CLAMP HAS BEEN INSTALLED CURRENTLY IN THE PROCESS OF BRINGING THE PRESSURE UP TO THE FIRST CHECKPOINT. OVERFLIGHTS INDICATE THERE HAS BEEN NO SHEEN ASSOCIATED WITH THIS EVENT. THE USCG HAS BEEN UPDATED AS TO PROGRESS. 6:12PM ALL PRESSURE CHECKS AND OVERFLIGHTS ARE COMPLETE, WITH NO SIGNS OF ANY LEAKS. THE SEGMENT IS AT LINE PRESSURE AND HAS BEEN RETURNED TO SERVICE.</t>
  </si>
  <si>
    <t>A 20% REDUCTION WAS IMPLEMENTED</t>
  </si>
  <si>
    <t>20% OPERATING PRESSURE REDUCTION IMPLEMENTED AT SOURCE FOR PIPELINE.</t>
  </si>
  <si>
    <t>PIPELINE IS STILL IN SERVICE AT A 20% REDUCTION.</t>
  </si>
  <si>
    <t>GREENBRIAR</t>
  </si>
  <si>
    <t>LINE BM-21</t>
  </si>
  <si>
    <t>LACK OF LAUNCHER/RECEIVER</t>
  </si>
  <si>
    <t>DISCOVERED DURING PATROL.</t>
  </si>
  <si>
    <t>CORROSION</t>
  </si>
  <si>
    <t>ORIGINAL WELD WITH CORROSION WITH CLAMP CORROSION.</t>
  </si>
  <si>
    <t>CLOSE INTERVAL SURVEY</t>
  </si>
  <si>
    <t>DURING A ROUTINE PATROL, A SMALL LEAK WAS DISCOVERED ON EGT LINE BM-21. ENABLE OPERATIONS REMOVED DIRT FROM THE AFFECTED AREA AND FOUND THE MINOR LEAK TO BE COMING FROM A LEGACY GIRTH WELD THAT HAD A CLAMP INSTALLED OVER IT. THE WELD WAS COMPLETED IN 1957 AND IT CANNOT BE DETERMINED WHEN THE CLAMP WAS INSTALLED. THE LINE WAS LOWERED 20% AFTER DISCOVERY AND REMEDIATION IS PLANNED TO BEGIN IN LATE JUNE. CURRENTLY, THE LINE IS OPERATING AT REDUCED PRESSURE AND SNIFFED PERIODICALLY. AT THE LOWERED OPERATING PRESSURE THE LEAK CANNOT BE DETECTED USING LEAK DETECTION EQUIPMENT. STOPPLES WILL BE INSTALLED ALLOWING CUSTOMERS TO MAINTAIN SERVICE. REPAIR IS EXPECTED TO EXCEED $50,000. WHEN THE REPAIR IS COMPLETE A SUPPLEMENTAL REPORT WILL BE COMPLETED.     THE LINE WAS REPAIRED ON JULY 15TH AND THE LINE WAS RETURNED TO NORMAL OPERATING PRESSURE ON JULY 16TH.     THE LEAK WAS DUE TO CORROSION IN THE LEGACY WELD AND CLAMP.     THE NRC (#1275515) WAS NOTIFIED ON 4/16/2020 AND A 48 HOUR FOLLOW UP (#1275610) WAS PROVIDED ON 4/18/20.    SUPPLEMENTAL 07/27/2020  PART A.5 32.214456 TO 35.214456  PART D.7.C ADDED $1,000  PART H. NARRATIVE    SUPPLEMENTAL 10/02/2020  PART H NARRATIVE BT-21 CHANGED TO BM-21    SUPPLEMENTAL 10/20/2022  PART B CLEBURNE COUNTY CHANGED TO FAULKNER COUNTY  PART H NARRATIVE BT-21 CHANGED TO BM-21</t>
  </si>
  <si>
    <t>ROUTINE TEST WAS BEING CONDUCTED ON ESD SYSTEM.</t>
  </si>
  <si>
    <t>PLEASANT HILL</t>
  </si>
  <si>
    <t>PIKE</t>
  </si>
  <si>
    <t>PLEASANT HILL COMPRESSOR STATION</t>
  </si>
  <si>
    <t>300 DISCHARGE RELIEF</t>
  </si>
  <si>
    <t>AIR LEAK ON ESD TUBING PREVENTED ESD SIGNAL PRESSURE FROM REACHING THE TRIP POINT OF THE VALVE.  THE VALVE DIDN'T CLOSE TO ISOLATE THE GAS FLOW TO THE RELIEF VALVE.</t>
  </si>
  <si>
    <t>OPERATIONS PERSONNEL WERE CONDUCTING AN ESD TEST AND HAD NOTIFIED THE CONTROL ROOM PRIOR TO TESTING.</t>
  </si>
  <si>
    <t>AN AIR LEAK ON THE ESD SIGNAL TUBING PREVENTED THE PRESSURE FROM BUILDING UP HIGH ENOUGH TO TRIP THE 300 SUCTION SIDE GATE VALVE.</t>
  </si>
  <si>
    <t>O-RING AND POPPETS PREMATURELY REACHED END OF LIFE.</t>
  </si>
  <si>
    <t>DANNY NICHOLS</t>
  </si>
  <si>
    <t>SENIOR DIRECTOR REGULATORY COMPLIANCE</t>
  </si>
  <si>
    <t>713-989-7232</t>
  </si>
  <si>
    <t>danny.nichols@energytransfer.com</t>
  </si>
  <si>
    <t>WHILE CONDUCTING AN ESD TEST THE STATION VENTED 3.8 MMSCF OF NATURAL GAS. DURING A NORMAL ESD, IT TAKES SOME TIME TO BLOWDOWN THE YARD PIPING AFTER ACTIVATION OF THE SYSTEM.  WHEN THE BLOWDOWN VALVE CONTINUED TO BLOW, OPERATIONS PERSONNEL BEGAN TO INVESTIGATE AND FOUND THE 300 SUCTION SIDE GATE VALVE TO STILL BE OPEN.  THE ISOLATION VALVE UNDER THE BLOWDOWN VALVE WAS CLOSED.  OPERATIONS PERSONNEL ISOLATED THE SUCTION SIDE GATE VALVE, THEN TESTED THE VALVE AND IT OPERATED AS DESIGNED. OPERATIONS PERSONNEL TESTED THE ESD SYSTEM AND FOUND THERE WAS AN AIR LEAK ON THE ESD TUBING. THE AIR LEAK WAS REPAIRED AND THE SYSTEM WAS TESTED.</t>
  </si>
  <si>
    <t>PLACEDO</t>
  </si>
  <si>
    <t>VICTORIA</t>
  </si>
  <si>
    <t>PLACEDO CG</t>
  </si>
  <si>
    <t>PLACEDO CITY GATE STATION</t>
  </si>
  <si>
    <t>4793 PLACEDO CGSTA AND 2IN LINE</t>
  </si>
  <si>
    <t>INSIDE A BUILDING</t>
  </si>
  <si>
    <t>DISRUPTION ONLY</t>
  </si>
  <si>
    <t>TRANSMISSION LINE OF DISTRIBUTION SYSTEM</t>
  </si>
  <si>
    <t>CENTER POINT PERSONNEL</t>
  </si>
  <si>
    <t>A REVIEW OF THE DISRUPTION DETERMINED THAT THERE WERE NO CONTROL ROOM ACTIONS THAT CONTRIBUTED TO THE EVENT.</t>
  </si>
  <si>
    <t>REGULATORY COMPLIANCE SPECIALIST</t>
  </si>
  <si>
    <t>MANAGER-INTRASTATE REGULATORY COMPLIANCE</t>
  </si>
  <si>
    <t>ON APRIL 7, 2020 AT APPROXIMATELY 19:53, A DISRUPTION OF GAS FLOW TO THE PLACEDO, TX CITY GATE STATION OCCURRED.  THE PLACEDO CITY GATE STATION IS LOCATED HALF A MILE SOUTHEAST FROM THE CITY OF PLACEDO, TX IN VICTORIA COUNTY.   AT APPROXIMATELY 19:00, CENTERPOINT NOTIFIED COMPANY PERSONNEL THAT THERE WAS A DISRUPTION OF GAS FLOW AT THE PLACEDO CITY GATE STATION.  AT APPROXIMATELY 19:53, COMPANY PERSONNEL ARRIVED AT THE PLACEDO CITY GATE STATION AND CONFIRMED THAT THE PRIMARY RUN VALVE WAS CLOSED.  THE VALVE WAS OPENED RESUMING GAS FLOW BACK TO THE CITY GATE.  COMPANY MEASUREMENT TECHNICIAN WAS DOING SOME ROUTINE TESTING ON THE METER/REGULATOR ON THE CITY GATE STATION.  THE TECHNICIAN OPENED UP THE BYPASS ON THE STATION AND CLOSED THE PRIMARY RUN ON THE METER TO ALLOW HIM TO COMPLETE HIS TESTING.  ONCE HE COMPLETED HIS TESTING, HE CLOSED THE STATION BYPASS AND DID NOT OPEN THE VALVE TO PLACE THE PRIMARY RUN ON THE METER/REGULATOR BACK INTO SERVICE.   THIS SHUT IN/STOPPED THE GAS SUPPLY FOR THE STATION.  THE TECHNICIANS' OPERATOR QUALIFICATION FOR THE TASK WERE PULLED AND THE INDIVIDUAL WILL BE RE-TRAINED TO PREVENT FURTHER DISRUPTIONS.        THIS PIPELINE IS UNDER THE JURISDICTION OF THE TEXAS RAILROAD COMMISSION.  ON APRIL 7, 2020, THIS INCIDENT WAS TELEPHONICALLY REPORTED TO THE NATIONAL RESPONSE CENTER (NRC#1275005) AT 21:30 AND TO THE TXRRC (INCIDENT#2178) AT 21:40.    A 48 HOUR NRC UPDATE WAS MADE ON APRIL 8, 2020 AT 11:35 (NRC#1275048)</t>
  </si>
  <si>
    <t>ISOLATED VENTING RELIEF VALVE</t>
  </si>
  <si>
    <t>LEE</t>
  </si>
  <si>
    <t>511+54.7</t>
  </si>
  <si>
    <t>MALJAMAR COMPRESSOR STATION</t>
  </si>
  <si>
    <t>NMBW119G</t>
  </si>
  <si>
    <t>RELIEF VALVE OPENED AT A LOWER PRESSURE THAN DESIRED AND FAILED TO RESET.</t>
  </si>
  <si>
    <t>THERE WERE NO SAFETY RELATED ALARMS FOR THE CONTROL ROOM PERSONNEL TO RESPOND TO.</t>
  </si>
  <si>
    <t>PRV OPERATED UNEXPECTEDLY AT LOWER THAN SET PRESSURE.</t>
  </si>
  <si>
    <t>REGULATORY COMPLIANCE SENIOR SPECIALIST</t>
  </si>
  <si>
    <t>713-823-3795</t>
  </si>
  <si>
    <t>AT 0700 NOTIFIED BY DURANGO PLANT EMPLOYEE THAT THE RELIEF VALVE WAS VENTING AT THE MALJAMAR CS. UPON INVESTIGATION ET OPERATIONS PERSONNEL VERIFIED THAT THE RELIEF VALVE WAS VENTING AND BLOCKED IT IN.  THE RELIEF VALVE WAS REPAIRED AND TESTED BY COMPANY EMPLOYEES PRIOR TO BEING PUT BACK IN SERVICE.</t>
  </si>
  <si>
    <t>NO FAILURE THEREFORE NO ACTION TAKEN.</t>
  </si>
  <si>
    <t>MEADE</t>
  </si>
  <si>
    <t>BORCHERS STORAGE FIELD</t>
  </si>
  <si>
    <t>EAST 10" LATERAL - RECEIVER</t>
  </si>
  <si>
    <t>INCIDENT WAS RESULT OF RELEASE OF STORED ENERGY DURING PIGGING RECEIPT OPERATIONS</t>
  </si>
  <si>
    <t>INCIDENT INVESTIGATION.</t>
  </si>
  <si>
    <t>THE PIGGING OPERATION IS A MANUAL OPERATION; THEREFORE, IT WOULD NOT GENERATE AN ACTIONABLE RESPONSE FROM THE CONTROL CENTER.  NOTHING WOULD BE OBSERVABLE WITHIN SCADA FOR THE CONTROL CENTER TO SEE AS IT PERTAINS TO PULLING THE PIG CLEANER FROM THE PIG RECEIVER.</t>
  </si>
  <si>
    <t>ALTHOUGH THE TRAP DOOR WAS OPEN, EMPLOYEE POSITIONED HIMSELF IN FRONT OF THE OPEN RECEIVER IN THE PROJECTED PATH OF THE PIG WITHOUT VERIFYING THAT THE PRESSURE BEHIND THE PIG HAD BEEN RELIEVED. SOP I.13 PIGGING AND PIG TRAP OPERATION WARNS OF THE DANGERS OF STANDING IN FRONT OF THE RECEIVER DOOR AND INSTRUCTS EMPLOYEES TO ENSURE THAT THE TRAP IS DEPRESSURIZED. AS PART OF ON THE JOB TRAINING, EMPLOYEES ARE TAUGHT THE DANGERS OF STANDING IN FRONT OF THE RECEIVER.</t>
  </si>
  <si>
    <t>832-660-5977</t>
  </si>
  <si>
    <t>ON MARCH 26, 2020, EMPLOYEE WAS RECEIVING A CLEANING PIG ON THE TEN-INCH EAST LINE AT BORCHERS STATION WHEN THE PIG BECAME LODGED IN THE RECEIVER. THE DOOR TO THE RECEIVER WAS OPENED, AND EMPLOYEE HAD POSITIONED HIMSELF IN FRONT OF THE PIG RECEIVER IN AN ATTEMPT TO DISLODGE THE STUCK PIG. SUDDENLY, THE PIG BECAME DISLODGED AND DISCHARGED OUT OF THE BARREL, STRIKING EMPLOYEE. ANOTHER EMPLOYEE CALLED 911 AND ASSISTED INJURED EMPLOYEE UNTIL MEDICAL ASSISTANCE ARRIVED. HIGHWAY PATROL ARRIVED AND ASSISTED WITH FIRST AID UNTIL THE AMBULANCE ARRIVED. EMPLOYEE WAS TRANSPORTED TO MEADE COUNTY HOSPITAL WHERE THE EMPLOYEE PASSED AWAY.    PLEASE REFER TO PART G (APPARENT CAUSE). AS IT APPLIES TO PART K (CONTRIBUTING FACTORS), SOP I.13 PIGGING AND PIG TRAP OPERATION REQUIRES A SITE SPECIFIC PIGGING PROCEDURE. HOWEVER, AT THE TIME OF THE INCIDENT, A SITE SPECIFIC PIGGING PROCEDURE WAS NOT LOCATED. IT HAS NOT BEEN DETERMINED THAT THE PRESENCE OF A SITE SPECIFIC PIGGING PROCEDURE AT BORCHERS STATION WOULD HAVE PREVENTED THIS INCIDENT.    IN TERMS OF PROCESS IMPROVEMENT, WE HAVE CREATED A SITE SPECIFIC PIGGING PLAN FOR BORCHERS EAST 10" TRAP. A SAFETY ALERT HAS BEEN DISTRIBUTED COMPANY-WIDE IN ORDER TO REINFORCE OUR CURRENT PIGGING PROCEDURES AND STRESS THE IMPORTANCE OF PROPER SAFETY PROTOCOLS WHEN ENGAGING IN PIGGING ACTIVITIES. WE HAVE WORKED WITH LOCAL FIELD PERSONNEL TO REINFORCE OUR PIGGING PROCEDURES. ALSO, WE HAVE DEVELOPED A TEAM TO REVIEW AND ASSESS CURRENT PIGGING PROCEDURES.</t>
  </si>
  <si>
    <t>UNIT 4204 WAS SHUT DOWN. DEFIANCE FACILITY WAS NOT SHUT DOWN.</t>
  </si>
  <si>
    <t>DEFIANCE</t>
  </si>
  <si>
    <t>DEFIANCE CS</t>
  </si>
  <si>
    <t>DEFIANCE COMPRESSOR STATION</t>
  </si>
  <si>
    <t>NATHAN HLAVATY</t>
  </si>
  <si>
    <t>DIRECTOR - INTERSTATE REGULATORY COMPLIANCE</t>
  </si>
  <si>
    <t>nathan.hlavaty@energytransfer.com</t>
  </si>
  <si>
    <t>AT APPROXIMATELY 04:33 EST ON SATURDAY, JANUARY 25TH, 2020, THE DISCHARGE PSV FOR UNIT 4204 OPENED WHILE THE UNIT WAS RUNNING.  A LOCAL SHERIFF WAS CONTACTED DUE TO A HIGH NOISE COMPLAINT, HE THEN CONTACTED AN ANR EMPLOYEE.  AFTER ANR VERIFIED IT WAS NOT AN ISSUE WITH THEIR STATION, THE ANR EMPLOYEE CONTACTED A ROVER EMPLOYEE AT 05:15 EST.  THE ROVER EMPLOYEE RESPONDED BY DRIVING TO THE STATION, DETERMINING THE ISSUE WAS UNIT 4204, AND SHUTDOWN UNIT 4204 AT 05:55 EST. FITTINGS WERE REPLACED AND TIGHTENED AND THE VALVE WAS MODIFIED (PULLED APART, INSPECTED, SOFT PARTS REPLACED) BEFORE RETURNING TO SERVICE, NO FURTHER ISSUES IDENTIFIED.    ONCE IT WAS DETERMINED THAT ESTIMATES OF POTENTIAL GAS LOSS WERE GREATER THAN 3 MMCF, THE DIRECTOR OF REGULATORY COMPLIANCE WAS NOTIFIED TO MAKE A TELEPHONIC REPORT TO THE NATIONAL RESPONSE CENTER.</t>
  </si>
  <si>
    <t>ONLY UNIT 816</t>
  </si>
  <si>
    <t>LA MONTE</t>
  </si>
  <si>
    <t>PETTIS</t>
  </si>
  <si>
    <t>HOUSTONIA COMPRESSOR STATION</t>
  </si>
  <si>
    <t>HOUSTONIA 300/400 DISCHARGE</t>
  </si>
  <si>
    <t>COMPRESSOR STATION PIPING.</t>
  </si>
  <si>
    <t>SOLENOID VALVE MALFUNCTIONED.</t>
  </si>
  <si>
    <t>SOLENOID VALVE FROZE.</t>
  </si>
  <si>
    <t>713-857-5479</t>
  </si>
  <si>
    <t>AFTER PLACING UNIT 816 ONLINE AT 06:21, GAS CONTROL NOTICED THE SUCTION AND DISCHARGE PRESSURES DROPPING.  GAS CONTROL NOTIFIED ON CALL PERSONNEL.  WHEN ON-CALL PERSONNEL ARRIVED AT THE PLANT, THE UNIT WAS SHUT DOWN BECAUSE THE UNIT BLOWDOWN VALVE WAS OPEN.  THE UNIT WAS SHUT DOWN AT 07:13.  UPON INVESTIGATION, IT WAS DISCOVERED THAT THE SOLENOID VALVE FROZE UP WHICH PREVENTED PRESSURE FROM BEING APPLIED TO THE DOME OF THE UNIT BLOWDOWN/RELIEF VALVE.  AIR OPERATED SOLENOID WAS REPLACED WITH AN ELECTRONIC SOLENOID.</t>
  </si>
  <si>
    <t>SEMGAS, L.P.</t>
  </si>
  <si>
    <t>HOPETON</t>
  </si>
  <si>
    <t>WOODS</t>
  </si>
  <si>
    <t>3657.5-3706.8</t>
  </si>
  <si>
    <t>ENABLE RESIDUE 16 INCH</t>
  </si>
  <si>
    <t>ROSE VALLEY ENABLE RESIDUE SALES LINE</t>
  </si>
  <si>
    <t>PARAGON</t>
  </si>
  <si>
    <t>ORIGINAL MANUFACTURING-RELATED (NOT GIRTH WELD OR OTHER WELDS FORMED IN THE FIELD)</t>
  </si>
  <si>
    <t>MANUFACTURE SEAM DEFECT</t>
  </si>
  <si>
    <t>MANAGER - INTRASTATE REGULATORY COMPLIANCE</t>
  </si>
  <si>
    <t>ON JANUARY 7, 2020, AT APPROXIMATELY 11:30 HRS, SEMGAS EXPERIENCED A GAS LEAK ON A REGULATED CLASS 1 TRANSMISSION LINE, THE ENABLE RESIDUE 16 INCH ON THE ROSE VALLEY PLANT SALES PIPELINE. THIS PIPELINE IS LOCATED IN WOODS COUNTY, 11 MILES SOUTHWEST OF ALVA, OKLAHOMA. OPERATIONS PERSONNEL WAS CONDUCTING A PIPELINE LEAK DETECTION SURVEY IN THE AREA AND DETECTED A HIGH HYDROCARBON LEL READING AND NOTICED BARE VEGETATION IN THE AREA. OPERATIONS PERSONNEL NOTIFIED THEIR SUPERVISOR OF A POTENTIAL LEAK. AT APPROXIMATELY 11:40 HRS, OPERATIONS PERSONNEL CLOSED THE UPSTREAM AND DOWNSTREAM BLOCK VALVES TO ISOLATED THE POTENTIAL LEAK AND BEGAN TO REDUCE THE PRESSURE. ON JANUARY 8, 2020 A CONTRACT CREW BEGAN EXCAVATION OF THE PIPELINE. ONCE THE PIPELINE WAS EXPOSED, OPERATIONS PERSONNEL DISCOVERED A PINHOLE LEAK ON THE PIPELINE'S LONGITUDINAL SEAM. A TOTAL OF 51 FEET OF PIPE WAS REMOVED AND THE AFFECTED PIPE SEGMENT WAS SENT TO THE LAB FOR ANALYSIS. THE 51 FEET OF PIPE WAS REPLACED WITH NEW PIPE TO PREVENT OTHER LEAKS FROM OCCURRING. ON JANUARY 14, 2020 AT APPROXIMATELY 17:38 HRS, THE PIPELINE WAS PUT BACK INTO SERVICE.    THIS PIPELINE IS UNDER THE JURISDICTION OF THE OKLAHOMA CORPORATION COMMISSION. ON JANUARY 9, 2020, THIS INCIDENT WAS TELEPHONICALLY REPORTED TO THE NATIONAL RESPONSE CENTER (NRC#1268323) AT 17:06 HRS. AND TO THE OCC AT 17:10 HRS. THIS INCIDENT BECAME A REPORTABLE INCIDENT ONCE THE ESTIMATED REPAIR COST WENT OVER THE $50,000.00 LIMIT.    A 48 HOUR NRC UPDATE WAS MADE ON JANUARY 10, 2020 AT 11:21 HRS. (NRC#1268361)    ON FEBRUARY 7, 2020, LAB RESULTS CONFIRMED THE LEAK WAS DUE TO MANUFACTURER'S DEFECT IN THE PIPELINE'S LONGITUDINAL SEAM WELD. FURTHER CONSIDERATIONS WILL BE MADE FOR FUTURE ILI ASSESSMENTS IN ORDER TO DETERMINE THE OVERALL CONDITION OF THE REMAINING PIPE.</t>
  </si>
  <si>
    <t>JIM HOGG</t>
  </si>
  <si>
    <t>0.0 + 0.0</t>
  </si>
  <si>
    <t>THOMPSONVILLE TO PRAIRIE LEA SYSTEM</t>
  </si>
  <si>
    <t>INVESTIGATION IDENTIFIED NO CONTROLLER ISSUES. CONTROLLER ACTIONS WERE CONSISTENT WITH COMPANY PROTOCOLS</t>
  </si>
  <si>
    <t>ON DECEMBER 17, 2019 AT APPROXIMATELY 16:05 HRS., ENERGY TRANSFER EXPERIENCED A GAS RELEASE ON THE ESD SYSTEM ON A REGULATED CLASS 1 TRANSMISSION LINE, THE 3017 THOMPSONVILLE TO PRAIRIE LEA SYSTEM 24 INCH PIPELINE INSIDE THE THOMPSONVILLE COMPRESSOR STATION. THE COMPRESSOR STATION IS LOCATED IN JIM HOGG COUNTY 14 MILES SOUTHWEST OF HEBBRONVILLE, TX. GAS CONTROL OBSERVED AN ESD VALVE POSITION FAULT AND NOTIFIED OPERATIONS. OPERATIONS PERSONNEL WERE DISPATCHED TO INVESTIGATE AND WHEN THEY ARRIVED ON LOCATION THEY FOUND THE BLOW DOWN VALVE WAS OPENED, RELEASING GAS. AT APPROXIMATELY 16:40 HRS., THE MANUAL VALVE UNDERNEATH THE AUTOMATED BLOW DOWN VALVE WAS CLOSED, SECURING THE GAS RELEASE. ONCE THE ESD WAS RESET, OPERATIONS PERSONNEL NOTICED A 1/4 INCH RELIEF VALVE FOR THE SUPPLY TO THE BETTIS ESD ACTUATOR WAS LEAKING. THE LEAK, OVER TIME, DID NOT PROVIDE AMPLE POWER GAS TO THE ACTUATOR WHICH TRIGGERED THE ESD WHICH THEN CAUSED THE BLOW DOWN VALVE TO OPEN. OPERATIONS PERSONNEL REPLACED THE 1/4 INCH RELIEF VALVE. AT APPROXIMATELY 16:40 HRS. ON DECEMBER 17, 2019 THE SYSTEM WAS BACK IN OPERATION.    THIS PIPELINE IS UNDER THE JURISDICTION OF THE TEXAS RAILROAD COMMISSION. ON DECEMBER 17, 2019, THIS INCIDENT WAS  TELEPHONICALLY REPORTED TO THE NATIONAL RESPONSE CENTER (NRC#1266709) AT 21:22 HRS. AND TO THE TXRRC (INCIDENT#2106) AT  21:45 HRS.    A 48 HOUR NRC UPDATE WAS MADE ON DECEMBER 18, 2019 AT 13:40 HRS. (NRC#1266770).    AFTER CLOSER INSPECTION AND REACHING OUT TO GENERANT VALVE MANUFACTURE FOR FAILURE ANALYSIS, IT WAS FOUND THAT SMALL PAINT CHIPS  WERE ON THE SEATING AREA OF THE VALVE DUE TO PAINT OVER SPRAYING ON THE HEADER PIPING. THE VALVE WAS NOT COMPLETELY COVERED  WITH PLASTIC WRAP AND TAPED OFF, ALLOWING PAINT PARTICLES TO BE SPRAYED ONTO THE BACKSIDE OF THE RELIEF VALVE NOZZLE.</t>
  </si>
  <si>
    <t>THE ESD SYSTEM TRIPPED THE STATION SHUTDOWN TEMPORARILY</t>
  </si>
  <si>
    <t>ORLANDO</t>
  </si>
  <si>
    <t>ORANGE</t>
  </si>
  <si>
    <t>ORLANDO COMPRESSOR STATION 18</t>
  </si>
  <si>
    <t>STATION YARD</t>
  </si>
  <si>
    <t>COMPRESSOR STATION ESD SYSTEM WAS INITIATED AS A RESULT OF A FAILED FIBER OPTICS COMMUNICATION CABLE. THE ESD SEQUENCE PROCESS FAILED, THE FIRE GATE VALVE DID NOT CLOSE COMPLETELY DUE TO A FAILED PILOT. AS A RESULT OF THE OPEN VALVE A REPORTABLE VOLUME OF GAS WAS RELEASED.</t>
  </si>
  <si>
    <t>EQUIPMENT FAILURE IN THE FIELD.</t>
  </si>
  <si>
    <t>SOFT GOODS INSIDE THE PILOT REGULATOR FAILED</t>
  </si>
  <si>
    <t>11/7/19  COMPRESSOR STATION ESD SYSTEM WAS INITIATED AS A RESULT OF A FAILED FIBER OPTICS COMMUNICATION CABLE AT 21:48.  11/8/19  NRC TELEPHONIC NOTIFICATION MADE AT 10:25 NRC#1263440. PHMSA AID NOTIFIED 10:39.  11/9/19  48-HOUR UPDATE NRC NOTIFICATION MADE AT 18:42 NRC#1263560. PHMSA AID UPDATED AT 19:25.  11/11/19  PHMSA AID UPDATED AT 11:34.      THE COMPRESSOR STATION ESD SYSTEM WAS INITIATED AS A RESULT OF A FAILED FIBER OPTICS COMMUNICATION CABLE. THE ESD SEQUENCE PROCESS FAILED, THE FIRE GATE VALVE DID NOT CLOSE COMPLETELY DUE TO A FAILED PILOT. SOFT GOODS INSIDE THE PILOT REGULATOR FAILED. AS A RESULT OF THE OPEN VALVE A REPORTABLE VOLUME OF GAS WAS RELEASED. THE SOFT GOODS INSIDE THE PILOT REGULATOR WERE REPLACED TO PREVENT RECURRENCE.</t>
  </si>
  <si>
    <t>EPPS</t>
  </si>
  <si>
    <t>WEST CARROLL</t>
  </si>
  <si>
    <t>VALVE SITE 66</t>
  </si>
  <si>
    <t>EPPS COMPRESSOR STATION</t>
  </si>
  <si>
    <t>CAMERON</t>
  </si>
  <si>
    <t>POWER BREAKER THAT SUPPLIES THE TURBINE CONTROL BUILDING WAS TRIPPED. WHEN THIS BREAKER TRIPPED THE UPS BATTERIES RAN DOWN WHICH ACTIVATED THE ESD SYSTEM.</t>
  </si>
  <si>
    <t>10/17/19  NRC TELEPHONIC NOTIFICATION MADE AT 19:58 NRC#1261451. PHMSA AID NOTIFIED 20:13.  10/18/19  PHMSA AID UPDATED AT 14:00.  10/19/19  48-HOUR UPDATE NRC NOTIFICATION MADE AT 15:19 NRC#1261620. PHMSA AID UPDATED AT 15:39.       THE SUPPLEMENTAL/FINAL REPORT DATED 12/11/19, PROVIDES FURTHER CLARIFICATION/CORRECTIONS FOR THE FOLLOWING SECTIONS:    PART A, QUESTION 10. THE ESD SYSTEMS OPERATED AS DESIGNED. THERE WAS A STATION YARD BLOCK VALVE OUTSIDE THE ESD SYSTEM THAT WAS INADVERTENTLY OPEN THAT CONTRIBUTED TO THE AMOUNT RELEASED.     PART E, QUESTION 7. RECEIVED AN ESD SAFETY STATUS ALARM FOR THE FUEL METER AT EPPS STATION THAT THE CONTROLLER ACKNOWLEDGED IMMEDIATELY. THE COMMUNICATIONS AT EPPS STATION WENT DOWN THE SAME TIME AS THE ESD TRIPPED. GAS CONTROL COULD NOT SEE A PROBLEM UNTIL THERE WAS A PRESSURE DROP AT THE UPSTREAM AND DOWNSTREAM LOCATIONS. COMMUNICATIONS WERE OUT AT THE STATION SO THE CONTROLLERS WERE NOT ABLE TO CONFIRM AN ACTUAL ESD. CONTROLLERS REVIEWED UPSTREAM AND DOWNSTREAM PRESSURES AND THERE WERE NO NEGATIVE RATE OF CHANGE ALARMS PRESENT. UPSTREAM PRESSURE STARTED TO SHOW A SLOW DECLINE IN PRESSURE. LOCAL SHERIFF'S DEPT CALLED IN A FEW MINUTES LATER AND REPORTED THERE WAS GAS BLOWING AT THE STATION. THE CONTROLLERS IMMEDIATELY DISPATCHED FIELD PERSONNEL TO THE SCENE AND STARTED AN EVERBRIDGE CONFERENCE BRIDGE TO ALERT MANAGEMENT AND FIELD PERSONNEL IN THE AREA.     PART E, QUESTION 8. UPDATED YES, BASED ON THE INVESTIGATION NO CONTROLLER ISSUES WERE IDENTIFIED.    PART H, THE UPS FOR THE ESD SYSTEM AND COMMUNICATION EQUIPMENT IS SIZED TO MAINTAIN POWER FOR A MINIMUM OF 4 HOURS AND WE HAVE A BACK-UP GENERATOR THAT WILL COME ON-LINE WHEN THERE IS A LOSS OF COMMERCIAL POWER ACROSS THE WHOLE STATION. THE BREAKER THAT TRIPPED WAS SUPPLING POWER TO THE CONTROL BUILDING ONLY, WHERE THE ESD CONTROLS AND COMMUNICATION EQUIPMENT IS LOCATED. IF THERE WOULD HAVE BEEN A LOSS OF COMMERCIAL POWER OF THE WHOLE STATION THE GENERATOR WOULD HAVE STARTED AUTOMATICALLY AND GAS CONTROL WOULD HAVE RECEIVED AN ALARM. THE UPS BATTERIES WOULD NOT HAVE RUN DOWN. THE STATION YARD BLOCK VALVE WAS IDENTIFIED AND LOCKED CLOSED. AN ALARM HAS BEEN INSTALLED TO NOTIFY GAS CONTROL IF THERE IS A FUTURE POWER LOSS AT THIS CONTROL BUILDING TO PREVENT RECURRENCE.</t>
  </si>
  <si>
    <t>INCIDENT DUE TO A SMALL PINHOLE LEAK</t>
  </si>
  <si>
    <t>PINHOLE AT THE 6:00 OCLOCK POSITION</t>
  </si>
  <si>
    <t>10/6/19  RECEIVED NOTIFICATION OF A POSSIBLE LEAK. NRC TELEPHONIC NOTIFICATION MADE AT 14:51 NRC#1260388. PHMSA AID NOTIFIED 15:29.  10/8/19  48-HOUR UPDATE NRC NOTIFICATION MADE AT 9:24 NRC#1260544. PHMSA AID UPDATED AT 13:51. CLAMP INSTALLED AT 18:00.  10/11/19  PHMSA AID UPDATED AT 11:25.   10/13/2019  LINE PRESSURED UP TO OPERATING PRESSURE AT 06:00.  10/14/19  PHMSA AID UPDATED AT 08:38. REPAIR COMPLETED. FLY OVER CONFIRMED NO BUBBLES OR SHEEN PRESENT.   11/12/19  SUPPLEMENTAL-FINAL SUBMITTED TO CORRECT NOMINAL DIAMETER (PART C - 3A) TO 10" AND PART G QUESTION #8 TO "FIELD EXAMINATION."</t>
  </si>
  <si>
    <t>SAMPLE ANALYSIS WAS UTILIZED</t>
  </si>
  <si>
    <t>9/19/19  RECEIVED NOTIFICATION OF A POSSIBLE LEAK. NRC TELEPHONIC NOTIFICATION MADE AT 16:32 NRC#1258724.   9/20/19  PHMSA AID NOTIFIED 07:53   9/21/19  48-HOUR UPDATE NRC NOTIFICATION MADE AT 13:38 NRC# 1258902. PHMSA AID UPDATED AT 15:10  9/23/19  PHMSA AID UPDATED AT 9:47.   9/29/19  REPAIR COMPLETED.   9/30/19  LINE WAS RETURNED TO SERVICE.     PART A, QUESTION 10:  THE ESTIMATED VOLUME OF UNINTENTIONAL GAS RELEASED WAS 0. THE LEAK WAS INTERMITTENT FROM A PINHOLE AND THERE WERE NO BUBBLES, ONLY SHEEN FROM THE CONDENSATE.</t>
  </si>
  <si>
    <t>ALICE</t>
  </si>
  <si>
    <t>JIM WELLS</t>
  </si>
  <si>
    <t>327+31</t>
  </si>
  <si>
    <t>ALICE TO DRISCOLL 8"</t>
  </si>
  <si>
    <t>ENTERPRISE EMPLOYEE WORKING NEARBY NOTIFIED GAS CONTROL</t>
  </si>
  <si>
    <t>CONTROLLERS ACTIONS WERE CONSISTENT WITH EXPECTATIONS AND FOLLOWED ESTABLISHED OPERATING PROCEDURES.  INVESTIGATION WAS NOT WARRANTED.</t>
  </si>
  <si>
    <t>FARMER</t>
  </si>
  <si>
    <t>FARM EQUIPMENT</t>
  </si>
  <si>
    <t>AGRICULTURE</t>
  </si>
  <si>
    <t>CHRISTOPHER KRESTA</t>
  </si>
  <si>
    <t>REGULATORY MANAGER</t>
  </si>
  <si>
    <t>AT APPROXIMATELY 09:15 HOURS ON JULY 29, 2019, ENERGY TRANSFER SUSTAINED A PIPELINE STRIKE FROM A FARMER PLOWING ACROSS IT'S EASEMENT ON ITS ALICE TO DRISCOL 8" TRANSMISSION LINE, ACCOUNT #3054. (RRC SYSTEM ID: 962481).  THIS EVENT OCCURRED IN A RURAL CLASS 1 LOCATION IN SOUTH TEXAS OUTSIDE THE CITY OF ALICE IN JIM WELLS COUNTY. THERE WERE NO FIRES, INJURIES, OR EVACUATIONS. NOTIFICATIONS WERE MADE TO THE NRC AT 13:55 HOURS ON JULY 29, 2019 (NRC INCIDENT # 1253535) AND TX RRC (INCIDENT # 2036) AT APPROXIMATELY 14:07 HOURS. THE LINE WAS MECHANICALLY PUNCTURED BY THE LINE STRIKE.   IT WAS ISOLATED, BLOWN DOWN, AND THE DAMAGED SECTION WAS REMOVED AND REPLACED.  THE LINE WAS RETURNED TO SERVICE ON JULY 30, 2019 AT APPROXIMATELY 05:39 HOURS.    THIS REPORT IS BEING SUBMITTED AS A "SIGNIFICANT EVENT" UNDER CFR 191.3 (3) AND DOES NOT MEET OTHER REPORTING CRITERIA.    THIS EVENT OCCURRED ON AN INTRASTATE GAS TRANSMISSION PIPELINE UNDER JURISDICTION OF THE TEXAS RAILROAD COMMISSION.    TO PREVENT REOCCURRENCE, ENERGY TRANSFER MET WITH THE EXCAVATOR AND EXPLAINED ONE CALL PROCEDURES AND SPECIFICS OF OUR PIPELINE THROUGH THE PROPERTY.  ENERGY TRANSFER ALSO LOWERED A PORTION THE AFFECTED PIPELINE IN THE AREA OF THE INCIDENT.      **  PHMSA 48 HR. NRC UPDATE MADE ON JULY 30, 2019 AT 16:03 HOURS. ( #1253688)</t>
  </si>
  <si>
    <t>ISOLATED UNIT 1215</t>
  </si>
  <si>
    <t>TUSCOLA</t>
  </si>
  <si>
    <t>DOUGLAS</t>
  </si>
  <si>
    <t>TUSCOLA COMPRESSOR STATION</t>
  </si>
  <si>
    <t>UNIT 1215</t>
  </si>
  <si>
    <t>RELIEF VALVE SETPOINT WAS SET TOO LOW</t>
  </si>
  <si>
    <t>4 MAN HOURS FOR CALL-OUT</t>
  </si>
  <si>
    <t>DID NOT EXCEED MAOP.</t>
  </si>
  <si>
    <t>TEST STAND WORN CAUSING RELIEF VALVE ACTUAL SET PRESSURE TO BE LOW</t>
  </si>
  <si>
    <t>5/10/19 18:47 CST PROPERTY OWNER NOTIFIED OPERATIONS OF GAS BLOWING AT STATION.  5/10/19 18:49 CST YARD NOISE ALARM TO GAS CONTROL.  5/10/19 19:03 CST UNIT 1215 SHUTDOWN AND TAKEN OUT OF SERVICE.  5/14/19 10:53 CST NRC TELEPHONIC NOTIFICATION MADE NRC#1245594.  5/14/19 11:11 CST PHMSA AID UPDATED.  5/16/19 10:16 CST 48-HOUR NRC NOTIFICATION MADE NRC#1245848.  5/16/19 10:47 CST PHMSA AID UPDATED.     THE SUPPLEMENTAL REPORT SUBMITTED 8/20/19, IS MADE TO UPDATE PART D: 7D AND TO FURTHER CLARIFY THE EVENT.   - THERE WERE NO REPAIRS REQUIRED TO THE RELIEF VALVE AS IT FUNCTIONED PROPERLY. IT WAS A FAULTY TEST STAND USED DURING THE TEST AND INSPECT OF THE RELIEF VALVE THAT LED TO THE SET-POINT BEING SET BELOW WHERE IT SHOULD HAVE BEEN SET, RESULTING IN THE RELEASE OF GAS.     - THE TEST STAND WAS COMPLETELY REBUILT AND THE ACCURACY CONFIRMED.</t>
  </si>
  <si>
    <t>KINGSVILLE</t>
  </si>
  <si>
    <t>KLEBERG</t>
  </si>
  <si>
    <t>LOBO 30" RESIDUE</t>
  </si>
  <si>
    <t>#20150125 KR04</t>
  </si>
  <si>
    <t>RELIEF VALVE MALFUNCTION</t>
  </si>
  <si>
    <t>RELIEF VALVE RELEASED PREMATURELY .  SYSTEM DID NOT EXCEED MAOP</t>
  </si>
  <si>
    <t>ENGINEER</t>
  </si>
  <si>
    <t>MANAGER- REGULATORY COMPLIANCE</t>
  </si>
  <si>
    <t>ON MARCH 27, 2019 AT APPROXIMATELY 12:03 PM, ENERGY TRANSFER HAD A RELIEF VALVE MALFUNCTION ON THE LOBO 30" RESIDUE PIPELINE. THIS PIPELINE SYSTEM IS A CLASS 1 TRANSMISSION LINE AND IS LOCATED ON THE KING RANCH IN KLEBERG COUNTY IN KINGSVILLE, TX. THE EVENT WAS REPORTABLE DUE TO THE UNINTENTIONAL RELEASE OF GAS AMOUNTED AT 8.49 MMCF.  THE RELIEF VALVE MALFUNCTIONED AND RELEASED PREMATURELY.  THE PRESSURE ON THIS SYSTEM DID NOT EXCEED MAOP.  THE PIPELINE WAS SHUT IN FOR RELIEF VALVE REPAIR. THE RELIEF VALVE WAS REBUILT AND REPLACED AND THE LINE WAS RETURNED TO SERVICE AT 1:31 AM ON MARCH 29, 2019.      THIS PIPELINE IS UNDER THE JURISDICTION OF THE TX RRC AS INTRASTATE (SYSTEM ID #730067). THIS LEAK WAS TELEPHONICALLY REPORTED TO THE TX RRC ON MARCH 27, 2019.    A 48 HR. NRC UPDATE WAS MADE ON MARCH 29, 2019 AT 08:51 AM. INCIDENT REPORT #1241355    5/24/19  TO PREVENT REOCCURRENCE OF THIS ISSUE, ENERGY TRANSFER WILL CONTINUE TO ENSURE OUR RELIEF VALVES ARE BEING TESTED AND INSPECTED ANNUALLY BY OUR QUALIFIED INDIVIDUALS IN ACCORDANCE WITH OUR SOP.</t>
  </si>
  <si>
    <t>PINECREST</t>
  </si>
  <si>
    <t>MIAMI DADE</t>
  </si>
  <si>
    <t>7235+24</t>
  </si>
  <si>
    <t>FGT</t>
  </si>
  <si>
    <t>FLMEA-22</t>
  </si>
  <si>
    <t>YOUNGSTOWN SHEET AND TUBE</t>
  </si>
  <si>
    <t>POLYOLEFIN</t>
  </si>
  <si>
    <t>THIS LINE DOES NOT HAVE A LAUNCHER OR RECEIVER INSTALLED.  THE MAOP HAS BEEN REDUCED TO 288 PSI IN RECENT YEARS.  MAOP 288 IS OPERATING AT 20% OF SMYS.</t>
  </si>
  <si>
    <t>INVESTIGATION WAS NOT NECESSARY DUE TO PIPELINE OPERATING NORMALLY BEFORE BEING HIT BY 3RD PARTY DIGGING IN THE AREA.</t>
  </si>
  <si>
    <t>CITY STREET</t>
  </si>
  <si>
    <t>DIRECTIONAL DRILLING</t>
  </si>
  <si>
    <t>TELECOMMUNICATIONS</t>
  </si>
  <si>
    <t>(713)857-5479</t>
  </si>
  <si>
    <t>3/21/19 17:41 EST OPERATIONS ARRIVED ON SITE AND CONFIRMED LINE HIT.  3/21/19 17:48 EST LINE SHUT IN AND ISOLATED.  3/21/19 19:55 EST NRC TELEPHONIC NOTIFICATION MADE NRC#1240712.  3/21/19 20:20 EST PHMSA AID NOTIFIED.  3/21/19 21:00 EST FPL POWER RESTORED TO CUSTOMERS AND EVACUEE RETURNED HOME.  3/23/19 16:09 EST REPLACEMENT COMPLETED AND LINE PUT BACK IN SERVICE.  3/23/19 17:54 EST 48-HOUR NRC NOTIFICATION MADE NRC#1240870.  3/23/19 18:23 EST PHMSA AID UPDATED.    THE SUPPLEMENTAL REPORT SUBMITTED 8/13/19, CORRECTED PART A: 5 - LATITUDE/LONGITUDE.</t>
  </si>
  <si>
    <t>MEXICO</t>
  </si>
  <si>
    <t>AUDRAIN</t>
  </si>
  <si>
    <t>739+83</t>
  </si>
  <si>
    <t>CENTRALIA DISCHARGE</t>
  </si>
  <si>
    <t>400 LINE</t>
  </si>
  <si>
    <t>PITTSBURGH ENAMEL</t>
  </si>
  <si>
    <t>6 O'CLOCK POSITION</t>
  </si>
  <si>
    <t>COMBINATION TOOL</t>
  </si>
  <si>
    <t>3/3/19 3:28 CST COMPANY EMPLOYEE NOTIFIED GAS CONTROL OF LARGE FIRE NORTH OF MEXICO, MO NEAR 2 GATE.   3/3/19 3:36 CST EMPLOYEES DISPATCHED TO CENTRALIA STATION, 1 GATE AND 3 GATE.   3/3/19 3:45 CST EMPLOYEE ARRIVED ONSITE AND SPOKE TO MO STATE PATROL ONSITE.   3/3/19 4:17 CST DISCHARGE FIRE GATE CLOSED AT CENTRALIA STATION.   3/3/19 4:25 CST 403 GATE CLOSED.   3/3/19 4:35 CST 401 GATE CLOSED.   3/3/19 4:47 CST NRC TELEPHONIC NOTIFICATION MADE NRC#1239100.   3/3/19 4:54 CST FIRE DIMINISHED.  3/3/19 5:13 CST PHMSA AID NOTIFIED.  3/3/19 17:00 CST POWER RESTORED TO ELECTRIC CUSTOMERS.  3/4/19 22:11 CST 48-HOUR NRC NOTIFICATION MADE NRC#1239251.   3/4/19 22:43 CST PHMSA AID UPDATED.      THE INITIAL SUPPLEMENTAL REPORT SUBMITTED ON 5/2/19 UPDATED THE FOLLOWING SECTIONS:  PART A, QUESTION 15.B LOCAL TIME PIPELINE/FACILITY RESTARTED: 4/16/19 19:03 CST  PART D, QUESTION 7.B ESTIMATED COST OF OPERATOR'S PROPERTY DAMAGE &amp; REPAIRS: $206,000    THE SUPPLEMENTAL/FINAL DATED 7/19/19 UPDATED THE FOLLOWING SECTIONS:  PART G, CONFIRMED CAUSE AS G5 ENVIRONMENTAL CRACKING RELATED BASED ON METALLURGICAL LAB ANALYSIS.  PART G5, QUESTION 6, STRENGTH AND SPIKE PRESSURE TESTS WERE COMPLETED IN 2019, POST INCIDENT AND PRIOR TO RESTARTING THE LINE. STRENGTH TEST PRESSURE WAS 1145 PSIG. SPIKE TEST PRESSURE WAS 1264 PSIG.</t>
  </si>
  <si>
    <t>498+54</t>
  </si>
  <si>
    <t>3045 AQUA DULCE TO LOMA BLANCA</t>
  </si>
  <si>
    <t>LONGITUDINAL ERW - DC</t>
  </si>
  <si>
    <t>ALEJANDRO ALCALA</t>
  </si>
  <si>
    <t>REGULATORY COMPLIANCE ENGINEER</t>
  </si>
  <si>
    <t>alejandro.alcala@energytransfer.com</t>
  </si>
  <si>
    <t>713-989-2021</t>
  </si>
  <si>
    <t>SR. DIRECTOR OF REGULATORY COMPLIANCE</t>
  </si>
  <si>
    <t>ON 10-18-18 AT APPROXIMATELY 10:50AM, ENERGY TRANSFER EXPERIENCED A RELEASE OF NATURAL GAS ON THE 3045 AQUA DULCE TO LOMA BLANCA SYSTEM IN KINGSVILLE, TX. ENERGY TRANSFER PERSONNEL ARRIVED ON SITE AT APPROXIMATELY 11:08 AM AND IDENTIFIED AT 11:10 AM THAT THE PIPELINE BELONGED TO ENERGY TRANSFER.  COMPANY PERSONNEL IMMEDIATELY PROCEEDED TO SHUT IN PIPELINE BY SHUTTING IN THE UPSTREAM MAINLINE VALVE AND DOWNSTREAM MAINLINE VALVE AT 11:35AM AND 12:07PM RESPECTIVELY. THE AFFECTED PIPE SEGMENT WAS CUT OUT AND SENT TO A LABORATORY FOR TESTING AND REPLACED WITH PRE-TESTED PIPE. ENERGY TRANSFER RAN MULTIPLE ILI INSPECTION TOOLS TO VERIFY PIPELINE INTEGRITY. THE PIPELINE WILL BE BROUGHT BACK TO NORMAL SERVICE FOLLOWING SUCCESSFUL ILI INSPECTION.     THE CAUSE OF THIS RELEASE IS CURRENTLY UNDER INVESTIGATION.     48HR FOLLOW UP NRC # 1227958.    THIS FACILITY IS UNDER THE JURISDICTION OF THE TEXAS RAILROAD COMMISSION.     UPDATE MADE ON 3/29/2019     THE CAUSE OF THIS RELEASE HAS BEEN IDENTIFIED AS EXTERNAL MICROBIOLOGICALLY INDUCED CORROSION.      THE PIPELINE WAS BROUGHT BACK TO SERVICE WITH NO PRESSURE RESTRICTIONS ON 3-21-19 FOLLOWING A SUCCESSFUL ILI ASSESSMENT.     UPDATE MADE ON 9/6/2019    WE RECEIVED A FINAL ROOT CAUSE ANALYSIS FROM A 3RD PARTY CONTRACTOR. THEIR ANALYSIS ATTRIBUTED THE CAUSE OF THE FAILURE TO EXTERNAL CORROSION WHICH LED TO A  DUCTILE OVERLOAD.     IN AN EFFORT TO PREVENT REOCCURRENCE , ENERGY TRANSFER WILL BE CONDUCTING ADDITIONAL VERIFICATION DIGS ON THIS SYSTEM AND A CLOSE INTERVAL SURVEY WILL BE CONDUCTED IN CONJUNCTION WITH THE NEXT SCHEDULED IN LINE INSPECTION.</t>
  </si>
  <si>
    <t>CHIPLEY</t>
  </si>
  <si>
    <t>WASHINGTON</t>
  </si>
  <si>
    <t>MP 12.5</t>
  </si>
  <si>
    <t>FGT CHIPLEY M&amp;R</t>
  </si>
  <si>
    <t>CHIPLEY LATERAL</t>
  </si>
  <si>
    <t>METER</t>
  </si>
  <si>
    <t>METER RUN VALVE.</t>
  </si>
  <si>
    <t>FAILURE OF FIELD EQUIPMENT.</t>
  </si>
  <si>
    <t>HURRICANE MICHAEL</t>
  </si>
  <si>
    <t>DUE TO SCHEDULED MAINTENANCE, ONE OF THE METER RUNS WERE OUT OF SERVICE, AND WITH POWER OUTAGE DURING THE HURRICANE, SERVICE WAS INTERRUPTED. FGT PLANS TO REVISE THE STATION DESIGN FOR THIS STATION, ALTER PROCEDURES FOR STORM PREPARATION AND REVIEW PROCEDURES AND PROCESSES WITH THOSE RESPONSIBLE FOR STATION MAINTENANCE TO PREVENT REOCCURRENCE.     10/11/18  MEASUREMENT TECHNICIAN RECEIVED NOTIFICATION FROM PUBLIC AT 02:00 THAT THE CITY OF CHIPLEY, FL WAS WITHOUT GAS.  NRC TELEPHONIC NOTIFICATION MADE AT 07:22 NRC#1227167. PHMSA AID NOTIFIED.   10/11/18   FGT OPENED THE VALVE AND PRESSURED UP TO THE CUSTOMERS MAIN GATE STATION AT 09:00.  10/12/18  48-HOUR UPDATE NRC NOTIFICATION MADE AT 19:40 NRC#1227325.  10/15/18  CITY OF CHIPLEY WAS RETURNED TO FULL SERVICE, RELIGHT COMPLETE AT 07:45.    SUPPLEMENTAL REPORT SUBMITTED 11/13/18, IS TO CORRECT THE LATITUDE/LONGITUDE.</t>
  </si>
  <si>
    <t>THE INCIDENT DID NOT AFFECT THE OPERATIONS OF THE STATION.</t>
  </si>
  <si>
    <t>ROBSTOWN</t>
  </si>
  <si>
    <t>NUECES</t>
  </si>
  <si>
    <t>ROBSTOWN CS</t>
  </si>
  <si>
    <t>ROBSTOWN COMPRESSOR STATION</t>
  </si>
  <si>
    <t>INSTRUMENTATION</t>
  </si>
  <si>
    <t>ALUMINUM/STAINLESS STEEL/MONEL</t>
  </si>
  <si>
    <t>PRESSURE GAUGE RUPTURE ON DISCHARGE FILTER OF COMPRESSOR</t>
  </si>
  <si>
    <t>THIS INCIDENT OCCURRED DUE TO RUPTURING OF A PRESSURE GAUGE AND THE CONTROLLERS ACTIONS WERE NOT A FACTOR IN THIS INCIDENT.</t>
  </si>
  <si>
    <t>ALEX ALCALA</t>
  </si>
  <si>
    <t>alex.alcala@energytransfer.com</t>
  </si>
  <si>
    <t>ON 9-28-18, A PIPELINE OPERATOR HEARD A LEAK FROM A DIFFERENTIAL PRESSURE GAUGE AT APPROXIMATELY 7:15 AM, HE THEN PROCEEDED TO ISOLATE THE PIECE OF EQUIPMENT BY CLOSING THE SUPPLY VALVES. THE PIPELINE OPERATOR THEN NOTIFIED AN I&amp;E TECHNICIAN WHO THEN ARRIVED ON SITE TO TROUBLESHOOT THE DIFFERENTIAL PRESSURE GAUGE. AT APPROXIMATELY 7:45 AM, THE I&amp;E TECHNICIAN OPENED THE SUPPLY SENSING NEEDLE VALVES TO THE DIFFERENTIAL PRESSURE GAUGE ABOUT ONE TURN TO LISTEN FOR LEAKING GAS. AS HE WAS CLOSING THE NEEDLE VALVES, THE GAUGE COVER RUPTURED STRIKING THE EMPLOYEE IN THE ARM.     THE RESULTING INJURY WAS A LACERATION ON THE EMPLOYEES LEFT ARM JUST BELOW THE ELBOW. THE EMPLOYEE WAS RUSHED INTO THE EMERGENCY ROOM AND ADMITTED OVERNIGHT. HE RECEIVED STITCHES TO THE LACERATION BUT DID NOT HAVE ANY BROKEN BONES OR ADDITIONAL SIGNIFICANT INJURIES.    THE ROOT CAUSE HAS BEEN IDENTIFIED AS IMPROPER INSTALLATION OF THE TUBING TO THE HI PORT ON THE BACK OF THE DIFFERENTIAL PRESSURE GAUGE. THE DIFFERENTIAL PRESSURE GAUGE AND THE HOUSING ASSEMBLY CAME DIRECTLY FROM THE MANUFACTURER ALREADY MOUNTED ON THE DISCHARGE FILTER VESSEL. ETC DID NOT ASSEMBLE THE COMPONENTS.    THIS SYSTEM IS UNDER THE JURISDICTION OF THE TX RRC AS INTRASTATE. THIS INCIDENT WAS TELEPHONICALLY REPORTED TO THE TX RRC ON SEPTEMBER 28, 2018    A 48 HR. NRC UPDATE WAS MADE ON OCTOBER 1, 2018 AT 08:50 HRS. INCIDENT REPORT # 1226171</t>
  </si>
  <si>
    <t>POST-CONSTRUCTION COMMISSIONING</t>
  </si>
  <si>
    <t>OPERATOR ISOLATED LINE AND GAS WAS ALLOWED TO BURN OUT</t>
  </si>
  <si>
    <t>PA</t>
  </si>
  <si>
    <t>15001-0000</t>
  </si>
  <si>
    <t>ALIQUIPPA</t>
  </si>
  <si>
    <t>BEAVER</t>
  </si>
  <si>
    <t>1115+09</t>
  </si>
  <si>
    <t>REVOLUTION 24"</t>
  </si>
  <si>
    <t>API5L/PSL2</t>
  </si>
  <si>
    <t>EVRAZ</t>
  </si>
  <si>
    <t>REIMBURSEMENT TO EMERGENCY RESPONDERS</t>
  </si>
  <si>
    <t>HEAVY RAINS/FLOODS</t>
  </si>
  <si>
    <t>MUDSLIDE</t>
  </si>
  <si>
    <t>THERE WERE THREE DAYS OF HEAVY RAIN ASSOCIATED WITH TROPICAL STORM GORDON JUST PRIOR TO THIS EVENT.  THIS RAIN IN CONJUNCTION WITH THE RAIN IN THE PREVIOUS 2.5 MONTHS TOTALED OVER 14 INCHES OF RAIN IN THE AREA.</t>
  </si>
  <si>
    <t>ON SEPTEMBER 10, 2018 AT 05:17 AM (EASTERN), ENERGY TRANSFER OPERATIONS WAS NOTIFIED BY AN OFF DUTY EMPLOYEE OF A POSSIBLE LANDSLIDE, PIPELINE RUPTURE AND FIRE NEAR THE REVOLUTION 24" PIPELINE RIGHT OF WAY.   GAS CONTROL WAS NOTIFIED AND VERIFIED A PRESSURE LOSS ON THE REVOLUTION 24" PIPELINE. THIS PIPELINE IS AN INTRASTATE GAS GATHERING PIPELINE LOCATED IN A CLASS 3 AREA NEAR CENTER TOWNSHIP, PA. IN BEAVER COUNTY.    AT 05:26 AM (EASTERN), PENNSYLVANIA 911 OPERATOR NOTIFIED ENERGY TRANSFER GAS CONTROL OF A PIPELINE RUPTURE AND FIRE IN THE GENERAL AREA OF IVY LANE IN CENTER TOWNSHIP. THE PENNSYLVANIA PUC WAS NOTIFIED AT 05:47 AM (EASTERN) AND NRC WAS NOTIFIED AT 07:07 AM (EASTERN) UNDER INCIDENT# 1224150, WITH THE 48 HOUR FOLLOW UP NOTIFICATION TO THE NRC MADE ON SEPTEMBER 11TH AT 04:31 PM (EASTERN), INCIDENT # 1224314.    AT 05:24 AM (EASTERN), THE ETC OPERATIONS MANAGER DIRECTED ETC PIPELINE TECHNICIANS TO CLOSE THE MAIN LINE VALVES AT FREEDOM CRIDER ROAD, BROADHEAD ROAD, AND NEWMAN ROAD TO BEGIN TO ISOLATE THE PIPELINE SEGMENT. THE ISOLATION VALVE AT THE REVOLUTION CRYOGENIC PLANT WAS CLOSED AT 6:36 AM (EASTERN) TO COMPLETE THE LINE ISOLATION. THE LINE SEGMENT DEPRESSURIZED AT THE RUPTURE LOCATION.    THERE WERE NO INJURIES, HOSPITALIZATIONS, OR FATALITIES. FORTY-NINE NEARBY RESIDENTS WERE EVACUATED.    THE INVESTIGATION TO DETERMINE THE CAUSE OF THE FAILURE IS ONGOING, BUT PRELIMINARY RESULTS INDICATE THAT A LAND SLIDE OCCURRED NEAR THE RUPTURE SITE AS A RESULT OF MULTIPLE DAYS OF HEAVY RAIN PRECEDING THE EVENT. THE FAILED SECTION HAS BEEN SENT TO A THIRD PARTY LABORATORY FOR METALLURGICAL TESTING.      ** UPDATE 3/29/2019 **    ~THE TIMES IN THE NARRATIVE ABOVE AND THROUGHOUT THE DOCUMENT HAVE BEEN CHANGED TO REFLECT THE LOCAL TIME OF THE INCIDENT AS EASTERN TIME ZONE.  ~THE LINE HAS NOT BEEN PLACED IN SERVICE.  ~ THE CAUSE OF THE INCIDENT WAS CHANGED FROM G8 / UNDER INVESTIGATION TO G2 / NATURAL FORCE DAMAGE.  THERE WERE THREE DAYS OF HEAVY RAIN ASSOCIATED WITH TROPICAL STORM GORDON JUST PRIOR TO THIS EVENT.  THIS RAIN IN CONJUNCTION WITH THE RAIN IN THE PREVIOUS 2.5 MONTHS TOTALED OVER 14 INCHES OF RAIN IN THE AREA.    ** UPDATE 8/19/2019**    ENERGY TRANSFER CONTINUES TO WORK WITH THE PENNSYLVANIA DEPARTMENT OF ENVIRONMENTAL PROTECTION ON APPROVAL OF STABILIZATION AND E&amp;S PLANS. ENERGY TRANSFER HAS ALSO WORKED CLOSELY WITH THE PENNSYLVANIA PUBLIC UTILITY COMMISSION IN PROVIDING ESSENTIAL DATA THE COMMISSION HAS REQUESTED. NO DATE FOR COMPLETION AT THIS TIME.    ** UPDATE 2/20/2020**  THE TIMES INCLUDED IN THE NARRATIVE WERE CLARIFIED TO BE EASTERN TIME ZONE.  REFERENCE TO CENTRAL TIME ZONE WAS REMOVED.    **FINAL REPORT 3/1/2021**  FINAL COSTS AND OTHER PERTINENT INFORMATION CONTAINED IN THIS REPORT HAVE BEEN REVIEWED AND ALL INFORMATION IS COMPLETE AND FINAL.  ETC RECEIVED APPROVAL FROM PA DEP IN SEPTEMBER 2020 TO REROUTE THE PIPELINE AND THIS WORK WAS COMPLETED IN NOVEMBER 2020.  CURRENTLY, THE PIPELINE IS MECHANICALLY COMPLETE AND WILL BE COMMISSIONED IN MARCH 2021.</t>
  </si>
  <si>
    <t>PRODUCER PLATFORM PERSONNEL</t>
  </si>
  <si>
    <t>LEAK AT THE 6 O'CLOCK POSITION.</t>
  </si>
  <si>
    <t>LOW FLOW CONDITIONS</t>
  </si>
  <si>
    <t>8/20/18  RECEIVED NOTIFICATION OF A POSSIBLE LEAK. NRC TELEPHONIC NOTIFICATION MADE AT 19:46 NRC#1222188. PHMSA AID NOTIFIED 20:59   8/21/18  PHMSA AID UPDATED 18:53, VESSEL MOBILIZING, NO VISIBLE SHEEN.  8/22/18  48-HOUR UPDATE NRC NOTIFICATION MADE AT 14:58 NRC# 1222374. DIVE SUPPORT VESSEL ON LOCATION. CONFIRMED SEA ROBIN PIPELINE AS THE SOURCE OF THE LEAK.  8/23/18  PHMSA AID UPDATED AT 07:27  8/24/18  NRC UPDATE MADE AT 09:38 NRC# 1222547.   8/25/18  PHMSA AID UPDATED 09:28, THE REPAIRS ARE COMPLETED, LINE HAS BEEN RETURNED TO SERVICE.</t>
  </si>
  <si>
    <t>6 O'CLOCK POSITION.</t>
  </si>
  <si>
    <t>6/22/18  RECEIVED NOTIFICATION OF A POSSIBLE LEAK. NRC TELEPHONIC NOTIFICATION MADE AT 16:01 NRC#1216143. PHMSA AID NOTIFIED 17:11   6/23/18  DIVE SUPPORT VESSEL ON LOCATION. CONFIRMED SEA ROBIN PIPELINE AS THE SOURCE OF THE LEAK. PHMSA AID UPDATED.  6/24/18  48-HOUR UPDATE NRC NOTIFICATION MADE AT 08:30 NRC#1216256. PHMSA AID UPDATED.  6/25/18  REPAIR COMPLETED. LINE WAS RETURNED TO SERVICE</t>
  </si>
  <si>
    <t>NEW GULF</t>
  </si>
  <si>
    <t>WHARTON</t>
  </si>
  <si>
    <t>4362 TX GULF SULPHUR 8 INCH</t>
  </si>
  <si>
    <t>MODIFICATIONS NECESSARY TO ACCOMMODATE.</t>
  </si>
  <si>
    <t>THIRD PARTY STRIKE</t>
  </si>
  <si>
    <t>GRADER/SCRAPER</t>
  </si>
  <si>
    <t>713-289-5529</t>
  </si>
  <si>
    <t>6/16/18  AT APPROXIMATELY 10:00AM, A THIRD PARTY CONTRACTOR OPERATING FARMING EQUIPMENT STRUCK THE TEXAS GULF SULPHUR 8 INCH GAS TRANSMISSION LINE. THE THIRD PARTY CONTRACTOR DID NOT MAKE A ONE-CALL NOTIFICATION. GAS CONTROL NOTICED A PRESSURE DROP AND PROCEEDED TO SHUT DOWN THE LINE. NRC TELEPHONIC NOTIFICATION MADE AT 14:11 NRC # 1215478. DURING INVESTIGATION, THE LANDOWNER CONTACTED A PIPELINE TECHNICIAN. AT APPROXIMATELY 8:50PM, THE PIPELINE WAS REPLACED AND REPAIRED WITH 8.5 FEET OF PRE-TESTED EMERGENCY PIPE AND PUT BACK INTO SERVICE.  6/18/18  48-HOUR UPDATE NRC NOTIFICATION MADE AT 13:50.     ON 5/21/18, AREA OPERATIONS SUPERVISOR AND LANDOWNER SPOKE ABOUT A DITCH THE LANDOWNER WANTED TO INSTALL. AREA OPERATIONS SUPERVISOR TOLD THE LANDOWNER TO CONTACT HIM WHEN HE WAS READY TO INSTALL THE DITCH AND THE COMPANY WOULD INSTALL FOR HIM.    8/3/18  AS A PRUDENT OPERATOR, ETC DID IT'S BEST WITHIN THEIR CAPABILITIES. NOT ONLY DID ETC MEET WITH THE LANDOWNER NUMEROUS TIMES, BUT OFFERED TO DO ANY DITCHING OR INSTALLATION OF THE CULVERT FOR THE LANDOWNER; TO ENSURE NO INCIDENTS OR DAMAGE TO THE PIPELINE AND TO ENSURE SAFETY OF THE PEOPLE. THIS LINE HAS BEEN LOCATED NUMEROUS TIMES AND THE PROBLEM WAS THAT THE THIRD PARTY CONTRACTOR DID NOT CALL 8-1-1. ETC PIPELINE MAKERS ARE VISIBLE THROUGHOUT THE ROW AND SPECIFICALLY IN THIS AREA. ETC WILL CONTINUE TO PRACTICE SAFE PIPELINE PROCEDURES AND SPREAD PUBLIC AWARENESS AS WE ALREADY DO, TO PREVENT REOCCURRENCES.</t>
  </si>
  <si>
    <t>554+78</t>
  </si>
  <si>
    <t>30" W. TEXAS LATERAL LOOP</t>
  </si>
  <si>
    <t>NMBW221</t>
  </si>
  <si>
    <t>EXPOSED DUE TO EXCAVATION</t>
  </si>
  <si>
    <t>U. S. STEEL</t>
  </si>
  <si>
    <t>LINE WAS STRUCK BY A THIRD PARTY CONTRACTOR.</t>
  </si>
  <si>
    <t>ON 4/24/18, A CALL WAS RECEIVED FROM A THIRD PARTY CONTRACTOR THAT HAD STRUCK AND DAMAGED THE TRANSWESTERN 30" WEST TEXAS LATERAL LOOP PIPELINE. THE LINE SEGMENT WAS ISOLATED AND BLOWN DOWN. ON 4/25, THE CONTRACTOR WAS MOBILIZED FOR REPAIRS. ON 4/26, THE PERMANENT PIPE REPLACEMENT REPAIRS WERE COMPLETED AND THE PIPELINE WAS RETURNED TO SERVICE.     THE INITIAL NRC TELEPHONIC NOTIFICATION WAS MADE ON 4/24 - NRC#1210226, AND THE PHMSA AID WAS NOTIFIED.    THE 48 HOUR NRC NOTIFICATION WAS MADE ON 4/26 - NRC #1210409, AND THE PHMSA AID WAS NOTIFIED THAT THE LINE WAS RETURNED TO SERVICE.</t>
  </si>
  <si>
    <t>GALLUP</t>
  </si>
  <si>
    <t>MP 89</t>
  </si>
  <si>
    <t>NMBM154B</t>
  </si>
  <si>
    <t>SAN JUAN 36" LOOP</t>
  </si>
  <si>
    <t>CORINTH PIPEWORKS</t>
  </si>
  <si>
    <t>METALLURGICAL LAB ANALYSIS</t>
  </si>
  <si>
    <t>THE LEAK RATE WAS NON-DETECTABLE BY THE SCADA SYSTEM.</t>
  </si>
  <si>
    <t>CRACK IN A GIRTH WELD.</t>
  </si>
  <si>
    <t>2/16/18  12:18 GAS CONTROL RECEIVED NOTIFICATION FROM A LANDOWNER OF A POSSIBLE LEAK.  14:40 MCKINLEY COUNTY SHERIFF DEPARTMENT AND LANDOWNER WERE NOTIFIED OF BLOWDOWN. 16:21 THE AFFECTED LINE SEGMENT WAS ISOLATED AND BLOWN DOWN BETWEEN VALVE SECTIONS.  2/21/18  EXCAVATION OPERATIONS CONFIRMED LEAK SOURCE; CRACK IN GIRTH WELD. NRC TELEPHONIC NOTIFICATION MADE AT 17:02 NRC#1204895. PHMSA AID NOTIFIED.  2/23/18  48-HOUR UPDATE NRC NOTIFICATION MADE AT 11:24 NRC#1205058. PHMSA AID UPDATED.  3/1/18  REPAIRS COMPLETED, THE LINE WAS RETURNED TO SERVICE AT 12:00.  7/11/18  THIS SUPPLEMENTAL/FINAL REPORT UPDATES PART G APPARENT CAUSE. THE RESULTS OF THE METALLURGICAL ANALYSIS INDICATED THAT THE LEAK INITIATED AT A BOTTOM SIDE CRACK IN A GIRTH WELD.   PART D - 7.D COST FOR THE METALLURGICAL ANALYSIS WAS ALSO UPDATED.  7/16/18  THIS SUPPLEMENTAL/FINAL REPORT UPDATES THE PART A #4 - TO 2/16/18 AT 12:18.</t>
  </si>
  <si>
    <t>UNIT 1215 WAS SHUT DOWN DUE TO THE INCIDENT. FACILITY REMAINED ONLINE.</t>
  </si>
  <si>
    <t>VALVE PLUNGER BECAME UNSEATED AND RELEASED GAS THROUGH VENT PIPING.</t>
  </si>
  <si>
    <t>713.857.5479</t>
  </si>
  <si>
    <t>AT APPROXIMATELY 13:13 PM CST ON SUNDAY, NOVEMBER 5TH, 2017, THE AUTOMATIC BLOW DOWN (ABD) FOR UNIT 1215  OPENED WHILE THE UNIT WAS RUNNING. THE UNIT WAS STOPPED BY STATION PERSONNEL AT 13:39 PM CST.   ONCE THE VOLUME RELEASED WAS CONFIRMED, THE NRC WAS NOTIFIED (NRC# 1195292) AS WELL AS THE PHMSA AID.   THE 48 HR NRC NOTIFICATION WAS MADE ON 11/7/17, (NRC# 1195625).    THIS SUPPLEMENT HAS BEEN SUBMITTED TO CORRECT THE COORDINATES IN PART A, QUESTION #5.</t>
  </si>
  <si>
    <t>LOW FLOW CONDITIONS.</t>
  </si>
  <si>
    <t>6 O'CLOCK</t>
  </si>
  <si>
    <t>ON 11/5/17, A PRODUCER (FIELDWOOD) REPORTED BUBBLES FROM AN UNKNOWN SOURCE IN THE AREA. ON 11/6/17, SEA ROBIN PERSONNEL ARRIVED AND CLAIMED RESPONSIBILITY DUE TO THE PROXIMITY OF FACILITIES (NRC# 1195323). ON 11/8/17, THE 48 HOUR UPDATE WAS MADE TO THE NRC,(#1195759).    DAILY UPDATES WERE PROVIDED TO THE PHMSA AID, FROM 11/6/17 THROUGH THE RESTART OF THE LINE.    SUPPLEMENTAL REPORT SUBMITTED 11/30/17, CORRECTED PART A QUESTIONS - (4) AND (19A).</t>
  </si>
  <si>
    <t>RTJ RING</t>
  </si>
  <si>
    <t>FLANGE RTJ RING</t>
  </si>
  <si>
    <t>BREAK DOWN OF RTJ FLANGE GASKET DUE TO LIQUID ACCUMULATION.</t>
  </si>
  <si>
    <t>AN NRC NOTIFICATION (NRC# 1193740) WAS MADE BASED ON AN OFFSHORE LEAK NEAR OUR FACILITIES LOCATED IN SHIP SHOAL 241 ON 10/19/17. LINE WAS ISOLATED AND DEPRESSURIZED UNTIL REPAIRS COULD BE MADE. THE 48 HR NRC# 1193922 REPORT WAS MADE ON 10/21. OFFSHORE WEATHER CONDITIONS CAUSED A DELAY IN DETERMINING THE SOURCE OF THE LEAK AND THE REPAIRS.  A NEW NRC# 1194755 NOTIFICATION WAS MADE IDENTIFYING SEA ROBIN AS THE RESPONSIBLE PARTY ON 10/31, THE 48 HR NRC# 1194979 WAS MADE ON 11/02/17.   THE CENTRALIZED PHMSA ACCIDENT INVESTIGATION DIVISION WAS PROVIDED DAILY UPDATES FROM 10/19/17 THROUGH THE RESTART OF THE LINE ON 11/09/17.</t>
  </si>
  <si>
    <t>THIS SUPPLEMENTAL WAS CREATED TO FURTHER CLARIFY AND CORRECT THE ITEMS NOTED BELOW.    PART A   QUESTION 4. TIME CORRECTED.  QUESTION 5. COORDINATES WERE CORRECTED.  QUESTION 7. TIME CORRECTED.    PART B  QUESTION 19A. TIME CORRECTED.    PART C  QUESTION 3A. CLARIFIED THE NOMINAL PIPE SIZE TO 12".</t>
  </si>
  <si>
    <t>800 E. SONTERRA BLVD</t>
  </si>
  <si>
    <t>SAN ANTONIO</t>
  </si>
  <si>
    <t>PRODUCER PLATFORM PERSONNEL.</t>
  </si>
  <si>
    <t>PIN-HOLE LEAK AT THE 2 O'CLOCK POSITION.</t>
  </si>
  <si>
    <t>2 O'CLOCK POSITION.</t>
  </si>
  <si>
    <t>THE INITIAL UNKNOWN SOURCE NRC #1182216 NOTIFICATION WAS MADE AT 08:23 ON 06/25/17. THE CONFIRMATION OF THE LEAK ON SEA ROBIN NRC #1182760 WAS MADE AT 13:58 ON 06/30/17. RELATED UPDATES TO THE NRC INCLUDE THE FOLLOWING NRC #1182770 AT 15:05 ON 06/30/17, AND NRC #1182773 AT 15:31 ON 06/30/17. THE 48 HOUR UPDATE NOTIFICATION TO THE NRC OCCURRED AT 10:53 ON 07/02/17.  THE CENTRALIZED PHMSA ACCIDENT INVESTIGATION DIVISION WAS INITIALLY NOTIFIED ON 06/26/17, AND WAS PROVIDED DAILY UPDATES FROM 06/26/17 THROUGH THE RESTART OF THE LINE ON 07/03/17.    08/21/17 SUPPLEMENTAL/FINAL WAS CREATED TO CORRECT PART A, QUESTION 12; THE ORIGINAL/FINAL REPORT INCORRECTLY REPORTED GALLONS NOT BARRELS.</t>
  </si>
  <si>
    <t>U.S STEEL</t>
  </si>
  <si>
    <t>INCIDENT WAS DUE TO A SMALL PIN HOLE LEAK</t>
  </si>
  <si>
    <t>PIN HOLE LEAK</t>
  </si>
  <si>
    <t>HISTORICAL DATA</t>
  </si>
  <si>
    <t>PINHOLE AT THE 3:30 CLOCK POSITION</t>
  </si>
  <si>
    <t>AT APPROXIMATELY 10:40 AM ON 3/9/2017, AERIAL OBSERVATION REPORTED BUBBLES WITH A SLIGHT SILVER SHEEN IN THE AREA NEAR A SEA ROBIN PIPELINE IN THE SOUTH TIMBALIER 100 AREA. THE NRC WAS NOTIFIED (NRC #1172831), AT 11:03 AM ON 3/9/17 OF A POSSIBLE LEAK. WE WERE ABLE TO MAKE A SECOND FLIGHT ON 3/9/2017 AND OBSERVED BUBBLES WITH NO SHEEN AND BASED ON THE COORDINATES FOR THE LEAK, WE SHUT DOWN THE PIPELINE AT 11:30 AM ON 3/9/17.   A DIVE VESSEL WAS DISPATCHED ON 3/9/2017 AND WAS ABLE TO ASSESS THE LEAK ON 3/10/2017.  THE PIPELINE REMAINED SHUT IN UNTIL REPAIRS WERE COMPLETED.  SUPPLEMENT/FINAL SUBMITTED ON 09/08/17 CREATED TO CORRECT PART A, QUESTION 5; LATITUDE AND LONGITUDE, QUESTION 15B; FACILITY RESTART; PART D, QUESTION 7B COSTS; PART E, QUESTION 1;  CORRECTING THE PRESSURE WAS 753 PSIG NOT 780 PSIG, QUESTION 6D; ANSWER SHOULD HAVE BEEN NO.</t>
  </si>
  <si>
    <t>THE ONLY EQUIPMENT REMOVED TEMPORARILY FROM SERVICE WAS THE RELIEF VALVE.</t>
  </si>
  <si>
    <t>IN</t>
  </si>
  <si>
    <t>MONTEZUMA</t>
  </si>
  <si>
    <t>PARKE</t>
  </si>
  <si>
    <t>MONTEZUMA CS</t>
  </si>
  <si>
    <t>MONTEZUMA COMPRESSOR STATION</t>
  </si>
  <si>
    <t>1303AB</t>
  </si>
  <si>
    <t>NO INVESTIGATION WAS PERFORMED OTHER THAN CONFIRMING PROPER RESPONSE TO THE HI YARD NOISE STATUS ALARM WAS TAKEN, SINCE THE PRESSURE WAS WELL BELOW THE MAOP.</t>
  </si>
  <si>
    <t>A ROOT CAUSE COULD NOT BE DETERMINED. THE RELIEF VALVE WAS REMOVED, DISMANTLED, REBUILT AND RE-INSTALLED. THE SUPPLY GAS LINE WAS BLOWN TO REMOVE ANY POTENTIAL DEBRIS OR LIQUIDS. FITTINGS WERE REPLACED AND TIGHTENED AND THE VALVE WAS THEN RETURNED TO SERVICE WITH NO FURTHER ISSUES IDENTIFIED. THE ONLY INDICATIONS SUGGEST THAT THERE MAY HAVE BEEN A BLOCKAGE OF SOME SORT AND POTENTIAL FOR LEAKAGE FROM A FITTING OR FITTINGS.</t>
  </si>
  <si>
    <t>A ROOT CAUSE COULD NOT BE DETERMINED, SEE ABOVE.</t>
  </si>
  <si>
    <t>A HIGH NOISE ALARM WAS RECEIVED BY GAS CONTROL FROM THE MONTEZUMA COMPRESSOR STATION. GAS CONTROL CONTACTED THE ON-CALL STATION PERSONNEL. STATION PERSONNEL ARRIVED ON SITE AND VERIFIED THAT THE 1303 AB WAS RELEASING GAS AND WAS IMMEDIATELY ISOLATED BY CLOSING THE ISOLATION VALVE BELOW IT. THE RELIEF VALVE WAS REMOVED, DISMANTLED, REBUILT AND REINSTALLED. THE SUPPLY GAS LINE WAS BLOWN DOWN TO REMOVE ANY POTENTIAL DEBRIS OR LIQUIDS. FITTINGS WERE REPLACED AND TIGHTENED AND THE VALVE WAS THEN RETURNED TO SERVICE WITH NO FURTHER ISSUES IDENTIFIED. ONCE IT WAS  DETERMINED THAT ESTIMATES OF POTENTIAL GAS LOSS WERE GREATER THAN 3 MMCF, THE DIRECTOR OF REGULATORY COMPLIANCE WAS NOTIFIED TO MAKE A TELEPHONIC REPORT TO THE NATIONAL RESPONSE CENTER.     THIS SUPPLEMENTAL FINAL REPORT CORRECTED THE LAT/LONG COORDINATES IN PART A(5), AND FINAL UPDATES WERE MADE TO PART G(6).    SUPPLEMENTAL REPORT SUBMITTED 01/11/19 TO CORRECT TIMELINE OF EVENTS FOR A-4.</t>
  </si>
  <si>
    <t>JUNCTION</t>
  </si>
  <si>
    <t>KIMBLE</t>
  </si>
  <si>
    <t>MP 301.8</t>
  </si>
  <si>
    <t>JUNCTION COMPRESSOR STATION</t>
  </si>
  <si>
    <t>OASIS ACCOUNT 3952</t>
  </si>
  <si>
    <t>THE POWER SUPPLY ON THE STATION CONTROL BOARD FAILED, STATION SHUT DOWN. (BLOW DOWN OPENED AND THE SUCTION BLOCK VALVE FAILED TO CLOSE DUE TO THE PRESSURE DROP ACROSS THE VALVES AND HAD TO BE CLOSED MANUALLY.</t>
  </si>
  <si>
    <t>THE PROBLEM WAS WITH THE CONTROL BOARD AT THE STATION, AND DUE TO THE PRESSURE DROP, THE SUCTION VALVE WOULD NOT SET PROPERLY. SCADA NOTIFIED OPERATIONS OF THE INCIDENT AND OPERATIONS WAS ALREADY AT THE COMPRESSOR STATION BECAUSE IT IS MANNED 8 HOURS A DAY.</t>
  </si>
  <si>
    <t>FAULTY ELECTRICAL PANEL</t>
  </si>
  <si>
    <t>AT 6:30AM, JUNCTION COMPRESSOR STATION SHUTDOWN. AT 10:00AM I/E AND FIELD OPERATOR WENT TO TROUBLESHOOT WHY THE STATION SHUTDOWN. WHILE TROUBLESHOOTING THE ELECTRICAL PANEL, THE I/E FOUND A BAD POWER SUPPLY. WHEN I/E DISCONNECTED THE POWER SUPPLY, THE STATION BEGAN ITS VALVE SEQUENCE TO SHUT DOWN. (STATION WAS NOT RUNNING WHILE TROUBLESHOOTING, BUT WAS PRESSURED UP.) BLOW DOWNS OPENED ON THE COMPRESSOR STATIONS, DISCHARGE VALVE CLOSED, BUT THE SUCTION VALVE WOULD NOT FULLY CLOSE. THE FIELD OPERATOR CLOSED THE SUCTION VALVES ON BOTH COMPRESSORS MANUALLY AND ALLOWED COMPRESSOR STATION TO BLOW DOWN COMPLETELY. POWER SUPPLY WAS REPLACED AT 11:30AM. ALL SYSTEMS WERE RETESTED FOR RELIABILITY AND STATION WAS PUT BACK ONLINE AT 12:13PM.  THIS OCCURRED ON AN INTRASTATE GAS TRANSMISSION SYSTEM UNDER JURISDICTION OF THE TX RRC. (SYSTEM ID 230998)</t>
  </si>
  <si>
    <t>HARRIS</t>
  </si>
  <si>
    <t>455+24</t>
  </si>
  <si>
    <t>EAST TEXAS 12"</t>
  </si>
  <si>
    <t>ACCOUNT 3016</t>
  </si>
  <si>
    <t>REPUBLIC STEEL</t>
  </si>
  <si>
    <t>THE CAUSE OF THE INCIDENT WAS FROM A THIRD PARTY CONTRACTOR. THE CONTROLLERS ACTIONS WERE APPROPRIATE FOR THIS INCIDENT.</t>
  </si>
  <si>
    <t>LONE STAR</t>
  </si>
  <si>
    <t>FACILITY NOT MARKED DUE TO LOCATOR ERROR</t>
  </si>
  <si>
    <t>AT APPROXIMATELY 10:57 HOURS ON SEPTEMBER 14, 2016, ENERGY TRANSFER SUSTAINED A PIPELINE STRIKE FROM A THIRD PARTY CONTRACTOR CROSSING THE EASEMENT ON ITS EAST TEXAS 12" TRANSMISSION LINE, ACCOUNT #3016. (RRC SYSTEM ID: 530733). THIS EVENT OCCURRED IN A CLASS 1 LOCATION IN NORTHEAST HOUSTON IN HARRIS COUNTY NEAR THE INTERSECTION OF EAST LITTLE YORK ROAD AND PRIMROSE MARK LANE. THERE WERE NO FIRES OR INJURIES. NOTIFICATIONS WERE MADE TO THE NRC AND RRC AT APPROXIMATELY 1315 HOURS. THE LINE WAS ISOLATED, BLOWN DOWN, AND THE DAMAGED SECTION WAS REMOVED AND REPLACED. THE LINE WAS RETURNED TO SERVICE SEPTEMBER 15, 2016 AT APPROXIMATELY 0115 HOURS. THIS OCCURRED ON AN INTRASTATE GAS TRANSMISSION PIPELINE UNDER JURISDICTION OF THE TEXAS RAILROAD COMMISSION.</t>
  </si>
  <si>
    <t>KR04</t>
  </si>
  <si>
    <t>30" RESIDUE</t>
  </si>
  <si>
    <t>THE CONTROLLERS' ACTIONS WERE CONSISTENT WITH EMERGENCY SHUTDOWN PROCEDURES FOR THIS TYPE OF AN INCIDENT.'</t>
  </si>
  <si>
    <t>THE 30" RESIDUE LINE SUSTAINED COLLATERAL DAMAGE FROM AN ADJACENT NON-REGULATED GATHERING PIPELINE THAT EXPERIENCED A RELEASE AND FIRE.</t>
  </si>
  <si>
    <t>AT APPROXIMATELY 9:00 A.M. ON JULY 18TH, 2016, ETC OPERATIONS OBSERVED A FIRE EAST OF AND ADJACENT TO THE ETC KING RANCH GAS PLANT (KRGP).  THE LOCATION OF THE FIRE WAS WITHIN A FENCED PIPELINE TERMINAL FACILITY CONTAINING INCOMING GATHERING PIPELINES, SCRUBBERS, MEASUREMENT EQUIPMENT AND DEPARTING RESIDUE PIPELINES (TERMINAL). THIS TERMINAL CONTAINS SEVERAL ETC AND THIRD PARTY PIPELINE ASSETS. AT APPROXIMATELY 9:02 AM, ETC OPERATIONS INITIATED AN ESD AT THE PLANT. THE PLANT PERSONNEL WERE EVACUATED TO THEIR ESTABLISHED MUSTER POINT. AT 9:15 A.M., THE CORPORATE EMERGENCY NOTIFICATION MATRIX WAS INITIATED. DURING THE CALL, ETC GAS CONTROL VERIFIED VIA THE SCADA SYSTEM THAT THEY WERE MONITORING PRESSURE LOSSES ON SEVERAL ASSETS AT THE TERMINAL. NOTIFICATIONS WERE MADE TO THIRD PARTY PIPELINE ASSET OWNERS, LOCAL, STATE, AND FEDERAL AGENCIES. OPERATIONS MANAGEMENT DISPATCHED PERSONNEL TO SHUT IN ALL PIPELINE INLET &amp; OUTLETS TO THE PLANT AND ISOLATE THE TERMINAL AS WELL. OPERATIONS UTILIZED THE SCADA SYSTEM TO MONITOR AND VERIFY PIPELINE PRESSURES. ONCE THE REMOTE VALVES WERE CLOSED ON AFFECTED PIPELINES TO ISOLATE THE TERMINAL, OPERATIONS MONITORED THE LOCATION UNTIL THE FIRE SUBSIDED.      ON THE MORNING OF JULY 19TH, OPERATIONS AND OTHER COMPANY REPRESENTATIVES ACCESSED THE TERMINAL TO INITIATE OUR PRELIMINARY INVESTIGATION THAT IS STILL ONGOING.  ALTHOUGH THE INVESTIGATION IS ONGOING, IT APPEARS THAT THE FIRE ORIGINATED FROM AN ADJACENT GATHERING SYSTEM THAT EXPOSED THE REGULATED TRANSMISSION PIPELINE TO EXCESSIVE HEAT AND ULTIMATELY CAUSED IT TO FAIL.    SUPPLEMENTAL/FINAL DATED 12/7/2016  REVISED LATITUDE IN PART A TO REFLECT CORRECT COORDINANCE:  LATITUDE 27.46800000  LONG -98.04990000 TO REFLECT KLEBERG COUNTY TX.</t>
  </si>
  <si>
    <t>EDGERTON 100 LINE</t>
  </si>
  <si>
    <t>41-07-001-3000</t>
  </si>
  <si>
    <t>22IN DRESSER STYLE 38 COUPLING</t>
  </si>
  <si>
    <t>RUBBER COMPOUND GASKET</t>
  </si>
  <si>
    <t>LARGE VOLUME COUPLING LEAK</t>
  </si>
  <si>
    <t>GOOD WILL AND METALLURGICAL ANALYSIS</t>
  </si>
  <si>
    <t>COUPLING SLIP.</t>
  </si>
  <si>
    <t>ON DECEMBER 28, 2015, THE PANHANDLE EASTERN PIPE LINE COMPANY 22-INCH EDGERTON 100 LINE EXPERIENCED AN UNINTENTIONAL IN-SERVICE RELEASE.  THE APPROXIMATE LOCATION WAS 18736 SWITZER ROAD, IN DEFIANCE COUNTY, NEAR DEFIANCE OHIO.  THERE WERE NO INJURIES, LOCAL OPERATIONS CONFIRMED THAT 25 HOMES WERE EVACUATED WITH A TOTAL OF APPROXIMATELY 50 PEOPLE.    A ROOT CAUSE FAILURE ANALYSIS WAS PERFORMED TO DETERMINE THE CAUSE.    THIS SUPPLEMENTAL/FINAL REPORT UPDATES PART D - 7.D - ESTIMATED OTHER COSTS AND PART G - G6 - EQUIPMENT FAILURE,  BASED ON THE ROOT CAUSE FAILURE ANALYSIS.</t>
  </si>
  <si>
    <t>CLOSING BLOWDOWN VALVE DOES NOT REQUIRE PIPELINE SHUTDOWN.</t>
  </si>
  <si>
    <t>OASIS PIPELINE</t>
  </si>
  <si>
    <t>SYSTEM 3951</t>
  </si>
  <si>
    <t>DRAIN LINES</t>
  </si>
  <si>
    <t>OPERATOR ERROR</t>
  </si>
  <si>
    <t>ONLY FIELD EMPLOYEE INVOLVED</t>
  </si>
  <si>
    <t>EMPLOYEE THAT WORKS ON THE GATHERING SYSTEM INCORRECTLY IDENTIFIED VALVE SITE.</t>
  </si>
  <si>
    <t>BILL MEYER</t>
  </si>
  <si>
    <t>MANAGER INTRASTATE COMPLIANCE</t>
  </si>
  <si>
    <t>bill.meyer@energytransfer.com</t>
  </si>
  <si>
    <t>713-989-6460</t>
  </si>
  <si>
    <t>ETC/REGENCY FIELD SERVICE EMPLOYEE THOUGHT HE WAS BLOCKING THEIR GATHERING 12 IN. LINE AND BLOWING IT DOWN FOR REPAIRS BUT INSTEAD HE BLOCKED IN THE ETC/OASIS 36 IN. MAINLINE AT MLV-19 AND OPENED THE 10 IN. BLOWDOWN BY MISTAKE.  THIS OCCURRED IN AN INTRASTATE PIPELINE AND WAS REPORTED TO THE RAILROAD COMMISSION OF TEXAS, REPORT NUMBER 1275</t>
  </si>
  <si>
    <t>JONES &amp; LAUGHLIN</t>
  </si>
  <si>
    <t>UNITED STATES COAST GUARD</t>
  </si>
  <si>
    <t>AT APPROXIMATELY 9:30 AM ON 8/18/2015, GAS CONTROL RECEIVED A CALL FROM THE UNITED STATES COAST GUARD REPORTING SEEING BUBBLES IN THE AREA NEAR A SEA ROBIN PIPELINE IN THE SOUTH TIMBALIER 189 AREA. THE NRC WAS NOTIFIED (NRC # 1125967), AT 9:30 AM ON 8/18/15 OF A POSSIBLE LEAK. WE WERE ABLE TO MAKE A FLIGHT ON 8/18/15 AND BASED ON THE COORDINATES FOR THE LEAK, WE SHUT DOWN THE PIPELINE AT 10:30 AM ON 8/21/15. IT TOOK 2 DAYS TO GET THE DSV ON SITE DUE TO WEATHER. THE PIPELINE WAS REPAIRED AND RESTARTED AT 2:30 AM ON 9/1/2015.</t>
  </si>
  <si>
    <t>REGENCY INTRASTATE GAS LP</t>
  </si>
  <si>
    <t>SHREVEPORT</t>
  </si>
  <si>
    <t>BOSSIER</t>
  </si>
  <si>
    <t>SEC 2/MLV 2</t>
  </si>
  <si>
    <t>RT05 NORTH ELM GROVE 12"</t>
  </si>
  <si>
    <t>SWEPCO 12"</t>
  </si>
  <si>
    <t>DREDGED RIVER CROSSING</t>
  </si>
  <si>
    <t>RED RIVER CROSSING</t>
  </si>
  <si>
    <t>X52 API 5L</t>
  </si>
  <si>
    <t>TGF 2- CONCRETED</t>
  </si>
  <si>
    <t>DAMAGE CAUSED BY NATURAL FORCE/FLOODING. SYSTEM WAS OPERATING WELL WITHIN ITS ESTABLISHED PRESSURE LIMITS AND THE CONTROLLER WAS ONLY MONITORING, NOT CHANGING, SET POINTS.</t>
  </si>
  <si>
    <t>WASHOUTS/SCOURING</t>
  </si>
  <si>
    <t>EXTENSIVE HEAVY RAINS</t>
  </si>
  <si>
    <t>MANAGER- INTRASTATE COMPLIANCE</t>
  </si>
  <si>
    <t>DIRECTOR- REGULATORY COMPLIANCE</t>
  </si>
  <si>
    <t>ON 6/9/15 AT APPROXIMATELY 7:30PM, ENERGY TRANSFER'S GAS CONTROL RECEIVED A CALL FROM THE STALL POWER PLANT OPERATOR SAYING THAT THEIR PRESSURE WAS DROPPING. GAS CONTROL BEGAN POLLING LINE PRESSURES AND CALLED THE ENERGY TRANSFER FIELD OPERATOR. THE ENERGY TRANSFER FIELD OPERATOR FOUND THE LEAK AT APPROXIMATELY 8:05PM. THE LEAK WAS IN THE RED RIVER AND SEVERE FLOODING HAD BEEN OCCURRING. SEVERAL OF THE ROADS WERE CLOSED DUE TO THE FLOODING. THE LINE WAS ISOLATED AT APPROXIMATELY 9:10PM.    FINAL UPDATE: OCT. 16, 2015  PLANS ARE TO LEAVE DAMAGED SECTION OF PIPE IN PLACE TO MITIGATE ANY POSSIBLE EROSION TO RIVER BANK AND SUBSEQUENT LEVEE. ALSO TO BORE A NEW RIVER CROSSING AND TIE-IN EXISTING PIPELINE ON EITHER SIDE OF RIVER.  ALL PLANS ARE BEING COORDINATED WITH LDNR, ARMY CORPS OF ENGINEER AND PARISH LEVEE BOARDS.</t>
  </si>
  <si>
    <t>THE COMPRESSOR UNIT AFFECTED WAS NOT REQUIRED TO MAINTAIN THROUGHPUT VOLUMES.</t>
  </si>
  <si>
    <t>LAMONTE</t>
  </si>
  <si>
    <t>HOUSTONIA</t>
  </si>
  <si>
    <t>PANHANDLE EASTERN PIPELINE COMPANY</t>
  </si>
  <si>
    <t>HOUSTONIA COMPRESSOR STATION MER#1</t>
  </si>
  <si>
    <t>RELIEF VALVE WAS RELIEVING BELOW SETPOINT.</t>
  </si>
  <si>
    <t>RELIEF VALVE PILOT MALFUNCTION.</t>
  </si>
  <si>
    <t>DIRECTOR-INTERSTATE REGULATORY COMPLIANCE</t>
  </si>
  <si>
    <t>GAS CONTROL RECEIVED A CALL AT 3:52 (CST) FROM PETTIS COUNTY OF A NOISE AT THE HOUSTONIA STATION.  ON-CALL WAS NOTIFIED AND WENT TO THE STATION. WHEN THEY ARRIVED, THEY FOUND THE UNIT RELIEF VALVE ON E0812 WAS BLOWING AND THE UNIT RELIEF ON E0811 WAS OPENING INTERMITTENTLY.  PRESSURE WAS CHECKED AT THE SITE AND DETERMINED TO BE 870 PSIG, 30 PSIG BELOW MAOP. THE OPERATOR ADJUSTED THE RELIEF ON E0812 UNTIL IT STOPPED BLOWING. HE ATTEMPTED TO ADJUST THE RELIEF ON E0811, BUT HE HAD TO SHUTDOWN THE UNIT TO WORK ON THE DEVICE.  BASED ON THE SCADA TRACKED PRESSURE, NEITHER MAOP NOR OPP WERE EXCEEDED.    THIS SUPPLEMENTAL REPORT IS TO ACKNOWLEDGE THERE ARE NO FURTHER UPDATES AND IS BEING SUBMITTED AS A FINAL.</t>
  </si>
  <si>
    <t>TN</t>
  </si>
  <si>
    <t>DYERSBURG</t>
  </si>
  <si>
    <t>DYER</t>
  </si>
  <si>
    <t>DYERSBURG COMPRESSOR STATION</t>
  </si>
  <si>
    <t>UNIT 5701</t>
  </si>
  <si>
    <t>PIPE NIPPLE</t>
  </si>
  <si>
    <t>CARBON STEEL NIPPLE</t>
  </si>
  <si>
    <t>THERE WERE TWO SEPARATE RELEASES FROM THE SAME DEVICE RELATED TO THIS INCIDENT REPORT. LISTED BELOW ARE THE SPECIFICS FOR EACH RELEASE:    PART A.10 - THE ESTIMATED VOLUME RELEASED UNINTENTIONALLY FOR THE FIRST RELEASE WAS 4.3 MMCF. THE ESTIMATED VOLUME RELEASED UNINTENTIONALLY FOR THE SECOND RELEASE WAS 17.6 MMCF.  PART A.19.A - THE TIME THE OPERATOR IDENTIFIED THE FIRST RELEASE WAS 03:06. THE TIME THE OPERATOR IDENTIFIED THE SECOND RELEASE WAS 05:55.   PART A.19.B - THE TIME THE OPERATOR RESOURCES ARRIVED ON SITE FOR THE FIRST RELEASE WAS 03:40. THE TIME THE OPERATOR RESOURCES ARRIVED ON SITE FOR THE SECOND RELEASE WAS 06:20.   PART D.7.F - THE ESTIMATED COST OF THE GAS RELEASED FOR THE FIRST RELEASE WAS $14,061. THE ESTIMATED COST OF THE GAS RELEASED FOR THE SECOND RELEASE WAS $57,552.  PART E.1 - THE ESTIMATED PRESSURE AT THE POINT AND TIME OF THE INCIDENT FOR THE FIRST RELEASE WAS 858 PSIG. THE ESTIMATED PRESSURE AT THE POINT AND TIME OF THE INCIDENT FOR THE SECOND RELEASE WAS 822 PSIG.   PART G: APPARENT CAUSE:  FOR THE FIRST RELEASE - PART G.6 EQUIPMENT FAILURE SUB-CAUSE - WAS THE RELIEF VALVE SOLENOID FROZE.  FOR THE SECOND RELEASE - PART G.6.3 EQUIPMENT FAILURE SUB-CAUSE - WAS A PIPE NIPPLE FAILED.</t>
  </si>
  <si>
    <t>THE STATION WAS NOT RUNNING AT THE TIME OF THE ESD.</t>
  </si>
  <si>
    <t>CORONA</t>
  </si>
  <si>
    <t>CORONA STATION 8</t>
  </si>
  <si>
    <t>060MM198 STA9 TO STA8</t>
  </si>
  <si>
    <t>6" BALL VALVE OPENING UNINTENTIONAL</t>
  </si>
  <si>
    <t>EMERGENCY SHUTDOWN SYSTEM PILOT GAS SUPPLY LINE FROZE.</t>
  </si>
  <si>
    <t>SUB ZERO TEMPERATURES</t>
  </si>
  <si>
    <t>THE TW CORONA COMPRESSOR STATION 8 - SIX INCH DISCHARGE BLOWDOWN VALVE OPENED UNINTENTIONALLY AND BLEW GAS TO THE ATMOSPHERE. THE BLOW DOWN VALVE, SHAFER OPERATOR PILOT GAS LINE FROZE OFF, DUE TO SUB ZERO TEMPERATURES CAUSING A LOSS OF PILOT PRESSURE, WHICH HOLDS THE VALVE IN THE CLOSED POSITION.</t>
  </si>
  <si>
    <t>LEAK LOCATED AT THE 4 O'CLOCK POSITION</t>
  </si>
  <si>
    <t>THIS INCIDENT REPORT IS BEING SUBMITTED ON 01/14/15, DUE TO DATA INPUT ISSUES WITH THE PORTAL NOT ALLOWING COST INFORMATION TO BE ENTERED IN THE PART D 7. (A -F) SECTIONS OF THE REPORT FROM 01/10/15 - 01/14/15.    LISTED BELOW IS THE SUMMARY OF EVENTS:     12.14.14, OUR EMPLOYEES NOTED A SMALL SHEEN AND BUBBLES. GIVEN ITS PROXIMITY TO A PRODUCER SATELLITE FACILITY WE BELIEVED IT TO BE THEIR ISSUE, HOWEVER UPON HAVING THE COORDINATES PLOTTED OUT IT LOOKED TO BE ON OUR 26" LINE. WE STARTED THE PROCESS OF ISOLATING THE SEGMENT BETWEEN SMI 33 AND VR 149 WHILE WE SOURCED A DSV TO INVESTIGATE FOR US. WE SPOKE TO THE USCG THE PREVIOUS EVENING ABOUT THIS AND JUST UPDATED THEM, AS WELL AS NOTIFYING THE NRC.  12.15.14, OUR FLIGHT REPORTED THAT THE LEAK AND ASSOCIATED SHEEN WERE AS PREVIOUSLY REPORTED WITH NO APPRECIABLE CHANGE. WE CONTINUED TO DISCUSS OPTIONS WITH DSV PROVIDERS. PRESSURE MONITORING WAS ONGOING WITH LITTLE DEVIATION NOTED. THE USCG WAS UPDATED AS TO STATUS.  12.16.14, WE LOCATED A DSV. THE SHEEN WAS STILL PRESENT BUT ONLY 1/4 MILE LONG AND WAS ENCOUNTERING A CHANGING CURRENT AND CHOPPY SEAS. WE GAVE THE USCG THEIR DAILY UPDATE.  12.17.14, THE DSV MADE IT TO THE SITE. INITIAL REPORT WAS THAT THEY LOCATED THE LEAK SOURCE VIA PROBE WITH APPROXIMATELY 5 FEET OF COVER. THEY CONFIRMED THE PIPE SIZE AS OUR 26'. THERE WAS NO REPORTED CHANGE TO THE LEAK ITSELF AT THE TIME.  12.18.14, OVERNIGHT WE WERE ABLE TO LOWER THE LINE PRESSURE AND BEGAN REMOVING CONCRETE AND MASTIC IN THE EARLY HOURS. IT APPEARED AT THE TIME TO BE A PIN HOLE LEAK. DIVERS CONTINUED TO CLEAN UP THE AREA TO OBTAIN THE VARIOUS UT AND CP READINGS NEEDED.    12.19.14, WE COMPLETED ALL PREP WORK ON THE PIPELINE AND CONFIRMED THAT A LEAK CLAMP WOULD BE OUR REPAIR METHOD. DUE TO THE INCREASING SEAS AND THE RISK OF A VESSEL TO VESSEL TRANSFER OF THE CLAMP, THE DSV WENT TO DOCK TO PICK UP THE CLAMP AND EQUIPMENT.  12.21.14, THE CLAMP WAS INSTALLED AND ALL LEAK CHECKS WENT WELL. WE WERE UNABLE TO FLY TO ALLOW PRODUCERS BACK ON AND RETURN THE LINE TO NORMAL SERVICE DUE TO WEATHER.  12.22.14, WEATHER FINALLY CLEARED UP. WE MADE AN OVER FLIGHT TO THE SMI 33 FACILITY, SEEING NO SIGNS OF LEAKAGE WHILE IN ROUTE. THE SMI 33 FACILITY WAS THEN PLACED INTO NORMAL SERVICE. THE HELICOPTER MADE STOPS AT THE LOCKED PRODUCER FACILITIES AND PLACED THEM IN NORMAL OPERATIONS.</t>
  </si>
  <si>
    <t>NOT ON OMB-APPROVED FORM WHEN SUBMITTED</t>
  </si>
  <si>
    <t>NOTIFICATION FROM THIRD PARTY PERSONNEL ON A NEARBY PLATFORM</t>
  </si>
  <si>
    <t>AT APPROXIMATELY 16:30 PM ON 12/03/2014, GAS CONTROL RECEIVED A CALL FROM PRODUCER PLATFORM PERSONNEL AT ANKOR'S SMI 27JA PLATFORM REPORTING SEEING BUBBLES SOUTH OF THEIR FACILITY IN THE SMI 27 BLOCK. WEATHER PREVENTED PERSONNEL TO INVESTIGATE OVERNIGHT. THE NRC WAS NOTIFIED (NRC # 1102618), AT 11:30 AM ON 12/04 OF A POSSIBLE LEAK. WE WERE ABLE TO MAKE A FLIGHT ON 12/05 AND BASED ON THE COORDINATES FOR THE LEAK, WE SHUT DOWN THE PIPELINE AT 15:30 PM ON 12/05/14. THE PIPELINE WAS REPAIRED AND RESTARTED AT 21:30 PM ON 12/12/14.</t>
  </si>
  <si>
    <t>HEADER #2 WAS BYPASSED</t>
  </si>
  <si>
    <t>CLEBURNE</t>
  </si>
  <si>
    <t>CLEBURNE COMPLRESSOR STATION</t>
  </si>
  <si>
    <t>HEADER #2</t>
  </si>
  <si>
    <t>SOLENOID FAILED AND CONTROL VALVE FAILED OPEN</t>
  </si>
  <si>
    <t>FAILURE OF SOLENOID CAUSED CONTROL VALVE TO FAIL OPEN</t>
  </si>
  <si>
    <t>SOLENOID FAILURE</t>
  </si>
  <si>
    <t>713-989-1188</t>
  </si>
  <si>
    <t>ON NOVEMBER 1, 2014, AT APPROXIMATELY 5:14 AM, ENERGY TRANSFER COMPANY EXPERIENCED AN EQUIPMENT FAILURE AT THE CLEBURNE COMPRESSOR STATION ON THE HEADER #2 IN JOHNSON COUNTY NEAR CLEBURNE, TEXAS.  THE COMPRESSOR STATION IS PART OF AN INTRASTATE NATURAL GAS PIPELINE LOCATED IN A RURAL AREA (CLASS 1) UNDER THE JURISDICTION OF THE TEXAS RAILROAD COMMISSION.  THE INCIDENT WAS REPORTED TO THE TEXAS RAILROAD COMMISSION AND ALSO TO THE NRC UNDER ID# 1099919. THERE WERE NO FATALITIES, INJURIES, EVACUATIONS, ROAD CLOSURES, EXPLOSIONS, FIRE, MEDIA INTEREST, SPILLS OR ANY RESPONSE BY AN EMERGENCY OFFICIAL.  THE NEAREST STRUCTURE INTENDED FOR HUMAN OCCUPANCY IS 150 YARDS NORTH AND THE NEAREST PUBLIC ROAD IS WEST HWY 67 LOCATED 0.5 MILES NORTH OF THE INCIDENT SITE.     AT 5:14 AM ETC GAS CONTROL RECEIVED NOTIFICATION FROM AN AREA LAND OWNER THAT THE LAND OWNER COULD HEAR A "ROARING" NOISE AT THE CLEBURNE COMPRESSOR STATION.  THE ON-CALL ETC TECHNICIAN WAS NOTIFIED IMMEDIATELY THAT THE DISCHARGE PRESSURE HAD FALLEN SUDDENLY AT THE STATION.  UPON ARRIVAL, THE ETC TECHNICIAN FOUND A CONTROL VALVE HAD FAILED FULLY OPEN AND WAS RELEASING GAS FROM STATION HEADER #2.  ETC TECHNICIAN CLOSED THE VALVE MANUALLY AT 6:03 AM.       ETC TECHNICIAN FOUND THE SOLENOID FOR THE CONTROL VALVE HAD FAILED.  THE SOLENOID WAS REPLACED AND IN SERVICE AT 11:30 AM.  THE FAILED CONTROL VALVE RELEASED 12,231 MCF OF NATURAL GAS.  THE CALCULATIONS WERE CONFIRMED AT 10:01 AM AND THE EVENT WAS DETERMINED TO BE A REPORTABLE INCIDENT.</t>
  </si>
  <si>
    <t>CENTERVIEW</t>
  </si>
  <si>
    <t>JOHNSON COUNTY</t>
  </si>
  <si>
    <t>2339+26</t>
  </si>
  <si>
    <t>PANHANDLE EASTERN PIPE LINE COMPANY</t>
  </si>
  <si>
    <t>API-5L 3RD EDITION</t>
  </si>
  <si>
    <t>NATIONAL TUBE</t>
  </si>
  <si>
    <t>IN SERVICE RELEASE, THAT INITIATED BY PIPE MOVEMENT OUT OF THE MECHANICAL DRESSER COUPLINGS.</t>
  </si>
  <si>
    <t>UPDATES DUE TO METALLURGICAL ANALYSIS.</t>
  </si>
  <si>
    <t>THE PRESSURE AT THE TIME OF THE INCIDENT WAS BELOW MAOP.</t>
  </si>
  <si>
    <t>SEE PART H NARRATIVE FOR DETAILS.</t>
  </si>
  <si>
    <t>ON OCTOBER 13, 2014 AT APPROXIMATELY 10:09 AM CST, THE PANHANDLE EASTERN PIPE LINE COMPANY 22-INCH LOUISBURG 100 LINE EXPERIENCED AN IN-SERVICE RELEASE WHICH SUBSEQUENTLY IGNITED IN JOHNSON COUNTY, MO JUST WEST OF THE RURAL COMMUNITY OF CENTERVIEW. THERE WERE NO INJURIES; HOWEVER, THERE WAS ONE SELF-EVACUATION OF A RESIDENT CLOSEST TO THE SITE AS A PRECAUTIONARY MEASURE. THE RELEASE OCCURRED IN A RURAL AREA AND WITHIN A PASTURE. THE CLOSEST STRUCTURE INTENDED FOR HUMAN OCCUPANCY IS ABOUT 500 FEET NORTHWEST (LANDOWNER RESIDENCE). THIS STRUCTURE WAS UNDAMAGED; HOWEVER A BARN LOCATED APPROXIMATELY 221 FEET TO THE NORTHWEST HAD MINOR DAMAGE FROM FLYING DEBRIS. THE RELEASE APPEARED TO HAVE INITIATED BY PIPE MOVEMENT OUT OF THE MECHANICAL DRESSER COUPLINGS. THE PIPE SEGMENT INVOLVED DOES NOT CONTAIN AN HCA. THE PRESSURE AT THE TIME OF THE RELEASE WAS 441 PSIG AT THE LOUISBURG 105 GATE; THE MAOP OF THIS SEGMENT IS 475 PSIG. GAS CONTROL ALARMS ACCOMPANIED BY A COINCIDENT CALL FROM JOHNSON COUNTY 911 SET IN MOTION A RESPONSE BY LOCAL EMPLOYEES WHICH HAD THE AFFECTED SEGMENT ISOLATED ON THE UPSTREAM (105 GATE) AND DOWNSTREAM (106 GATE) SIDES BY APPROXIMATELY 11:25 AM. LOCAL LAW ENFORCEMENT AND FIRE FIGHTERS RESPONDED TO THE EVENT AND PERFORMED ADMIRABLY AS THEY SECURED THE INCIDENT SITE AND WORKED COOPERATIVELY WITH LOCAL PEPL EMPLOYEES.    THIS SUPPLEMENTAL REPORT UPDATES THE PART G APPARENT CAUSE BASED ON THE ROOT CAUSE ANALYSIS.   THE DIRECT CAUSE OF THIS INCIDENT SHOULD BE CATEGORIZED AS A CONSTRUCTION FAILURE. THE PIPE WAS CONSTRUCTED IN 1931 WITH AN OVER BEND AT THE COUPLING THAT EXCEEDED THE COUPLING MANUFACTURER DEFLECTION RECOMMENDATIONS. THE PIPE DISENGAGED AT THE COUPLING DUE TO THAT DEFLECTION EXCEEDANCE COMBINED WITH AN UPWARD COMPONENT FORCE DUE TO INTERNAL PRESSURE. ALSO A CONTRIBUTING FACTOR WAS INADEQUATE RESISTIVE FORCES ON THE PIPE AS A RESULT OF CHANGES IN SOIL PROPERTIES DUE TO WATER SATURATION.     ADDITIONAL UPDATES WERE MADE TO PART C, 3; PART D - COSTS 7B, AND 7D; PART E 2A; AND PART G - CAUSE.    THE SUPPLEMENTAL/FINAL REPORT DATED 10/20/16, UPDATES WERE MADE TO THE FOLLOWING SECTIONS: PART A - (4) AND (7); PART B (11) - DEPTH-OF-COVER; PART C - (3)H COATING TYPE.    THE SUPPLEMENTAL/FINAL REPORT DATED 10/27/16, UPDATES WERE MADE TO THE FOLLOWING SECTIONS: PART A - (4) AND PART C - (3)H COATING TYPE.</t>
  </si>
  <si>
    <t>NEAR CHICO</t>
  </si>
  <si>
    <t>WISE</t>
  </si>
  <si>
    <t>19+99</t>
  </si>
  <si>
    <t>WISE JACK COUNTY EXTENSION</t>
  </si>
  <si>
    <t>CHICO 8"</t>
  </si>
  <si>
    <t>STUPP CRPORATION</t>
  </si>
  <si>
    <t>NO CONNECTINS FOR LUANCHERS / RECEIVERSE</t>
  </si>
  <si>
    <t>OPERATIONS PERSONNEL AT TARGA PLANT CONTACT ETC GAS CONTROL</t>
  </si>
  <si>
    <t>LOCALIZED CORROSION</t>
  </si>
  <si>
    <t>ON OCTOBER 6, 2014, AT APPROXIMATELY 4:58 PM ENERGY TRANSFER COMPANY (ETC) CONFIRMED A RELEASE ON THE WISE JACK COUNTY EXTENSION, 8" IN WISE COUNTY, NEAR CHICO, TEXAS.  THE PIPELINE IS AN INTRASTATE NATURAL GAS TRANSMISSION PIPELINE LOCATED IN A RURAL AREA (CLASS 1), UNDER THE JURISDICTION OF THE TEXAS RAILROAD COMMISSION (SYSTEM ID# 630262).  THE INCIDENT WAS REPORTED TO THE TRRC AND ALSO TO THE NRC UNDER ID: 1097551.  THERE WERE NO FATALITIES, INJURIES, EVACUATIONS, ROAD CLOSURES, EXPLOSIONS, FIRE, MEDIA INTEREST, SPILLS OR ANY RESPONSE BY AN EMERGENCY OFFICIAL.  THE NEAREST STRUCTURE INTENDED FOR HUMAN OCCUPANCY IS 0.25 MILES FROM THE INCIDENT SITE.    AT 3:31 PM, ETC GAS CONTROL RECEIVED NOTIFICATION FROM A TARGA- CHICO PLANT EMPLOYEE THAT THERE WAS A POSSIBLE LINE RUPTURE SOUTH OF THEIR FACILITY.  PRESSURE INDICATED A LEAK AND UPSTREAM TARGA AUTOMATIC VALVE WAS CLOSED AT 3:40 PM.  AT 4:22 PM, ETC BVS15 WAS CLOSED DOWNSTREAM.  THIS ISOLATED THE SITE OF THE POSSIBLE RUPTURE TO ALLOW FURTHER EVALUATION.  AT 4:58 PM, ETC EMPLOYEES ARRIVED ON SCENE OF THE RUPTURE AND CONFIRMED THAT THE LEAK WAS ON THE CHICO 8" PIPELINE AND WAS DEPRESSURIZED. THE SCENE WAS SECURED UNTIL REPAIRS COULD BE MADE.    THE PIPELINE WAS REPAIRED BY REPLACING THE SECTION OF PIPE THAT WAS AFFECTED AND PLACED BACK IN SERVICE ON 10/9/14 AT 10:50 AM.    UPDATE: 02/02/2015:  ALL DAMAGES WERE LIMITED TO LOSS OF GAS AND PIPE REPLACEMENT. ESTIMATED COST NOTED DURING INITIAL REPORT REMAIN ACCURATE.</t>
  </si>
  <si>
    <t>ELWOOD</t>
  </si>
  <si>
    <t>MADISON</t>
  </si>
  <si>
    <t>1602+39</t>
  </si>
  <si>
    <t>ZIONSVILLE 100</t>
  </si>
  <si>
    <t>ZIONSVILLE 100 BTW 103 &amp; 105 GATE VALVE</t>
  </si>
  <si>
    <t>FARM TAP RISER</t>
  </si>
  <si>
    <t>VEHICLE ACCIDENT INVOLVING FARM TAP RESULTING IN RELEASE AND FIRE.</t>
  </si>
  <si>
    <t>RETURN TO SERVICE.</t>
  </si>
  <si>
    <t>A THIRD PARTY VECHICLE STRUCK AN ABOVE GROUND FACILITY.</t>
  </si>
  <si>
    <t>THIS SUPPLEMENTAL REPORT DATED 01/13/15, IS TO UPDATE THIS NARRATIVE SECTION PER A REQUEST BY THE PHMSA CENTRAL REGION.    A VEHICLE ACCIDENT AFFECTING A FARM TAP RESULTING IN A RELEASE AND SUBSEQUENT FIRE WAS REPORTED BY MADISON CO SHERIFF'S OFFICE TO PEPL GAS CONTROL AT 12:47PM EDT ON 9/23/2014.  THE LIST BELOW IDENTIFIES THE ACTIONS FOLLOWING INITIAL NOTIFICATION IN CHRONOLOGICAL ORDER. NO INJURIES WERE REPORTED AS A RESULT OF THE INCIDENT. PROPERTY DAMAGE CONSISTED OF THE THIRD-PARTY VEHICLE (ESTIMATED AT $3,200) AND OPERATOR PROPERTY DAMAGE AND REPAIRS OF $5,525.     12:45 AM EDT:  LOCAL RESIDENT CONTACTED MADISON COUNTY 911 CALL CENTER REPORTING "BLOWING GAS AND FIRE"  12:46 AM EDT:  MADISON COUNTY SHERIFF DISPATCHED THE FOLLOWING AGENCIES/EMERGENCY RESPONDERS                           O  PIKE CREEK FIRE DEPT., MADISON CO. SHERIFF, ELWOOD AMBULANCE, MADISON CO. EMA, FRANKTON POLICE, AND ELWOOD POLICE  12:47 AM EDT: MADISON CO. SHERIFF CONTACTED PANHANDLE EASTERN (PEPL) GAS CONTROL  12:50 AM EDT: PEPL GAS CONTROL NOTIFIED AREA TECHNICIAN (ON-CALL/STAND-BY) OF EVENT AND PROVIDED THE SITE ADDRESS AND MADISON CO. SHERIFFS CONTACT NUMBER  1:00 AM EDT: POLICE &amp; FIRE DEPT. SHUT DOWN N CR900 W FROM NORTH AND SOUTH ACCESS ROADS.  1:26 AM EDT: SMALL FIELD FIRE WAS REPORTED BY FIRE DEPT. ON SITE.    2:02 AM EDT: PEPL PERSONNEL ARRIVED AT EVENT SITE AND CONFIRMED AFFECTED FACILITIES TO BE A FARM TAP ON THE ZIONSVILLE 100 MAINLINE.  2:08 AM EDT: SMALL FIELD FIRE PREVIOUSLY REPORTED BURNT ITSELF OUT ACCORDING TO PIKE CREEK FIRE DEPT.  2:25 AM EDT: ALL PEPL PERSONNEL IN-PLACE TO BEGIN BLOW-DOWN SEQUENCE  2:40 AM EDT: NOBLESVILLE M&amp;R STATION; VERIFIED R-2 VALVE OPEN, CLOSED R-1 VALVE.  2:45 AM EDT: ELWOOD M&amp;R STATION; VERIFIED R-2 VALVE OPEN, CLOSED R-1 VALVE.  2:47 AM EDT: ZIONSVILLE 103 GATE - PEPL PERSONNEL ON-SITE MONITORING PRESSURES; VERIFIED 103-L CLOSED.  3:00 AM EDT: ZIONSVILLE 105 GATE - PEPL PERSONNEL ON-SITE MONITORING PRESSURES; OPEN VALVE 205-SE, OPEN VALVE 205-E, OPEN VALVE 105-E,   VALVE 105-W VERIFIED CLOSED, CLOSED GATE VALVE 105.  3:13 AM EDT: ZIONSVILLE 103 GATE - PEPL PERSONNEL ON-SITE MONITORING PRESSURES; CLOSED GATE VALVE 103.  3:15 AM EDT: ANDERSON LATERAL TAKE-OFF; VERIFIED R-2 VALVE OPEN, CLOSED R-1 VALVE.  3:43 AM EDT: TIPTON LATERAL TAKE-OFF; VERIFIED R-2 VALVE OPEN, CLOSED R-1 VALVE.  3:45 AM EDT: ZIONSVILLE 105 GATE-PEPL PERSONNEL ON-SITE MONITORING PRESSURES; OPEN VALVE 105-UB AND BEGAN BLOW-DOWN FROM 578 PSIG. 4:00 AM EDT: FIRE AT ACCIDENT SITE WAS EXTINGUISHED.  5:00 AM EDT: AFFECTED SECTION OF ZIONSVILLE 100 MAINLINE WAS COMPLETELY BLOWN-DOWN (0 PSIG).  6:24 AM EDT: AFFECTED RESIDENTS RETURNED HOME.  6:30 AM EDT: VEHICLE THAT STRUCK FARM TAP WAS REMOVED FROM SCENE AND THE ROAD WAS RE-OPENED.</t>
  </si>
  <si>
    <t>PORT ST. JOHN</t>
  </si>
  <si>
    <t>BREVARD</t>
  </si>
  <si>
    <t>FLBQA - 8" OUC LATERAL</t>
  </si>
  <si>
    <t>VALVE SECTION 18-41E</t>
  </si>
  <si>
    <t>LONESTAR</t>
  </si>
  <si>
    <t>RETURN TO SERVICE COSTS.</t>
  </si>
  <si>
    <t>THE PRESSURE DID NOT EXCEED MAOP.</t>
  </si>
  <si>
    <t>SKELP</t>
  </si>
  <si>
    <t>THE 8" DIAMETER FLBQA-8 RUPTURED AT MP 30.7 AT ABOUT 6:00AM EST ON MAY 17, 2014. THE MAOP OF THE SEGMENT IS 975 PSIG, THE ESTIMATED PRESSURE AT THE TIME OF THE FAILURE WAS 938 PSIG. THERE WAS NO IGNITION OF THE ESCAPING GAS. NO INJURIES OR PROPERTY DAMAGE OCCURED. THE SEGMENT CONTAINING THE FAILURE WAS ISOLATED AND BLOWN FLAT. FOLLOWING THE FAILURE, FGT PERSONNEL SHUT IN AND ISOLATED THE SEGMENT BY CLOSING THE UPSTREAM LATERAL BLOCK VALVE, THE DOWNSTREAM LATERAL BLOCK VALVE AND FOUR CROSSOVER VALVES. THERE WERE NO INTERRUPTIONS TO CUSTOMERS BEING SERVED IN THIS AREA DUE TO PARALLEL PIPELINES.    THE SUPPLEMENTAL REPORT SUBMITTED ON 07/17/14, CORRECTED THE LONGITUDE LOCATION ENTRY, CORRECTED THE HEADQUARTER ADDRESS, UPDATED THE PART D: 7(D) ESTIMATED OTHER COSTS, AND UPDATED THE PART G5: CAUSE, BASED ON THE METALLURGICAL ANALYSIS REPORT.      THE SUPPLEMENTAL/FINAL INCLUDES THE UPDATES BASED ON THE RETURN TO SERVICE PLAN.</t>
  </si>
  <si>
    <t>NEDERLAND</t>
  </si>
  <si>
    <t>JEFFERSON</t>
  </si>
  <si>
    <t>MLV #1</t>
  </si>
  <si>
    <t>TEXOMA, 30" PIG RECEIVER</t>
  </si>
  <si>
    <t>ACCOUNT 3080</t>
  </si>
  <si>
    <t>TEMPORARY PIPING</t>
  </si>
  <si>
    <t>TEMPORARY PIPING FOR PIGGING</t>
  </si>
  <si>
    <t>MECHANICAL FITTING</t>
  </si>
  <si>
    <t>ENVIRONMENTAL CLEANUP</t>
  </si>
  <si>
    <t>DUE TO THE NATURE OF INCIDENT, THE ONGOING INVESTIGATION DOES NOT INCLUDE ANY CONTROL ROOM ISSUES</t>
  </si>
  <si>
    <t>WRONG EQUIPMENT SPECIFIED OR INSTALLED</t>
  </si>
  <si>
    <t>CONTRACTOR FAILED TO FOLLOW DESIGN BY INSTALLING INFERIOR FITTINGS, TO TEMPORARY PIPING, DURING DEWATERING PROCESS.</t>
  </si>
  <si>
    <t>OTHER MAINTENANCE</t>
  </si>
  <si>
    <t>DIRECTOR OF REGULATORY COMPLIANCE</t>
  </si>
  <si>
    <t>AT APPROXIMATELY 11:35 AM ON 5/7/2014, DURING AN INTEGRITY ASSESSMENT ON THE ENERGY TRANSFER ACCT: 3080 TEXOMA 30" PIPELINE, A TEMPORARY FILTER VESSEL WAS INSTALLED TO FILTER PIPELINE PIGGING PARTICULATES.  AN UNEXPECTED GAS RELEASE, FROM ONE OF ITS INTERCONNECTING PIPING SEGMENTS, RESULTED IN THIS INCIDENT.  THE ROOT CAUSE OF THIS INCIDENT IS STILL UNDER INVESTIGATION.  DAMAGES ATTRIBUTED TO THIS INCIDENT ARE PRIMARILY ASSOCIATED WITH ENVIRONMENTAL CLEANUP. EVACUATION WAS LIMITED TO FACILITY PERSONNEL ONLY, DURING INITIAL RELEASE.  THIS PIPELINE IS IDENTIFIED AS SYSTEM ID: 530737, TEXOMA 30" (SUNOCO-HWY 69), WITHIN THE TRRC'S DATABASE AND WAS REPORTED RESPECTFULLY.    UPDATE DEC. 22, 2014:  A ROOT CAUSE ANALYSIS OF THE TEXOMA 3080 INCIDENT WAS COMPLETED AND DETERMINED THAT THE TEMPORARY PIPING, PROVIDED BY THIRD PARTY VENDOR, DID NOT MEET SPECIFICATIONS FOR INTENDED WORK.      THE RESULTING CAUSE OF THE INCIDENT WAS THE FAILURE OF THE SERIES  4170 WEBSTONE 4' 600 WOG BRASS BALL VALVES INSTALLED IN THE AUXILIARY PIPING SYSTEM.  ALTHOUGH THE CASTING OF THE VALVE BODY IDENTIFIES THE VALVE IS RATED FOR 600 PSI WOG SMALL PRINT IN THE VALVE LITERATURE STATES THAT 4" SERIES 4170 WEBSTONE VALVES ARE ONLY RATED AT 400 PSI WOG.</t>
  </si>
  <si>
    <t>61953-7586</t>
  </si>
  <si>
    <t>TUSCOLA STA.</t>
  </si>
  <si>
    <t>TUSCOLA COMPRESSOR STSTION</t>
  </si>
  <si>
    <t>ESD/RELIEF AUTOMATIC BLOWDOWN</t>
  </si>
  <si>
    <t>ORIFICE IN VALVE FROZE OFF, LETTING THE DOME PRESSURE BLEED OFF AND THE VALVE TO OPEN.</t>
  </si>
  <si>
    <t>THE CAUSE WAS SUB ZERO TEMPERATURE WEATHER RELATED.</t>
  </si>
  <si>
    <t>THIS SUPPLEMENTAL FINAL REPORT IS SUBMITTED TO CORRECT THE PART A 5. LOCATION OF INCIDENT: LATITUDE TO 39.7897 AND THE LONGITUDE TO -88.3581.</t>
  </si>
  <si>
    <t>HUGHESVILLE</t>
  </si>
  <si>
    <t>250+21</t>
  </si>
  <si>
    <t>HOUSTONIA 400 LINE</t>
  </si>
  <si>
    <t>METALLURGICAL ANALYSIS.</t>
  </si>
  <si>
    <t>PIPELINE MAOP WAS NOT EXCEEDED.</t>
  </si>
  <si>
    <t>THIS SUPPLEMENTAL/FINAL REPORT DATED 05/09/14, IS BEING SUBMITTED TO PROVIDE UPDATES TO PART D.7D, THE COSTS FOR THE METALLURGICAL ANALYSIS.      ON 11/28/13 AT 11:57 P.M. THE PANHANDLE EASTERN PIPE LINE COMPANY 30-INCH HOUSTONIA 400 LINE EXPERIENCED AND IN-SERVICE RELEASE WHICH SUBSEQUENTLY IGNITED IN PETTIS COUNTY, MISSOURI JUST NORTH OF THE RURAL COMMUNITY OF HUGHESVILLE.  THERE WERE NO INJURIES; HOWEVER, THERE WERE EVACUATIONS OF LOCAL RESIDENTS AS A PRECAUTIONARY MEASURE.  THE RELEASE OCCURRED IN A RURAL AREA AND WITHIN A CULTIVATED FIELD. THE PIPE   SEGMENT INVOLVED DOES NOT CONTAIN AN HCA.  THE INCIDENT WAS INITIALLY REPORTED BY A PEPL COMPANY EMPLOYEE WHO WAS AT A RESIDENCE IN CLOSE PROXIMITY TO THE SITE AND HE CALLED THE OPERATIONS MANAGER FOR THE LOCATION.  THE PRESSURE LOSS WAS ALSO ALARMED IN THE GAS CONTROL CENTER.  THE PRESSURE AT THE TIME OF THE RELEASE WAS 894 PSIG AT THE HOUSTONIA COMPRESSOR STATION; THE MAOP OF THIS SEGMENT IS  900 PSIG.  THE REPORT BY THE PEPL COMPANY EMPLOYEE AND GAS CONTROL ALARMS SET IN MOTION A RESPONSE BY LOCAL EMPLOYEES WHICH HAD THE AFFECTED SEGMENT ISOLATED ON THE UPSTREAM AND DOWNSTREAM SIDES BY 1:25 A.M.  LOCAL LAW ENFORCEMENT AND FIRE FIGHTERS RESPONDED TO THE EVENT AND ASSISTED WITH EVACUATIONS, SECURING THE INCIDENT SITE, AND CONTROLLING GROUND FIRES.</t>
  </si>
  <si>
    <t>14+81</t>
  </si>
  <si>
    <t>BRYSON LATERALS</t>
  </si>
  <si>
    <t>SIMPSON HEIRS LATERAL 8"</t>
  </si>
  <si>
    <t>PERVIN &amp; GERTZ</t>
  </si>
  <si>
    <t>ON AUGUST 19, 2013, AT APPROXIMATELY 5:05 AM ENERGY TRANSFER COMPANY (ETC) EXPERIENCED  RUPTURE ON THE SIMPSON HEIRS 8" LATERAL IN THE BRYSON UNDERGROUND STORAGE FACILITY IN JACK COUNTY, NEAR BRYSON, TEXAS.  THE PIPELINE IS AN INTRASTATE NATURAL GAS TRANSMISSION PIPELINE LOCATED IN A RURAL (CLASS 1) AREA, UNDER THE JURISDICTION OF THE TEXAS RAILROAD COMMISSION (SYSTEM ID # 960834).  THE INCIDENT WAS REPORTED TO THE TRRC UNDER INCIDENT ID: 844 AND ALSO TO THE NRC UNDER ID: 1057525.  THERE WERE NO FATALITIES, INJURIES, EVACUATIONS, ROAD CLOSURES, EXPLOSIONS, FIRE, MEDIA INTEREST, SPILLS OR ANY RESPONSE BY AN EMERGENCY OFFICIAL.  THERE WERE NO BUILDINGS INTENDED FOR HUMAN OCCUPANCY WITHIN 1/2 MILE.       AT 4:31 AM, AN AREA LANDOWNER, CONTACTED AN ETC EMPLOYEE AND ADVISED THAT HE HEARD GAS BLOWING IN THE AREA OF THE BRYSON STORAGE FACILITY.    AT 4:37 AM A SECOND AREA LANDOWNER, CONTACTED AN ETC EMPLOYEE AND ADVISED THAT HE HEARD GAS BLOWING IN THE AREA OF CEMENT MOUNTAIN ROAD.  AT 4:40 AM, ETC GAS CONTROL WAS CONTACTED, AND ADVISED THERE WAS AN ISSUE AT THE BRYSON COMPRESSOR STATION AND ASKED TO STOP INJECTING, SHUT THE ENGINES DOWN, ISOLATE STATION VALVES &amp; WAIT FOR A CALL BACK.  OPERATIONS PERSONNEL RESPONDED ON SCENE AT 5:05 AM AND THE RUPTURE WAS CONFIRMED TO BE ON THE SIMPSON HEIRS 8" LATERAL AND WAS ISOLATED AND DEPRESSURIZED AT 5:08 AM.      THE PIPELINE WAS REPAIRED BY REPLACING A SECTION OF LINE PIPE AND WAS MADE READY FOR SERVICE ON 8/23/13 AT 3:30 PM.    FINAL UPDATE: NOV. 26, 2013  ALL PERMANENT REPAIRS WERE COMPLETED AND THE LINE WAS BROUGHT BACK IN SERVICE ON OCT. 23, 2013.  THE LINE WAS MADE PIGGABLE BY REPLACING PIPE SIZES TO BE SAME.  ALL DAMAGES WERE LIMITED TO GAS LOSS AND PIPE REPAIRS. ESTIMATED COST NOTED ON INITIAL REPORT REMAIN ACCURATE.</t>
  </si>
  <si>
    <t>FRANKLINTON</t>
  </si>
  <si>
    <t>27+55 - 27+93</t>
  </si>
  <si>
    <t>LAMEB</t>
  </si>
  <si>
    <t>BUCOTE</t>
  </si>
  <si>
    <t>DIRECTOR INTERSTATE REGULATORY COMPLIANCE</t>
  </si>
  <si>
    <t>THIS SUPPLEMENTAL/FINAL REPORT IS BEING SUBMITTED TO PROVIDE UPDATES TO PART A, QUESTION 15(B).</t>
  </si>
  <si>
    <t>TAMPA</t>
  </si>
  <si>
    <t>3551+05</t>
  </si>
  <si>
    <t>ST. PETE LATERAL</t>
  </si>
  <si>
    <t>REPUBLIC</t>
  </si>
  <si>
    <t>NOT MANDATED</t>
  </si>
  <si>
    <t>THE LEAK WAS TOO SMALL TO DETECT WITH SCADA DATA.</t>
  </si>
  <si>
    <t>LIGHTNING STRIKE OCCURED FROM A THIRD PARTY GROUNDING ROD.</t>
  </si>
  <si>
    <t>AFTER DISCUSSIONS WITH THE PHMSA SOUTHERN REGION, THIS SUPPLEMENTAL FINAL REPORT IS SUBMITTED TO CHANGE THE CAUSE FROM   G8 - OTHER INCIDENT CAUSE, TO G2 - OTHER NATURAL FORCE DAMAGE.    THIS IS AN INTERACTING FAILURE. THERE WERE TWO CAUSES. LIGHTNING STRIKE ON A THIRD PARTY GROUNDING ROD.    A LEAK OCCURRED ON WEDNESDAY MAY 29, 2013 ON THE ST. PETE LATERAL BETWEEN MLV 24-70 AND MLV 24-8. AFTER THE LEAK WAS IDENTIFIED, THIS SECTION OF PIPE WAS ISOLATED AND BLOWNDOWN. THE AFFECTED PIPE HAD A 7.5' SECTION CUT-OUT AND REPLACED ON JUNE 1, 2013.</t>
  </si>
  <si>
    <t>MELBOURNE</t>
  </si>
  <si>
    <t>1613+22</t>
  </si>
  <si>
    <t>FLMEA-18</t>
  </si>
  <si>
    <t>VALVE SECTION 18-3</t>
  </si>
  <si>
    <t>HOOK CRACK, HARD SPOT, LOW TOUGHNESS</t>
  </si>
  <si>
    <t>THIS SUPPLEMENTAL/FINAL BEING SUBMITTED, IS TO UPDATE THE INFORMATION IN SECTION G5 - CAUSE.</t>
  </si>
  <si>
    <t>PALM BEACH COUNTY</t>
  </si>
  <si>
    <t>3156+59</t>
  </si>
  <si>
    <t>FLMEA-21</t>
  </si>
  <si>
    <t>18" VALVE SECTION 20-3</t>
  </si>
  <si>
    <t>ROAD FEATURE AND BEND STRESSES</t>
  </si>
  <si>
    <t>NO ABNORMAL OPERATING CONDITIONS EXISTED.</t>
  </si>
  <si>
    <t>CIRCUMFERENTIAL  SCC DUE TO ROAD FEATURE AND BEND STRESSES</t>
  </si>
  <si>
    <t>THIS SUPPLEMENTAL/FINAL HAS UPDATED THE SECTION G4 - CAUSE.    DURING A LEAK SURVEY A POSSIBLE LEAK WAS SUSPECTED ON 12/12/2012. AFTER INVESTIGATING, A LEAK WAS CONFIRMED AT 9:38 AM ON 12/13/2012.    NOTE THE REASON THERE ARE REPETITIVE (09:38, 12/13/12) DATE ENTRY FOR SECTIONS : A (15.A), A (19.A), A (19.B) IS BECAUSE THE PORTAL DOES NOT ALLOW A DATE PRIOR TO THE "DATE OF THE INCIDENT" TO BE ENTERED.     LISTED BELOW ARE THE ACTUAL TIMES AND DATES FOR THESE SECTIONS MENTIONED ABOVE:  A (15.A)  LOCAL TIME AND DATE OF SHUTDOWN (17:15, 12/12/12)  A (19.A)  LOCAL TIME OPERATOR IDENTIFIED POTENTIAL INCIDENT (11:30, 12/12/12)  A (19.B)  LOCAL TIME OPERATOR RESOURCES ARRIVED ON SITE (12:00, 12/12/12)</t>
  </si>
  <si>
    <t>API 5L GRADE B</t>
  </si>
  <si>
    <t>PRODUCER PLATFORM EMPLOYEE IDENTIFIED LEAK.</t>
  </si>
  <si>
    <t>DUE TO THE LOCATION AND KIND OF FAILURE IT APPEARS TO BE CAUSED BY AN INTERNAL DEFECT. CONTROLLERS ACTIONS HAVE NO EFFECT ON THIS EVENT.</t>
  </si>
  <si>
    <t>PIN-HOLE LEAK AT THE 6 O'CLOCK POSITION.</t>
  </si>
  <si>
    <t>LOW FLOW ON DEAD-END LATERAL.</t>
  </si>
  <si>
    <t>DEAD-END LEG OF SUB-SEA LATERAL</t>
  </si>
  <si>
    <t>** THE REASON FOR THIS SUPPLEMENTAL REPORT IS TO CORRECT THE LAT. AND  LONG. COORDINANTS PREVIOUSLY SUBMITTED IN THE ORIGINAL/FINAL REPORT.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</si>
  <si>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PORT LAVACA</t>
  </si>
  <si>
    <t>CALHOUN</t>
  </si>
  <si>
    <t>174.75/2-4</t>
  </si>
  <si>
    <t>FGT 20"/TXMWA-2</t>
  </si>
  <si>
    <t>2-4-AA / TXMWA-2-4</t>
  </si>
  <si>
    <t>SMALL LEAK DISCOVERED BY PATROL DURING ROUTINE FLIGHT. LEAK CONFIRMED BY AREA PERSONNEL.</t>
  </si>
  <si>
    <t>281-714-2231</t>
  </si>
  <si>
    <t>281-714-2176</t>
  </si>
  <si>
    <t>MONDAY SPETEMBER 24TH, 2012 DURING  A ROUTINE AERIAL PATROL, THE PILOT IDENTIFIED AN AREA OF DEAD VEGITATION WITH A SMALL HOLE IN THE GROUND ON THE ROW UPSTREAM OF THE PORT LAVACA STATION. AREA PERSONNEL WERE DISPATCHED TO THE LOCATION, AND CONFIRMATION WAS MADE THAT THE FGT 20" MAINLINE DID HAVE A LEAK.    AREA PERSONNEL ISOLATED THE PIPELINE SECTION AND NOTIFICATIONS WERE MADE. PLANS WERE DEVELOPED TO INVESTIGATE AND REPAIR THE PIPELINE.    A SECTION OF PIPE WAS REPLACED AND THE PIPELINE SECTION PLACE BACK IN SERVICE SEPTEMBER 28TH, 2012.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</si>
  <si>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5051 WESTHEIMER ROAD</t>
  </si>
  <si>
    <t>PATTERSON</t>
  </si>
  <si>
    <t>ST. MARY</t>
  </si>
  <si>
    <t>VALVE STATION</t>
  </si>
  <si>
    <t>PATTERSON COMPRESSOR STATION</t>
  </si>
  <si>
    <t>PATTERSON STA. #314</t>
  </si>
  <si>
    <t>THE PATTERSON COMPRESSOR STATION EXPERIENCED AN EMERGENCY SHUT DOWN (ESD). DURING THE ESD, A  SMALL AMOUNT OF TURBINE OIL WAS RELEASED TO THE ATMOSPHERE. THE TURBINE OIL SETTLED ON PRIVATE PROPERTY  TO THE NORTH WEST OF THE PATTERSON COMPRESSOR STATION. SOME OF THIS TURBINE OIL SETTLED ON US HIGHWAY  90 AND IMPACTED SEVERAL VEHICLES THAT WERE ON THE HIGHWAY. SEVERAL HOMES NORTH OF US HIGHWAY 90  WERE ALSO IMPACTED BY THE TURBINE OIL.</t>
  </si>
  <si>
    <t>INCIDENT HAPPENED WHILE FIELD PERSONNEL WERE CONDUCTING AN OPERATIONAL TASK AT THE LOCATION. CONTROLLERS WERE NOT INVOLVED.</t>
  </si>
  <si>
    <t>IN PREPARATION FOR A NATURAL GAS PIPELINE PIG RUN, A STATION TURBINE WAS BROUGHT ONLINE TO ACCOMMODATE  FLOW AND PRESSURE NEEDS ASSOCIATED WITH THE PIGGING OPERATION. UPON BRINGING THE TURBINE ONLINE, HIGHER  PRESSURE WAS SENSED ON ONE SIDE OF THE STATION QUICK VENT STAND. THE PRESSURE WAS SENSED RAPIDLY AND  COULD NOT EQUALIZE BEFORE AN AUTOMATED ESD OCCURRED. THE ESD SYSTEM IS DESIGNED TO ACTIVATE UPON  SENSING SUCH A PRESSURE DIFFERENTIAL, THEREFORE THE ESD SYSTEM FUNCTIONED AS DESIGNED.</t>
  </si>
  <si>
    <t>AT THE TIME OF THE ESD, NATURAL GAS VENTED, AND TURBINE OIL ACCUMULATED IN THE PIPING DISCHARGED INTO THE AIR. BECAUSE AUTOMATED ESD RELEASES RESULT IN THE RAPID RELEASE OF PRESSURIZED NATURAL GAS, THE TURBINE OIL BECAME ATOMIZED AND TRAVELED OFFSITE SETTLING TO THE NORTH AND WEST OF THE FACILITY ALONG US HIGHWAY 90 AND LA HIGHWAY 182. DURING THE MIGRATION OFFSITE, THE TURBINE OIL IMPACTED VEHICLES TRAVELING ON US HIGHWAY 90 RESULTING IN VEHICLES PULLING OFF OF THE HIGHWAY ONTO THE HIGHWAY SHOULDER. AS A RESULT, ONE COLLISION OCCURRED. THE ST. MARY PARISH SHERRIFF?S DEPARTMENT AND THE LSP WERE PRESENT ON SCENE SHORTLY AFTER. TGC?S SPILL RESPONSE CONTRACTOR WAS CONTACTED AT APPROXIMATELY 8:53 A.M. ON 3/6/12 FOR INCIDENT IMPACT ASSESSMENT AND RESPONSE ASSISTANCE. SUBSEQUENT TO THE INCIDENT, TWO PRIVATE CITIZENS NOTIFIED TGC THEY SOUGHT MEDICAL ATTENTION AT NEARBY HOSPITALS. THEY WERE RELEASED SHORTLY AFTER TREATMENT. INCIDENT DID NOT MEET THE TYPICAL CRITERIA FOR REPORTING. REPORTING WAS INITIATED, SINCE TGC CONSIDERED THIS A "SIGNIFICANT EVENT".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</si>
  <si>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PRIDE</t>
  </si>
  <si>
    <t>EAST BATON ROUGE</t>
  </si>
  <si>
    <t>319+21</t>
  </si>
  <si>
    <t>LAMEB-8</t>
  </si>
  <si>
    <t>Aug-00</t>
  </si>
  <si>
    <t>BUCOTE - BUTADIENE STYRENE COATING SYSTEM</t>
  </si>
  <si>
    <t>THE PROMPT ACTION BY THE CONTROLLERS INDICATED THAT FATIGUE WAS NOT AN ISSUE.</t>
  </si>
  <si>
    <t>ON 2/13/2012 AT 2:30 A.M. FGT GAS CONTROL CONTACTED THE ZACHARY STATION ON-CALL EMPLOYEE THAT ONE OF THE STATION'S COMPRESSOR ENGINES WENT OFFLINE. WHILE GAS CONTROL WAS STILL CONVERSING WITH THE ON-CALL EMPLOYEE, 2 MORE COMPRESSORS WENT OFFLINE AND A PRESSURE DROP WAS NOTED. ONE OF THE FGT STATION EMPLOYEES THAT LIVES IN THE VICINITY NOTIFIED GAS CONTROL AT 2:33 A.M. THAT HE HEARD A LOUD NOISE IN THE GENERAL AREA OF THE PIPELINE AND THAT HE WAS RESPONDING. INTERNAL COMPANY NOTIFICATIONS WERE MADE AND RESPONSE WAS INITIATED. THE ZACHARY STATION OPERATIONS MANAGER CONFIRMED THE LINE RUPTURE UPON ARRIVING AT THE PEAIRS ROAD LOCATION. THE PRIDE VOLUNTEER FIRE DEPARTMENT, EAST BATON ROUGE FIRE DEPARTMENT, EAST BATON ROUGE SHERRIFF'S DEPARTMENT AND THE LOUISIANA STATE POLICE WERE ALREADY ONSITE WHEN THE FGT OPERATIONS MANAGER ARRIVED. SHORTLY AFTER ARRIVAL VERBAL AGENCY NOTIFICATIONS WERE MADE TO LSP/LDEQ SPOC HOTLINE. SUBSEQUENT DISCUSSIONS WITH SERGEANT WILLIAM HUNTER OF THE LOUISIANA STATE POLICE ON 2/14/2012, REVEALED THAT NO MANDATORY EVACUATIONS OR OFFICIAL ROAD CLOSURES HAD BEEN INITIATED. DUE TO THE RUPTURE, THE LINE PRESSURE DROP INITIATED THE CLOSURE OF AUTOMATIC VALVE MLV8-1A. THE VALVE CLOSURE STOPPED THE HIGH-PRESSURE GAS LOSS. HOWEVER, BEFORE INITIATION OF REPAIRS ADDITIONAL MEASURES WERE EMPLOYED TO INSURE 0% GAS AT THE LOCATION. PHMSA REQUESTED THAT FGT ADD THE YEAR OF THE LAST TEST POINT SURVEY TO THIS REPORT, ALTHOUGH THE NEAREST TEST POINT WAS NOT CLOSE TO THE POINT OF THE INCIDENT. ALSO ADDED THAT A METALURGICAL REPORT CONFIRMED EXTERNAL CORROSION.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</si>
  <si>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AZ</t>
  </si>
  <si>
    <t>SELIGMAN</t>
  </si>
  <si>
    <t>YAVAPAI</t>
  </si>
  <si>
    <t>MP 52.31</t>
  </si>
  <si>
    <t>TW 30 INCH MAINLINE BETWEEN STATION 1 AND STATION2</t>
  </si>
  <si>
    <t>AZMM121</t>
  </si>
  <si>
    <t>A PINHOLE LEAK WAS DISCOVERED DURING EXCAVATION TO REPAIR AN ANAMOLY.</t>
  </si>
  <si>
    <t>ON NOVEMBER 10, 2011 VERIFICATION DIGS WERE CONDUCTED ON TRANSWESTERN'S (LINE NUMBER AZMM121) 30' PIPELINE AS A RESULT OF AN ILI RUN THAT WAS PERFORMED MAY 12, 2011.   THE PIPELINE PRESSURE WAS LOWERED TO 80% OF THE OPERATING PRESSURE PER TRANSWESTERN'S SOP I.11 AND A 40' JOINT OF PIPE WAS EXPOSED IN THE LOCATION SHOWN ON THE ILI DIG SHEET.  THE COATING WAS REMOVED FROM THE PIPE AND CORROSION WAS FOUND IN THE LOCATION AS IDENTIFIED ON THE ILI REPORT.   THE SURFACE OF THE PIPE WAS SANDBLASTED TO REMOVE THE REMAINING COATING AND THE CORROSION TECHNICIAN BEGAN INSPECTING THE CORRODED AREA TO VERIFY THE ACCURACY OF THE ILI REPORT.   THE DEEPEST PIT FOUND IN AN AREA OF GENERAL CORROSION (7.6' LONG X 10.5' WIDE) MEASURED 48% DEEP WITH A LENGTH AND WIDTH OF 0.625'.  AFTER ALL THE CORROSION MEASUREMENTS WERE COMPLETED WET MAGNETIC PARTICLE INSPECTION WAS CONDUCTED TO LOOK FOR ANY SIGNS OF SCC CRACKS, THERE WERE NO VISIBLE SIGNS OF SCC.  ONCE THE WET MAGNETIC PARTICLE TESTING WAS COMPLETED THE PIPE SURFACE WAS RE-BLASTED TO REMOVE THE WET MAGNETIC PARTICLE MEDIUM AND WHITE CONTRAST PAINT OFF THE PIPE.    ONCE THE SANDBLASTING WAS COMPLETED THE CORROSION TECHNICIAN WENT BACK DOWN INTO THE DITCH TO INSPECT THE SURFACE OF THE PIPE FOR COATING REPAIR.  WHILE IN THE DITCH THE TECHNICIAN HEARD A LEAK AND IMMEDIATELY NOTIFIED GAS CONTROL AND OPERATIONS MANAGEMENT OF A LEAK (15.43).  THE PIPELINE WAS IMMEDIATELY ISOLATED (APPROXIMATELY 16.2 MILES OF PIPELINE) FROM MAINLINE VALVES 2010 AND 2011.  AT 16.32 OPERATIONS BEGAN BLOWING DOWN THE PIPELINE.  BLOW DOWN WAS COMPLETED AT 21.07 WITH LESS THAN 5PSI LINE PRESSURE IN THE PIPELINE.   THE BELL HOLE WAS CHECKED FOR GAS WITH A GAS DETECTOR AND NO GAS WAS DETECTED IN THE DITCH.  A FULL ENCIRCLEMENT PRESSURE CONTAINING SLEEVE WAS INSTALLED OVER THE PINHOLE LEAK AND THE PIPELINE WAS RETURNED TO SERVICE ON NOVEMBER 12 AT 18.23  GE PII (MANUFACTURE AND OPERATOR OF THE ILI TOOL) DID A DETAILED ANALYSIS OF THE REPORTED 48% WALL LOSS PIT THAT LEAKED AND CONCLUDED THAT THE DIMENSIONS OF THE PIT WERE BEYOND THE CAPABILITIES OF THE MAGNETIC TOOL TO PROPERLY SIZE THE PINHOLE LEAK.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</si>
  <si>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BARTOW</t>
  </si>
  <si>
    <t>POLK</t>
  </si>
  <si>
    <t>00+48</t>
  </si>
  <si>
    <t>BARTOW MEASURING STATION</t>
  </si>
  <si>
    <t>RELIEF VALVE VENTING</t>
  </si>
  <si>
    <t>THE CLEANING OPERATION WAS BEING CONDUCTED BY FIELD OPERATIONS PERSONNEL</t>
  </si>
  <si>
    <t>UNABLE TO CONFIRM LOCATION OF TRACKING PIG IN TIME TO SHUT IN INLET VALVE TO METER STATION</t>
  </si>
  <si>
    <t>IN PREPARATION OF A MAINTENANCE PROJECT TO CLEAN A SEGMENT OF THE 12' SARASOTA LATERAL, DIESEL FUEL WAS INTRODUCED INTO THE PIPELINE AT THE LAUNCHER SITE TO SERVE AS A CARRIER TO PICK UP ANY SOLIDS IN THE LINE.  THE CUSTOMERS TAP LOCATED APPROXIMATELY 20 MI DOWNSTREAM OF THE LAUNCHER SITE WAS  OPENED SERVING THE CUSTOMERS LOAD.  THE PROJECT PLAN CALLED FOR CLOSING THE CUSTOMERS TAP VALVE BEFORE THE COLUMN OF DIESEL REACHED THE TAP THEN REOPENING THE TAP VALVE ONCE THE PIG PUSHING THE DIESEL COLUMN PAST THE CUSTOMERS TAP.  ARRANGEMENTS HAD BEEN MADE TO SUPPLY THE CUSTOMERS LOAD WITH AN ALTERNATE DELIVERY (GULFSTREAM) AS A BACK UP TO FGT SO AS NOT TO IMPACT THE CUSTOMERS LOAD REQUIREMENTS DURING THE PROJECT.  THE PIG WAS EQUIPPED WITH A TRANSMITTER AND TRACKED ALONG THE PIPELINE VIA ELECTRONIC TRACKING EQUIPMENT AND GEO PHONES.  PERSONNEL TRACKING THE PIG WERE UNABLE TO DETECT THE PIG WHEN IT REACHED A POINT THAT WAS ESTABLISHED FOR COMMUNICATING TO PERSONNEL AT CUSTOMERS TAP VALVE TO CLOSE THE VALVE AND A PORTION OF THE DIESEL IN THE GAS STREAM ENTERED THE METER AND REGULATOR STATION THAT CAUSED THE RELIEF VALVE TO BRIEFLY ACTIVATE, VENTING DIESEL ENTRAINED GAS THROUGH THE RELIEF VALVE. THE DIESEL MIST CARRIED SOME DISTANCE AWAY AND EVENTUALLY SETTLED ON SEVERAL NEARBY PROPERTIES AND VEHICLES RESULTING IN A CLEANUP REQUIREMENT.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</si>
  <si>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FRESHWATER CITY</t>
  </si>
  <si>
    <t>VERMILION</t>
  </si>
  <si>
    <t>20+29</t>
  </si>
  <si>
    <t>210A-2400</t>
  </si>
  <si>
    <t>ROW NO. 3628</t>
  </si>
  <si>
    <t>THE LEAK WAS SMALL ENOUGH TO NOT IDETIFIABLE BY THE CONTROLLER FROM THE DATA PROVIDED BY SCADA</t>
  </si>
  <si>
    <t>PINHOLE LEAK AT 6 O'CLOCK POSITION</t>
  </si>
  <si>
    <t>LOW FLOW ON A DEAD-END LATERAL</t>
  </si>
  <si>
    <t>THIS PIPELINE LEAK WAS REPORTED TO TGC GAS CONTROL CENTER AT 1506 HRS. BY A LOCAL OILFIELD OPERATOR WORKING FOR AN UNIDENTIFIED PRODUCER IN THE  AREA.  THIS OPERATOR WAS WORKING FROM A FLOAT PLANE AND FLEW OVER THE LEAK LOCATION.      GAS CONTROL CONTACTED THE LOCAL OPERATIONS PERSONNEL WHO DISPATCHED A HELICOPTER TO THE LOCATION TO VERIFY THE REPORT.  UPON ARRIVAL THE LOCAL PERSONNEL  CONFIRMED THE LEAK AND WAS ABLE TO LAND NEAR THE DOWNSTREAM VALVE SETTING AND CLOSE THE ISOLATION VALVE.  ONCE ADDITIONAL PERSONNEL ARRIVED ON LOCATION THE HELICOPTER WAS DISPATCHED OFFSHORE TO VR 26B AND THE UPSTREAM ISOLATION VALVE CLOSED AND THE PIPELINE WAS SHUT IN AT 1701 HRS. AND PRESSURIZATION PROCESS COMMENCED.     DURING THE DEPRESSURIZATION PROCESS THE PIPELINE BEGAN TO LEAK CONDENSATE.  TGC PERSONNEL IMMEDIATELY DISPATCHED AN LOCAL OSRO TO THE LOCATION TO ISOLATE THE RELEASE AND BEGIN CLEAN-UP OPERATIONS.    ONCE THE RELEASE WAS CONTAINED PIPELINE REPAIR RESOURCES WERE MOBILIZED AND AN ATTEMPT WAS MADE TO EXCAVATE THE PIPELINE. BECAUSE OF THE DEPTH OF THE PIPE AND THE UNSTABLE SOIL CONDITIONS THE DECISION WAS MADE TO BRING IN A GEOTECHNICAL ENGINEERING CONTRACTOR TO PERFORM SOIL ANALYSIS AND PROVIDE AN EXCAVATION SHORING SYSTEM TO MEET OSHA REGULATIONS.  THE INVESTIGATION AND REPAIR OPERATION ARE ON HOLD UNTIL THE SHORING SYSTEM IS AVAILABLE AND CAN BE INSTALLED TO ALLOW SAFE ENTRANCE INTO THE EXCAVATION.    THIS LINE WAS ABANDONED FOLLOWING THE INVESTIGATION INTO REPAIRING THE PIPELINE. THE COST AND DIFFICULTY OF REPAIR WERE THE ATTRIBUTING FACTORS FOR THE DECISION.</t>
  </si>
  <si>
    <t>LOWEN 1-10/35-03-034-08</t>
  </si>
  <si>
    <t>5L</t>
  </si>
  <si>
    <t>TEX-TUBE</t>
  </si>
  <si>
    <t>FIELD APPLIED EPOXY</t>
  </si>
  <si>
    <t>AT 8:07 AM ON MAY 29, 2011, PANHANDLE EASTERN PIPE LINE COMPANY RECEIVED A CALL FROM A RETIRED EMPLOYEE REPORTING BLOWING GAS AT THE BORCHERS STORAGE FIELD.  A PEPL EMPLOYEE WAS AT THE FIELD AND ISOLATED THE AFFECTED LINE SEGMENT WITHIN 23 MINUTES.  VISUAL OBSERVATION OF THE FAILED PIPE SEGMENT INDICATES INTERNAL WALL LOSS DUE TO CORROSION FOR 5 FEET IN THE VICINITY OF THE FRACTURE IMMEDIATELY DOWNSTREAM OF A 4" TO 6" REDUCER, IN A LOW POINT OF THE PIPE.  LABORATORY ANALYSIS OF THE FAILED PIPE SEGMENT CONCLUDED THAT THE INTERNAL CORROSION WAS LIKELY THE RESULT OF AQUEOUS CORROSION CAUSED BY WATER AND OTHER CONTAMINANTS IN THE PRODUCT STREAM. IT IS ALSO LIKELY THAT UNDER DEPOSIT CORROSION CREATED THE LOCAL ENVIRONMENT THAT RESULTED IN THE CORROSION OBSERVED. THE CORROSION DEPOSITS WERE NOT CONSISTENT WITH MICROBIOLOGICAL-ASSISTED CORROSION, AND THE CORROSION WAS NOT ASSOCIATED WITH THE ERW SEAM.    **THIS REPORT IS BEING SUBMITTED IN RESPONSE TO PHMSA'S REQUEST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REPORT HAS NO FURTHER UPDATES AND IS BEING SUBMITTED AS A FINAL.</t>
  </si>
  <si>
    <t>MANCHESTER</t>
  </si>
  <si>
    <t>SCOTT</t>
  </si>
  <si>
    <t>1666+17</t>
  </si>
  <si>
    <t>PLEASANT HILL 200</t>
  </si>
  <si>
    <t>41-05-002-2000</t>
  </si>
  <si>
    <t>COUPLING</t>
  </si>
  <si>
    <t>PIPE PULLED OUT OF THE COUPLING</t>
  </si>
  <si>
    <t>OTHER COST IS FAILURE ANALYSIS ESTIMATE</t>
  </si>
  <si>
    <t>LESSONS LEARNED REGARDING STAFFING, ALARM MANAGEMENT AND LABELING.</t>
  </si>
  <si>
    <t>FLOTATION</t>
  </si>
  <si>
    <t>THE PLEASANT HILL 200 LINE IS 22-IN. OD X 0.281-IN. WT, API 5L GRADE X42, SEAMLESS PIPELINE. THE CAUSE OF THE COUPLING SEPARATION AT MP 31.5 WAS THE COMBINED EFFECT OF LOCAL LOSS OF SOIL COVER IN CONJUNCTION WITH RECENT HIGH RAINFALL. THE MONTH PRECEDING THE INCIDENT EXPERIENCED HISTORICALLY HIGH QUANTITIES OF RAINFALL. THE RESULTING WATER TABLE WAS HIGH ENOUGH TO PRODUCE UPWARD BUOYANT FORCES ON THE PIPE, WHILE THE PROBABLE SATURATION OF THE SOIL COVER REDUCED ITS BREAKOUT RESISTANCE. THE COMBINATION OF BUOYANT FORCES AND UPWARD THRUST FORCES PRODUCED BY AN APPARENT SMALL ANGULAR MISALIGNMENT AT THE SEPARATED COUPLING EXCEEDED THE UPTHRUST RESISTANCE OF THE SOIL.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</si>
  <si>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42 LONGWATER DRIVE PO BOX 9149</t>
  </si>
  <si>
    <t>NORWELL</t>
  </si>
  <si>
    <t>MA</t>
  </si>
  <si>
    <t>BUCKVILLE</t>
  </si>
  <si>
    <t>LAFAYETTE</t>
  </si>
  <si>
    <t>MADISON LATERAL CROSSOVER</t>
  </si>
  <si>
    <t>FLBJM</t>
  </si>
  <si>
    <t>COST TO PROVIDE ALTERNATE GAS SERVICE TO THE TOWN OF MADISON DURING THE OUTAGE.</t>
  </si>
  <si>
    <t>ILI TOOLS ARE NOT AVAILAVLE FOR THIS SMALL DIAMETER</t>
  </si>
  <si>
    <t>CONTROLLER WAS NOT INVOLVED IN THE DETECTION OR RESPONSE TO THE INCIDENT</t>
  </si>
  <si>
    <t>EXCAVATION DAMAGE BY OPERATOR (FIRST PARTY)</t>
  </si>
  <si>
    <t>BACKHOE/TRACKHOE</t>
  </si>
  <si>
    <t>SUNSHINE STATE ONE-CALL</t>
  </si>
  <si>
    <t>EXCAVATION ISSUE</t>
  </si>
  <si>
    <t>EXCAVATOR FAILED TO MAINTAIN CLEARANCE AFTER VERIFYING MARKS</t>
  </si>
  <si>
    <t>EMPLOYEE WAS EXCAVATING TO INSTALL AN ISOLATION CAP FOR HYDROSTATIC TESTING. FAILURE WAS A 4 INCH LONG BY 1/8 INCH WIDE CRACK. PIPE VINTAGE OF 1965 BASED UPON PIPE OTHER PIPE PURCHASED FOR THE PROJECT.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</si>
  <si>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5444 WESTHEIMER ROAD</t>
  </si>
  <si>
    <t>MS</t>
  </si>
  <si>
    <t>39470-6006</t>
  </si>
  <si>
    <t>POPLARVILLE</t>
  </si>
  <si>
    <t>PEARL RIVER</t>
  </si>
  <si>
    <t>MILEPOST 88.6</t>
  </si>
  <si>
    <t>100 LINE</t>
  </si>
  <si>
    <t>LAMEA-9</t>
  </si>
  <si>
    <t>API 5LX 52</t>
  </si>
  <si>
    <t>LEAK WAS DISCOVERED BY EMPLOYEE IN THE FIELD (BUBBLES IN A POOL OF WATER). VOLUME LOSS WAS SO SMALL AS TO NOT BE DETECTABLE BY SCADA.</t>
  </si>
  <si>
    <t>UNKNOWN UNTIL LABORATORY ANALYSIS IS COMEPLETE</t>
  </si>
  <si>
    <t>OPERATOR EMPLOYEES WERE CONDUCTING WORK IN THE AREA OF THE LEAK. EMPLOYEES WERE AROUND THIS LOCATION AT 6:00 PM THAT DAY AND DID NOT NOTICE ANY ISSUES. WHEN THEY RETURNED AT 10:30 PM THEY FOUND BUBBLES IN STANDING WATER OVER THE LINE IN THE VICINITY OF A CROSSOVER VALVE. EXCAVATION AND EXAMINATION REVEALED THAT GAS WAS ESCAPING BETWEEN THE PIPE AND THE REINFORCING SLEEVE FOR THE CROSSOVER TAP AT ABOUT THE 2 O'CLOCK POSITION. WHEN THE SECTION WAS REMOVED A CRACK WAS FOUND IN THE MAINLINE PIPE IN THE VICINITY OF THE TAP FILET WELD.     LABORATORY FINDINGS  ' THE FAILURE INITIATED AT AN IMPERFECTION AT THE TOE   OF THE FILLET WELD THAT CONNECTED THE BRANCH TO THE   PIPELINE  ' UNDERCUT AND OTHER IMPERFECTIONS WERE   OBSERVED AT THE TOE OF THE WELD REMOTE FROM THE   FAILURE  ' THE FRACTURE INITIATED AT A TOE CRACK AND FAILED AS   A RESULT OF AN OVERLOAD DUE TO OUTSIDE FORCES  ' HARDNESS WAS LOW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</si>
  <si>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RICHLAND</t>
  </si>
  <si>
    <t>172+85</t>
  </si>
  <si>
    <t>100-2; VS 63</t>
  </si>
  <si>
    <t>POLLOCK 100-2</t>
  </si>
  <si>
    <t>HOT TAP EQUIPMENT</t>
  </si>
  <si>
    <t>FAILURE OF THE TAPPING MACHINE</t>
  </si>
  <si>
    <t>INCIDENT OCCURED DURING A HOT TAPPING OPERATION &amp; A PERSON AT THE SITE MADE THE NOTIFICATION</t>
  </si>
  <si>
    <t>FAILURE OF THE TAPPING MACHINE DURING THE TAPPING OPERATION</t>
  </si>
  <si>
    <t>PART FAILED</t>
  </si>
  <si>
    <t>DURING THE SETTING OF THE PIG BAR ASSEMBLY FOR THE TAP, THE TAPPING MACHINE EXPERIENCED A FAILURE RESULTING IN A RELEASE OF NATURAL GAS. BECAUSE OF THE VOLUME OF GAS BEING RELEASED, IT WAS DECIDED THAT NO ATTEMPT TO CLOSE THE TAP VALVE SHOULD BE MADE. GATE VALVE 63 AND GATE VALVE 64 WERE CLOSED ISOLATING THE SEGMENT AND THE SEGMENT WAS BLOWN DOWN.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</si>
  <si>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3312+92</t>
  </si>
  <si>
    <t>OASIS / PRAIRIE LEA TO KATY</t>
  </si>
  <si>
    <t>ACCOUNT 3900</t>
  </si>
  <si>
    <t>MANNESMANN</t>
  </si>
  <si>
    <t>INITIAL DETERMINATION IDENTIFIED THAT THE PIPELINE WAS OPERATING WITHIN IT'S PRESSURE LIMITATIONS, PRIOR TO THE INCIDENT.</t>
  </si>
  <si>
    <t>STRESS CORROSION CRACKING   (SCC)</t>
  </si>
  <si>
    <t>832.668.1006</t>
  </si>
  <si>
    <t>832.668.1129</t>
  </si>
  <si>
    <t>ETC EXPERIENCED A RUPTURE ON THE 36" OASIS PIPELINE IN A RURAL (CLASS I) AREA IN AUSTIN COUNTY, TX ON JULY 28, 2010.  THE LINE IS AN INTRASTATE NATURAL GAS TRANSMISSION PIPELINE UNDER THE JURISDICTION OF THE TEXAS RAILROAD COMMISSION.      THE INCIDENT WAS REPORTED TO THE TRRC UNDER INCIDENT ID: 551 AND ALSO TO THE NRC UNDER ID: 949134.  THROUGH A THOROUGH EXAMINATION, BY THIRD PARTY, KIEFNER &amp; ASSOCIATES,  AND THROUGH MAG-PARTICLE TESTING,  STRESS CORROSION CRACKING (SCC) WAS DETERMINED TO HAVE BEEN INVOLVED. METALURGICAL  LAB ANALYSIS WILL BE PERFORMED ON THE FAILED SECTION OF PIPE AND WILL PROVIDE FURTHER DETAILED INFORMATION.    TO DATE, ETC HAS COMPLETED HYDROSTATIC TESTING OF APPROXIMATELY 30.5 MILES WITHIN THE AREA OF THE INITIAL IN SERVICE FAILURE.  THE TESTING CONSISTED OF FOUR TEST SECTIONS RUNNING EAST TO WEST FROM THE BRAZOS RIVER (STA. 2950+00) TO 4.5 MILES WEST OF MLV2 (STA. 4560+00). EACH TEST SECTION WAS TESTED TO A MINIMUM OF 100% SMYS FOR ONE HOUR AND THEN A SUBSEQUENT LEAK TEST AT 90% SMYS FOR A MINIMUM OF 8 HRS WITHOUT PRESSURE LOSS. SECTION 1 AND 4 SUCCESSFULLY PASSED THEIR INITIAL TESTS, SECTION 2 HAD TWO FAILURES AND SECTION 3 HAD 3 FAILURES BEFORE ACHIEVING A SUCCESSFUL TEST. IT SHOULD BE NOTED, THAT OF THE 5 FAILURES THAT OCCURRED DURING THE TESTING, THE MINIMUM FAILURE PRESSURE OCCURRED AT 84% OF SMYS INDICATING THERE WERE NO OTHER CRITICAL CRACKS THAT WOULD HAVE FAILED AT OPERATING PRESSURE.      BASED ON THE RESULTS OF THE HYDROSTATIC TESTING, AND INTEGRATION OF INFORMATION OBTAINED FROM THE RUPTURE SITE, SOIL RESISTIVITY SURVEYS AND SUBSEQUENT EXCAVATIONS, ETC FEELS THAT ALL OF THE SCC COLONIES OF A CRITICAL SIZE WERE LOCATED WITHIN THE SECTION OF LINE BETWEEN MLV1 TO MLV2. PLANS ARE TO REINSTORE SERVICE ON OR AROUND SEPTEMBER 1, 2010 AND SUBSEQUENTLY RUNNING THE EMAT CRACK DETECTION TOOL FROM OUR PRAIRIE LEE COMPRESSOR STATION TO KATY, APPROXIMATELY 113 MILES, TO FURTHER CONFIRM OUR FINDINGS AND FURTHER DEVELOP OUR OVERALL MITIGATION PLAN FOR THIS THREAT.     FINAL UPDATE 08/26/2013:  AFTER A THOROUGH METALLURGICAL EXAMINATION, PERFORMED BY KIEFNER AND ASSOCIATES, INC, THE FAILURE WAS MOST LIKELY DETERMINED TO BE CAUSED BY HIGH PH TYPE SCC IN THE BODY OF THE PIPE.   THIS DETERMINATION WAS BASED UPON PIPE-TO-SOIL POTENTIAL, SOIL RESISTIVITY, AND PH MEASUREMENTS AS WELL AS METALLOGRAPHIC SECTIONS THROUGH ADJACENT IN THE COLONY</t>
  </si>
  <si>
    <t>ZAVALLA</t>
  </si>
  <si>
    <t>ANGELINA COUNTY</t>
  </si>
  <si>
    <t>4436+52</t>
  </si>
  <si>
    <t>TEXOMA, 30"</t>
  </si>
  <si>
    <t>OTHER COSTS INCLUDED PIPE &amp; MATERIAL REPLACEMENT, CONTRACT LABOR AND INSPECTION</t>
  </si>
  <si>
    <t>BASED ON THE VOLUME OF THE LEAK, AND PRESSURE DIFFERENTIAL, CONTROLLERS COULD NOT HAVE DETECTED THIS LEAK.</t>
  </si>
  <si>
    <t>CONSTRUCTION DEFECT:  UNSUPPORTED TAP VALVE</t>
  </si>
  <si>
    <t>LEAK WAS DISCOVERED ON THE EVENING OF 07/07/2010 ON AN INACTIVE 2" BRANCH CONNECTION OFF THE 30" TEXOMA INTRASTATE PIPELINE.  LEAK WAS DUE TO A FAILED FILLET WELD ON THE TAP.  THE LEAK WAS BELIEVED TO HAVE RECENTLY OCCURRED BY OBSERVATION OF THE GROUND CONDITIONS AND THAT IT HAD NOT BEEN IDENTIFIED BY RECENT AERIAL PATROLS.  DUE TO THE LOCATION AND AMOUNT OF LEAKAGE, THE INCIDENT WAS NOT DEEMED "REPORTABLE" UNTIL THE NEXT DAY (07/08/2010), DUE TO THE CALCULATION OF CONTROLLED BLOW DOWN VOLUME.      THE 2" BRANCH CONNECTION WAS A SIDE TAP THAT WAS PERFORMED IN 1996 FOR A WELL TIE-IN AND HAS SUBSEQUENTLY BEEN OUT OF SERVICE FOR APPROXIMATELY THE LAST FIVE YEARS.  VISUAL INSPECTION OF THE BRANCH REVEALED A CRACK IN THE TOE OF THE FILLET WELD OF THE SADDLE PAD FROM THE 10 TO 2 O'CLOCK POSITION. DURING THE EXCAVATION THE BLOCK VALVE WAS FOUND TO BE UNSUPPORTED AND THE PIPING TO BE IN A BIND DUE TO SETTLEMENT OF THE AREA WHICH IS INDICATIVE WITH THE TYPE OF FAILURE THAT OCCURRED. CURRENT OPERATING PROCEDURES HAVE BEEN REVISED, FROM THE PREVIOUS OPERATOR, PREVENTING FUTURE SIMILAR OCCURRENCES.    A 40' SECTION OF 30" LINE PIPE WAS CUT OUT AND REPLACED, REMOVING THE LEAKING TAP. THE ONLY COST ASSOCIATED WITH THIS REPORT WAS GAS LOSS, PIPE REPLACEMENT AND LABOR COSTS.</t>
  </si>
  <si>
    <t>47862-8087</t>
  </si>
  <si>
    <t>MP 869.4</t>
  </si>
  <si>
    <t>200 LINE DISCHARGE RELIEF VALVE</t>
  </si>
  <si>
    <t>ELECTRONIC COMPONENT</t>
  </si>
  <si>
    <t>ELECTRONIC COMPONENT FAILURE RESULTED IN GAS BEING VENTED FROM RELIEF VALVE</t>
  </si>
  <si>
    <t>EQUIPMENT FAILURE AT A FIELD LOCATION - PROMPT ACTION BY THE CONTROLLER TO DISPATCH PERSONNEL</t>
  </si>
  <si>
    <t>SECONDARY IMPACT SUCH AS RESULTING NEARBY FIRES</t>
  </si>
  <si>
    <t>UNPRECEDENTED LIGHTNING PRODUCING STORM</t>
  </si>
  <si>
    <t>A LIGHTNING STRIKE CAUSED A TRANSDUCER SIGNAL TO SPIKE RESULTING IN A CROSS-BLEED VALVE 1386-4 THAT IT WAS PROVIDING THE SIGNAL FOR TO GO CLOSED. THIS VALVE CLOSURE CAUSED A PRESSURE REDUCTION THAT RESULTED IN ANOTHER DIFFERENT CROSS-BLEED VALVE 1328 3D-2D TO OPEN FULLY IN AN ATTEMPT TO MAINTAIN PRESSURE SET-POINT. WHEN THE TRANSDUCER FOR VALVE 1386-4 RECOVERED AND STARTED PROVIDING A TRUE SIGNAL, CROSS-BLEED VALVE 1386-4 OPENED INCREASING PRESSURE. THE PRESSURE INCREASE WAS TOO FAST FOR CROSS-BLEED VALVE 1328 3D-2D TO RECOVER AND CLOSE, BEFORE THE PRESSURE ROSE TO THE SET-POINT OF THE RELIEF VALVE, RESULTING IN THE RELIEF VALVE OPERATING TO BLEED OFF THE EXCESS PRESSURE. RECORDS INDICATE THAT THE RELIEF VALVE CYCLED OPEN AND CLOSED IN CONJUNCTION WITH THE CROSS-BLEED VALVE, UNTIL EQUILIBRIUM WAS REACHED AND ALL CONTROLS RETURNED TO NORMAL. THE RELIEF VALVE DISPELLED SUFFICIENT GAS TO MAKE THE EVENT REPORTABLE, ONLY BECAUSE OF GAS LOSS.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PART E5F OF THIS REPORT HAS BEEN COMPLETED.</t>
  </si>
  <si>
    <t>PALM BEACH GARDENS</t>
  </si>
  <si>
    <t>PALM BEACH COUNTY (GARDENS)</t>
  </si>
  <si>
    <t>GAS SERVICE LOST TO CUSTOMER</t>
  </si>
  <si>
    <t>NOTIFICATION FROM CUSTOMER</t>
  </si>
  <si>
    <t>CONTROLLERS ACTIONS WERE NOT CONSIDERED TO BE EFFECTED BY FATIGUE.</t>
  </si>
  <si>
    <t>INCIDENT DID NOT MEET REPORTING THRESHOLDS, HOWEVER WAS SIGNIFICANT IN THE JUDGMENT OF THE OPERATOR BECAUSE IT RESULTED IN THE LOSS OF NATURAL GAS SERVICE TO APPROXIMATELY 10,000 TAMPA ELECTRIC COMPANY CUSTOMERS. SUPPLEMENTAL REPORT TO FOLLOW.    THIS INCIDENT IS BEING CLOSED BECAUSE IT DID NOT MEET THE REPORTING THRESHOLD. THERE ARE NO UPDATES TO ADD.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</si>
  <si>
    <t>WHITE DEER</t>
  </si>
  <si>
    <t>CARSON</t>
  </si>
  <si>
    <t>3641+28</t>
  </si>
  <si>
    <t>PANHANDLE LATERAL</t>
  </si>
  <si>
    <t>P3 TO V308</t>
  </si>
  <si>
    <t>A. O. SMITH</t>
  </si>
  <si>
    <t>THIS WAS A PINHOLE LEAK WELL BELOW THE MINIMUM THRESHOLD TO BE IDENTIFIED BY ANY CONTROLLER AND WELL BELOW THE STATE OF THE ART LIMITATIONS OF ANY SCADA TECHNOLOGY</t>
  </si>
  <si>
    <t>AN ILI TOOL WAS RUN ON THE PANHANDLE LATERAL (TXBP132) ON MARCH 9, 2010.   THE ILI COMPANY NOTED DURING THE INITIAL EVALUATION OF THE DATA FROM THE ILI TOOL, THAT AN ANOMALY WAS DETECTED AND MAY HAVE A WALL LOSS GREATER THAN 70% OF THE WALL THICKNESS OF THE PIPE.  WITHIN A FEW HOURS OF NOTIFICATION TO TW, THE PIPELINE WAS REDUCED IN PRESSURE AND AN EXCAVATION CREW WAS SENT OUT TO THE SITE.  DURING THE BELL HOLE INVESTIGATION GAS DRIED SOIL WAS NOTED, SO THE EXCAVATION WAS TEMPORARILY STOPPED UNTIL A GAS DETECTOR HAD "SNIFFED" THE AREA FOR GAS.   THE GAS DETECTOR INDICATED A HIGH PPM OF METHANE GAS SO ALL CONSTRUCTION WAS STOPPED UNTIL THE PIPELINE WAS BLOWN DOWN TO ATMOSPHERE.  CONTINUED INVESTIGATION FOUND A PIN HOLE LEAK UNDER A THERMITE WELD THAT WAS PARTIALLY BONDED TO THE PIPE.  THE THERMITE WELD CONNECTED BOTH THE NEGATIVE HEADER CABLE THAT GOES TO THE RECTIFIER AND THE TEST LEAD WIRE THAT GOES TO THE CP TEST STAND.  THE THERMITE WELD WAS EASILY REMOVED WITH JUST A SMALL PULL ON THE WIRING.  THE NEGATIVE HEADER CABLE LEAD WAS A TRIANGLE PWC, INC S N-A 1-AWG TYPE THHN/THWN, GASOLINE AND OIL RESISTANT WIRE.  THE INSULATION ON THE WIRE HAD BEEN HEATED AND HAD MELTED THE INSULATION BACK APPROXIMATELY 3.5 INCHES FROM THE THERMITE CONNECTION.  SOME OF THE METAL CABLE STRANDS WHERE THE INSULATION HAD MELTED BACK SHOWED DISCOLORATION.   ADDITIONALLY THERE WAS A SMALL AMOUNT OF DISCOLORATION ON THE SURFACE OF THE PIPE SURROUNDING THE LEAK.   NO CORROSION, DENTS, CRACKS OR GOUGES WERE FOUND ON THE SURFACE OF THE PIPE.  THE LEAK WAS THE SIZE OF A PIN HOLE AND APPEARS TO HAVE OCCURRED DUE TO ELECTRICAL ARCING FROM THE NEGATIVE HEADER CABLE TO THE PIPE SURFACE.     CORROSION TECHNICIAN REPORTS THE CPU UNIT "SIMMS" WAS INSTALLED IN AUGUST 1990, AND IS SUBJECT TO HIGH LIGHTNING STRIKES AND POWER SURGES.  THE RECTIFIER HAS BEEN STRUCK BY LIGHTING A NUMBER OF TIMES BLACKING THE INSIDE OF THE RECTIFIER CASE.  ON ONE OCCURRENCE, A  LIGHTING STRIKE DISLODGED THE CONNECTION BLOCK FROM THE CASE OF THE RECTIFIER.  THE CORROSION TECHNICIAN INSTALLED A SURGEX UNIT IN JUNE 2000 TO HELP REDUCE THE NUMBER OF REPAIRS TO THE RECTIFIER AND MINIMIZE DAMAGE FROM LIGHTING STRIKES.    THE RECTIFIER UNIT IS LOCATED WITHIN 30 FT FROM WHERE THE LEAK OCCURRED.     TRANSWESTERN DID A THROUGH REVIEW OF CP RECORDS FROM 2003 AND FOUND NO INDICATION OF THE CP PROBLEMS OR A CHANGE IN THE CP SYSTEMS CIRCUIT RESISTANCE.  THE OVER ALL CIRCUIT RESISTANCE WAS FROM 0.47 OHMS TO 0.85 OHMS.  THE PIPE TO SOIL POTENTIALS ARE BETWEEN -3 TO -4 VOLTS, WITH INSTANT OFF READINGS BETWEEN -1 TO -1.25 VOLTS.   THE HIGH VOLTAGE POTENTIALS ARE ASSOCIATED WITH THE CP GROUND BED BEING LOCATED WITHIN 30 FT. OF THE PIPELINE.       CONCLUSION ' THE CAUSE OF THE LEAK IS ATTRIBUTED TO METAL LOSS FROM ELECTRICAL ARCING BETWEEN THE NEGATIVE HEADER CABLE AND THE PIPE SURFACE FROM LIGHTING STRIKES.  A PREVIOUS ILI TOOL RUN THAT WAS CONDUCTED MARCH 2003 SHOWED NO WALL LOSS ANOMALY'S AT THIS LOCATION.     **THIS REPORT IS BEING SUBMITTED IN RESPONSE TO PHMSA'S REQUEST, (DOCKET ID PHMSA-2013-0028), FOR SUPPLEMENTAL REPORTS FROM OPERATORS WHO SUBMITTED REPORTS FOR INCIDENTS OCCURRING AFTER JANUARY 1, 2010, WITH ANY OF THE FOLLOWING:  (1) ``PIPE GIRTH WELD'' WAS SELECTED AS THE ``ITEM INVOLVED IN INCIDENT'' IN PART C3 OF THE REPORT. THE REVISED REPORT COLLECTS DATA ABOUT THE PIPE ADJACENT TO THE GIRTH WELD. (2) ``FUNCTION OF PIPELINE SYSTEM'' IS NULL IN PART E5F OF THE REPORT. THE REVISED REPORT COLLECTS THE FUNCTION OF THE PIPELINE SYSTEM FOR ALL INCIDENTS.**    THIS SUPPLEMENTAL REPORT IS TO ACKNOWLEDGE THAT THE TWO RELEVANT SECTIONS IN PHMSA'S REQUEST HAVE BEEN REVIEWED AND NO FURTHER ACTIONS WERE NEEDED.</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</si>
</sst>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m/d/yyyy"/>
    <numFmt numFmtId="165" formatCode="0.0"/>
    <numFmt numFmtId="166" formatCode="&quot;$&quot;#,##0"/>
    <numFmt numFmtId="167" formatCode="yyyy-mm-dd"/>
    <numFmt numFmtId="168" formatCode="yyyy-mm-dd h:mm:ss"/>
    <numFmt numFmtId="169" formatCode="m/d/yy h:mm"/>
    <numFmt numFmtId="170" formatCode="m/d/yy"/>
  </numFmts>
  <fonts count="6">
    <font>
      <sz val="10.0"/>
      <color rgb="FF000000"/>
      <name val="Arial"/>
      <scheme val="minor"/>
    </font>
    <font>
      <b/>
      <color theme="1"/>
      <name val="Arial"/>
      <scheme val="minor"/>
    </font>
    <font>
      <color theme="1"/>
      <name val="Arial"/>
      <scheme val="minor"/>
    </font>
    <font>
      <color theme="1"/>
      <name val="Arial"/>
    </font>
    <font>
      <i/>
      <color theme="1"/>
      <name val="Arial"/>
      <scheme val="minor"/>
    </font>
    <font>
      <b/>
      <color theme="1"/>
      <name val="Arial"/>
    </font>
  </fonts>
  <fills count="3">
    <fill>
      <patternFill patternType="none"/>
    </fill>
    <fill>
      <patternFill patternType="lightGray"/>
    </fill>
    <fill>
      <patternFill patternType="solid">
        <fgColor rgb="FFCFE2F3"/>
        <bgColor rgb="FFCFE2F3"/>
      </patternFill>
    </fill>
  </fills>
  <borders count="7">
    <border/>
    <border>
      <left style="thin">
        <color rgb="FF000000"/>
      </left>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1">
    <xf borderId="0" fillId="0" fontId="0" numFmtId="0" xfId="0" applyAlignment="1" applyFont="1">
      <alignment readingOrder="0" shrinkToFit="0" vertical="bottom" wrapText="0"/>
    </xf>
    <xf borderId="0" fillId="0" fontId="1" numFmtId="0" xfId="0" applyAlignment="1" applyFont="1">
      <alignment readingOrder="0"/>
    </xf>
    <xf borderId="1" fillId="2" fontId="1" numFmtId="0" xfId="0" applyAlignment="1" applyBorder="1" applyFill="1" applyFont="1">
      <alignment readingOrder="0"/>
    </xf>
    <xf borderId="2" fillId="2" fontId="2" numFmtId="0" xfId="0" applyBorder="1" applyFont="1"/>
    <xf borderId="3" fillId="2" fontId="3" numFmtId="0" xfId="0" applyAlignment="1" applyBorder="1" applyFont="1">
      <alignment vertical="bottom"/>
    </xf>
    <xf borderId="4" fillId="2" fontId="2" numFmtId="164" xfId="0" applyAlignment="1" applyBorder="1" applyFont="1" applyNumberFormat="1">
      <alignment readingOrder="0"/>
    </xf>
    <xf borderId="4" fillId="2" fontId="2" numFmtId="0" xfId="0" applyBorder="1" applyFont="1"/>
    <xf borderId="5" fillId="2" fontId="3" numFmtId="0" xfId="0" applyAlignment="1" applyBorder="1" applyFont="1">
      <alignment vertical="bottom"/>
    </xf>
    <xf borderId="6" fillId="2" fontId="2" numFmtId="165" xfId="0" applyBorder="1" applyFont="1" applyNumberFormat="1"/>
    <xf borderId="6" fillId="2" fontId="2" numFmtId="166" xfId="0" applyBorder="1" applyFont="1" applyNumberFormat="1"/>
    <xf borderId="3" fillId="2" fontId="4" numFmtId="0" xfId="0" applyAlignment="1" applyBorder="1" applyFont="1">
      <alignment horizontal="right" readingOrder="0"/>
    </xf>
    <xf borderId="4" fillId="2" fontId="2" numFmtId="3" xfId="0" applyBorder="1" applyFont="1" applyNumberFormat="1"/>
    <xf borderId="1" fillId="2" fontId="5" numFmtId="0" xfId="0" applyAlignment="1" applyBorder="1" applyFont="1">
      <alignment vertical="bottom"/>
    </xf>
    <xf borderId="3" fillId="2" fontId="1" numFmtId="0" xfId="0" applyAlignment="1" applyBorder="1" applyFont="1">
      <alignment readingOrder="0"/>
    </xf>
    <xf borderId="4" fillId="2" fontId="3" numFmtId="0" xfId="0" applyAlignment="1" applyBorder="1" applyFont="1">
      <alignment horizontal="right" vertical="bottom"/>
    </xf>
    <xf borderId="5" fillId="2" fontId="4" numFmtId="0" xfId="0" applyAlignment="1" applyBorder="1" applyFont="1">
      <alignment horizontal="right" readingOrder="0"/>
    </xf>
    <xf borderId="6" fillId="2" fontId="2" numFmtId="3" xfId="0" applyBorder="1" applyFont="1" applyNumberFormat="1"/>
    <xf borderId="2" fillId="2" fontId="3" numFmtId="0" xfId="0" applyAlignment="1" applyBorder="1" applyFont="1">
      <alignment vertical="bottom"/>
    </xf>
    <xf borderId="3" fillId="2" fontId="3" numFmtId="0" xfId="0" applyAlignment="1" applyBorder="1" applyFont="1">
      <alignment horizontal="right" vertical="bottom"/>
    </xf>
    <xf borderId="6" fillId="2" fontId="3" numFmtId="0" xfId="0" applyAlignment="1" applyBorder="1" applyFont="1">
      <alignment horizontal="right" vertical="bottom"/>
    </xf>
    <xf borderId="5" fillId="2" fontId="3" numFmtId="0" xfId="0" applyAlignment="1" applyBorder="1" applyFont="1">
      <alignment horizontal="right" vertical="bottom"/>
    </xf>
    <xf borderId="0" fillId="0" fontId="2" numFmtId="0" xfId="0" applyAlignment="1" applyFont="1">
      <alignment readingOrder="0"/>
    </xf>
    <xf borderId="0" fillId="0" fontId="2" numFmtId="167" xfId="0" applyAlignment="1" applyFont="1" applyNumberFormat="1">
      <alignment readingOrder="0"/>
    </xf>
    <xf borderId="0" fillId="0" fontId="2" numFmtId="168" xfId="0" applyAlignment="1" applyFont="1" applyNumberFormat="1">
      <alignment readingOrder="0"/>
    </xf>
    <xf borderId="0" fillId="0" fontId="2" numFmtId="169" xfId="0" applyAlignment="1" applyFont="1" applyNumberFormat="1">
      <alignment readingOrder="0"/>
    </xf>
    <xf borderId="0" fillId="0" fontId="2" numFmtId="170" xfId="0" applyAlignment="1" applyFont="1" applyNumberFormat="1">
      <alignment readingOrder="0"/>
    </xf>
    <xf borderId="0" fillId="0" fontId="2" numFmtId="3" xfId="0" applyAlignment="1" applyFont="1" applyNumberFormat="1">
      <alignment readingOrder="0"/>
    </xf>
    <xf borderId="0" fillId="0" fontId="2" numFmtId="0" xfId="0" applyFont="1"/>
    <xf borderId="0" fillId="0" fontId="2" numFmtId="0" xfId="0" applyAlignment="1" applyFont="1">
      <alignment horizontal="left"/>
    </xf>
    <xf borderId="0" fillId="0" fontId="2" numFmtId="166" xfId="0" applyFont="1" applyNumberFormat="1"/>
    <xf borderId="0" fillId="0" fontId="2" numFmtId="168" xfId="0" applyAlignment="1" applyFont="1" applyNumberForma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7.63"/>
    <col customWidth="1" min="5" max="5" width="25.13"/>
  </cols>
  <sheetData>
    <row r="1">
      <c r="A1" s="1" t="s">
        <v>0</v>
      </c>
    </row>
    <row r="3">
      <c r="A3" s="2" t="s">
        <v>1</v>
      </c>
      <c r="B3" s="3">
        <f>count('PHMSA Records'!A:A)</f>
        <v>177</v>
      </c>
      <c r="E3" s="2" t="s">
        <v>2</v>
      </c>
      <c r="F3" s="3"/>
    </row>
    <row r="4">
      <c r="A4" s="4" t="s">
        <v>3</v>
      </c>
      <c r="B4" s="5">
        <v>40179.0</v>
      </c>
      <c r="E4" s="4" t="s">
        <v>4</v>
      </c>
      <c r="F4" s="6">
        <f>countif('PHMSA Records'!AG:AG, "YES")</f>
        <v>2</v>
      </c>
    </row>
    <row r="5">
      <c r="A5" s="4" t="s">
        <v>5</v>
      </c>
      <c r="B5" s="5">
        <v>45838.0</v>
      </c>
      <c r="E5" s="4" t="s">
        <v>6</v>
      </c>
      <c r="F5" s="6">
        <f>countif('PHMSA Records'!Z:Z, "YES")</f>
        <v>1</v>
      </c>
    </row>
    <row r="6">
      <c r="A6" s="7" t="s">
        <v>7</v>
      </c>
      <c r="B6" s="8">
        <f>(B5-B4)/B3</f>
        <v>31.97175141</v>
      </c>
      <c r="E6" s="4" t="s">
        <v>8</v>
      </c>
      <c r="F6" s="6">
        <f>countif('PHMSA Records'!AW:AW, "YES")</f>
        <v>26</v>
      </c>
    </row>
    <row r="7">
      <c r="E7" s="4" t="s">
        <v>9</v>
      </c>
      <c r="F7" s="6">
        <f>countif('PHMSA Records'!BB:BB, "YES")</f>
        <v>8</v>
      </c>
    </row>
    <row r="8">
      <c r="A8" s="2" t="s">
        <v>10</v>
      </c>
      <c r="B8" s="3"/>
      <c r="E8" s="7" t="s">
        <v>11</v>
      </c>
      <c r="F8" s="9">
        <f>sum('PHMSA Records'!FW:FW)</f>
        <v>100650634</v>
      </c>
    </row>
    <row r="9">
      <c r="A9" s="10" t="s">
        <v>12</v>
      </c>
      <c r="B9" s="11">
        <f>sum('PHMSA Records'!W:W)</f>
        <v>6802170.073</v>
      </c>
    </row>
    <row r="10">
      <c r="A10" s="10" t="s">
        <v>13</v>
      </c>
      <c r="B10" s="11">
        <f>B9/1000</f>
        <v>6802.170073</v>
      </c>
      <c r="E10" s="12" t="s">
        <v>14</v>
      </c>
      <c r="F10" s="3"/>
    </row>
    <row r="11">
      <c r="A11" s="13" t="s">
        <v>15</v>
      </c>
      <c r="B11" s="6"/>
      <c r="E11" s="4" t="s">
        <v>16</v>
      </c>
      <c r="F11" s="14">
        <f>countif('PHMSA Records'!IN:IN, "EQUIPMENT FAILURE")</f>
        <v>54</v>
      </c>
    </row>
    <row r="12">
      <c r="A12" s="10" t="s">
        <v>12</v>
      </c>
      <c r="B12" s="11">
        <f>sum('PHMSA Records'!X:X)</f>
        <v>700510.978</v>
      </c>
      <c r="E12" s="4" t="s">
        <v>17</v>
      </c>
      <c r="F12" s="14">
        <f>countif('PHMSA Records'!IN:IN, "CORROSION FAILURE")</f>
        <v>52</v>
      </c>
    </row>
    <row r="13">
      <c r="A13" s="15" t="s">
        <v>13</v>
      </c>
      <c r="B13" s="16">
        <f>B12/1000</f>
        <v>700.510978</v>
      </c>
      <c r="E13" s="4" t="s">
        <v>18</v>
      </c>
      <c r="F13" s="14">
        <f>countif('PHMSA Records'!IN:IN, "MATERIAL FAILURE OF PIPE OR WELD")</f>
        <v>18</v>
      </c>
    </row>
    <row r="14">
      <c r="E14" s="4" t="s">
        <v>19</v>
      </c>
      <c r="F14" s="14">
        <f>countif('PHMSA Records'!IN:IN, "OTHER INCIDENT CAUSE")</f>
        <v>16</v>
      </c>
    </row>
    <row r="15">
      <c r="A15" s="12" t="s">
        <v>20</v>
      </c>
      <c r="B15" s="17"/>
      <c r="E15" s="4" t="s">
        <v>21</v>
      </c>
      <c r="F15" s="14">
        <f>countif('PHMSA Records'!IN:IN, "NATURAL FORCE DAMAGE")</f>
        <v>15</v>
      </c>
    </row>
    <row r="16">
      <c r="A16" s="18" t="s">
        <v>22</v>
      </c>
      <c r="B16" s="14">
        <f>countif('PHMSA Records'!F:F, "ORIGINAL")</f>
        <v>12</v>
      </c>
      <c r="E16" s="4" t="s">
        <v>23</v>
      </c>
      <c r="F16" s="14">
        <f>countif('PHMSA Records'!IN:IN, "EXCAVATION DAMAGE")</f>
        <v>10</v>
      </c>
    </row>
    <row r="17">
      <c r="A17" s="18" t="s">
        <v>24</v>
      </c>
      <c r="B17" s="14">
        <f>countif('PHMSA Records'!F:F, "ORIGINAL FINAL")</f>
        <v>37</v>
      </c>
      <c r="E17" s="4" t="s">
        <v>25</v>
      </c>
      <c r="F17" s="14">
        <f>countif('PHMSA Records'!IN:IN, "INCORRECT OPERATION")</f>
        <v>8</v>
      </c>
    </row>
    <row r="18">
      <c r="A18" s="18" t="s">
        <v>26</v>
      </c>
      <c r="B18" s="14">
        <f>countif('PHMSA Records'!F:F, "SUPPLEMENTAL")</f>
        <v>0</v>
      </c>
      <c r="E18" s="7" t="s">
        <v>27</v>
      </c>
      <c r="F18" s="19">
        <f>countif('PHMSA Records'!IN:IN, "OTHER OUTSIDE FORCE DAMAGE")</f>
        <v>4</v>
      </c>
    </row>
    <row r="19">
      <c r="A19" s="20" t="s">
        <v>28</v>
      </c>
      <c r="B19" s="19">
        <f>countif('PHMSA Records'!F:F, "SUPPLEMENTAL FINAL")</f>
        <v>128</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B1" s="21" t="s">
        <v>29</v>
      </c>
      <c r="C1" s="21" t="s">
        <v>30</v>
      </c>
      <c r="D1" s="21" t="s">
        <v>31</v>
      </c>
      <c r="E1" s="21" t="s">
        <v>32</v>
      </c>
      <c r="F1" s="21" t="s">
        <v>33</v>
      </c>
      <c r="G1" s="21" t="s">
        <v>34</v>
      </c>
      <c r="H1" s="21" t="s">
        <v>35</v>
      </c>
      <c r="I1" s="21" t="s">
        <v>36</v>
      </c>
      <c r="J1" s="21" t="s">
        <v>37</v>
      </c>
      <c r="K1" s="21" t="s">
        <v>38</v>
      </c>
      <c r="L1" s="21" t="s">
        <v>39</v>
      </c>
      <c r="M1" s="21" t="s">
        <v>40</v>
      </c>
      <c r="N1" s="21" t="s">
        <v>41</v>
      </c>
      <c r="O1" s="21" t="s">
        <v>42</v>
      </c>
      <c r="P1" s="21" t="s">
        <v>43</v>
      </c>
      <c r="Q1" s="21" t="s">
        <v>44</v>
      </c>
      <c r="R1" s="21" t="s">
        <v>45</v>
      </c>
      <c r="S1" s="21" t="s">
        <v>46</v>
      </c>
      <c r="T1" s="21" t="s">
        <v>47</v>
      </c>
      <c r="U1" s="21" t="s">
        <v>48</v>
      </c>
      <c r="V1" s="21" t="s">
        <v>49</v>
      </c>
      <c r="W1" s="21" t="s">
        <v>50</v>
      </c>
      <c r="X1" s="21" t="s">
        <v>51</v>
      </c>
      <c r="Y1" s="21" t="s">
        <v>52</v>
      </c>
      <c r="Z1" s="21" t="s">
        <v>53</v>
      </c>
      <c r="AA1" s="21" t="s">
        <v>54</v>
      </c>
      <c r="AB1" s="21" t="s">
        <v>55</v>
      </c>
      <c r="AC1" s="21" t="s">
        <v>56</v>
      </c>
      <c r="AD1" s="21" t="s">
        <v>57</v>
      </c>
      <c r="AE1" s="21" t="s">
        <v>58</v>
      </c>
      <c r="AF1" s="21" t="s">
        <v>59</v>
      </c>
      <c r="AG1" s="21" t="s">
        <v>60</v>
      </c>
      <c r="AH1" s="21" t="s">
        <v>61</v>
      </c>
      <c r="AI1" s="21" t="s">
        <v>62</v>
      </c>
      <c r="AJ1" s="21" t="s">
        <v>63</v>
      </c>
      <c r="AK1" s="21" t="s">
        <v>64</v>
      </c>
      <c r="AL1" s="21" t="s">
        <v>65</v>
      </c>
      <c r="AM1" s="21" t="s">
        <v>66</v>
      </c>
      <c r="AN1" s="21" t="s">
        <v>67</v>
      </c>
      <c r="AO1" s="21" t="s">
        <v>68</v>
      </c>
      <c r="AP1" s="21" t="s">
        <v>69</v>
      </c>
      <c r="AQ1" s="21" t="s">
        <v>70</v>
      </c>
      <c r="AR1" s="21" t="s">
        <v>71</v>
      </c>
      <c r="AS1" s="21" t="s">
        <v>72</v>
      </c>
      <c r="AT1" s="21" t="s">
        <v>73</v>
      </c>
      <c r="AU1" s="21" t="s">
        <v>74</v>
      </c>
      <c r="AV1" s="21" t="s">
        <v>75</v>
      </c>
      <c r="AW1" s="21" t="s">
        <v>76</v>
      </c>
      <c r="AX1" s="21" t="s">
        <v>77</v>
      </c>
      <c r="AY1" s="21" t="s">
        <v>78</v>
      </c>
      <c r="AZ1" s="21" t="s">
        <v>79</v>
      </c>
      <c r="BA1" s="21" t="s">
        <v>80</v>
      </c>
      <c r="BB1" s="21" t="s">
        <v>81</v>
      </c>
      <c r="BC1" s="21" t="s">
        <v>82</v>
      </c>
      <c r="BD1" s="21" t="s">
        <v>83</v>
      </c>
      <c r="BE1" s="21" t="s">
        <v>84</v>
      </c>
      <c r="BF1" s="21" t="s">
        <v>85</v>
      </c>
      <c r="BG1" s="21" t="s">
        <v>86</v>
      </c>
      <c r="BH1" s="21" t="s">
        <v>87</v>
      </c>
      <c r="BI1" s="21" t="s">
        <v>88</v>
      </c>
      <c r="BJ1" s="21" t="s">
        <v>89</v>
      </c>
      <c r="BK1" s="21" t="s">
        <v>90</v>
      </c>
      <c r="BL1" s="21" t="s">
        <v>91</v>
      </c>
      <c r="BM1" s="21" t="s">
        <v>92</v>
      </c>
      <c r="BN1" s="21" t="s">
        <v>93</v>
      </c>
      <c r="BO1" s="21" t="s">
        <v>94</v>
      </c>
      <c r="BP1" s="21" t="s">
        <v>95</v>
      </c>
      <c r="BQ1" s="21" t="s">
        <v>96</v>
      </c>
      <c r="BR1" s="21" t="s">
        <v>97</v>
      </c>
      <c r="BS1" s="21" t="s">
        <v>98</v>
      </c>
      <c r="BT1" s="21" t="s">
        <v>99</v>
      </c>
      <c r="BU1" s="21" t="s">
        <v>100</v>
      </c>
      <c r="BV1" s="21" t="s">
        <v>101</v>
      </c>
      <c r="BW1" s="21" t="s">
        <v>102</v>
      </c>
      <c r="BX1" s="21" t="s">
        <v>103</v>
      </c>
      <c r="BY1" s="21" t="s">
        <v>104</v>
      </c>
      <c r="BZ1" s="21" t="s">
        <v>105</v>
      </c>
      <c r="CA1" s="21" t="s">
        <v>106</v>
      </c>
      <c r="CB1" s="21" t="s">
        <v>107</v>
      </c>
      <c r="CC1" s="21" t="s">
        <v>108</v>
      </c>
      <c r="CD1" s="21" t="s">
        <v>109</v>
      </c>
      <c r="CE1" s="21" t="s">
        <v>110</v>
      </c>
      <c r="CF1" s="21" t="s">
        <v>111</v>
      </c>
      <c r="CG1" s="21" t="s">
        <v>112</v>
      </c>
      <c r="CH1" s="21" t="s">
        <v>113</v>
      </c>
      <c r="CI1" s="21" t="s">
        <v>114</v>
      </c>
      <c r="CJ1" s="21" t="s">
        <v>115</v>
      </c>
      <c r="CK1" s="21" t="s">
        <v>116</v>
      </c>
      <c r="CL1" s="21" t="s">
        <v>117</v>
      </c>
      <c r="CM1" s="21" t="s">
        <v>118</v>
      </c>
      <c r="CN1" s="21" t="s">
        <v>119</v>
      </c>
      <c r="CO1" s="21" t="s">
        <v>120</v>
      </c>
      <c r="CP1" s="21" t="s">
        <v>121</v>
      </c>
      <c r="CQ1" s="21" t="s">
        <v>122</v>
      </c>
      <c r="CR1" s="21" t="s">
        <v>123</v>
      </c>
      <c r="CS1" s="21" t="s">
        <v>124</v>
      </c>
      <c r="CT1" s="21" t="s">
        <v>125</v>
      </c>
      <c r="CU1" s="21" t="s">
        <v>126</v>
      </c>
      <c r="CV1" s="21" t="s">
        <v>127</v>
      </c>
      <c r="CW1" s="21" t="s">
        <v>128</v>
      </c>
      <c r="CX1" s="21" t="s">
        <v>129</v>
      </c>
      <c r="CY1" s="21" t="s">
        <v>130</v>
      </c>
      <c r="CZ1" s="21" t="s">
        <v>131</v>
      </c>
      <c r="DA1" s="21" t="s">
        <v>132</v>
      </c>
      <c r="DB1" s="21" t="s">
        <v>133</v>
      </c>
      <c r="DC1" s="21" t="s">
        <v>134</v>
      </c>
      <c r="DD1" s="21" t="s">
        <v>135</v>
      </c>
      <c r="DE1" s="21" t="s">
        <v>136</v>
      </c>
      <c r="DF1" s="21" t="s">
        <v>137</v>
      </c>
      <c r="DG1" s="21" t="s">
        <v>138</v>
      </c>
      <c r="DH1" s="21" t="s">
        <v>139</v>
      </c>
      <c r="DI1" s="21" t="s">
        <v>140</v>
      </c>
      <c r="DJ1" s="21" t="s">
        <v>141</v>
      </c>
      <c r="DK1" s="21" t="s">
        <v>142</v>
      </c>
      <c r="DL1" s="21" t="s">
        <v>143</v>
      </c>
      <c r="DM1" s="21" t="s">
        <v>144</v>
      </c>
      <c r="DN1" s="21" t="s">
        <v>145</v>
      </c>
      <c r="DO1" s="21" t="s">
        <v>146</v>
      </c>
      <c r="DP1" s="21" t="s">
        <v>147</v>
      </c>
      <c r="DQ1" s="21" t="s">
        <v>148</v>
      </c>
      <c r="DR1" s="21" t="s">
        <v>149</v>
      </c>
      <c r="DS1" s="21" t="s">
        <v>150</v>
      </c>
      <c r="DT1" s="21" t="s">
        <v>151</v>
      </c>
      <c r="DU1" s="21" t="s">
        <v>152</v>
      </c>
      <c r="DV1" s="21" t="s">
        <v>153</v>
      </c>
      <c r="DW1" s="21" t="s">
        <v>154</v>
      </c>
      <c r="DX1" s="21" t="s">
        <v>155</v>
      </c>
      <c r="DY1" s="21" t="s">
        <v>156</v>
      </c>
      <c r="DZ1" s="21" t="s">
        <v>157</v>
      </c>
      <c r="EA1" s="21" t="s">
        <v>158</v>
      </c>
      <c r="EB1" s="21" t="s">
        <v>159</v>
      </c>
      <c r="EC1" s="21" t="s">
        <v>160</v>
      </c>
      <c r="ED1" s="21" t="s">
        <v>161</v>
      </c>
      <c r="EE1" s="21" t="s">
        <v>162</v>
      </c>
      <c r="EF1" s="21" t="s">
        <v>163</v>
      </c>
      <c r="EG1" s="21" t="s">
        <v>164</v>
      </c>
      <c r="EH1" s="21" t="s">
        <v>165</v>
      </c>
      <c r="EI1" s="21" t="s">
        <v>166</v>
      </c>
      <c r="EJ1" s="21" t="s">
        <v>167</v>
      </c>
      <c r="EK1" s="21" t="s">
        <v>168</v>
      </c>
      <c r="EL1" s="21" t="s">
        <v>169</v>
      </c>
      <c r="EM1" s="21" t="s">
        <v>170</v>
      </c>
      <c r="EN1" s="21" t="s">
        <v>171</v>
      </c>
      <c r="EO1" s="21" t="s">
        <v>172</v>
      </c>
      <c r="EP1" s="21" t="s">
        <v>173</v>
      </c>
      <c r="EQ1" s="21" t="s">
        <v>174</v>
      </c>
      <c r="ER1" s="21" t="s">
        <v>175</v>
      </c>
      <c r="ES1" s="21" t="s">
        <v>176</v>
      </c>
      <c r="ET1" s="21" t="s">
        <v>177</v>
      </c>
      <c r="EU1" s="21" t="s">
        <v>178</v>
      </c>
      <c r="EV1" s="21" t="s">
        <v>179</v>
      </c>
      <c r="EW1" s="21" t="s">
        <v>180</v>
      </c>
      <c r="EX1" s="21" t="s">
        <v>181</v>
      </c>
      <c r="EY1" s="21" t="s">
        <v>182</v>
      </c>
      <c r="EZ1" s="21" t="s">
        <v>183</v>
      </c>
      <c r="FA1" s="21" t="s">
        <v>184</v>
      </c>
      <c r="FB1" s="21" t="s">
        <v>185</v>
      </c>
      <c r="FC1" s="21" t="s">
        <v>186</v>
      </c>
      <c r="FD1" s="21" t="s">
        <v>187</v>
      </c>
      <c r="FE1" s="21" t="s">
        <v>188</v>
      </c>
      <c r="FF1" s="21" t="s">
        <v>189</v>
      </c>
      <c r="FG1" s="21" t="s">
        <v>190</v>
      </c>
      <c r="FH1" s="21" t="s">
        <v>191</v>
      </c>
      <c r="FI1" s="21" t="s">
        <v>192</v>
      </c>
      <c r="FJ1" s="21" t="s">
        <v>193</v>
      </c>
      <c r="FK1" s="21" t="s">
        <v>194</v>
      </c>
      <c r="FL1" s="21" t="s">
        <v>195</v>
      </c>
      <c r="FM1" s="21" t="s">
        <v>196</v>
      </c>
      <c r="FN1" s="21" t="s">
        <v>197</v>
      </c>
      <c r="FO1" s="21" t="s">
        <v>198</v>
      </c>
      <c r="FP1" s="21" t="s">
        <v>199</v>
      </c>
      <c r="FQ1" s="21" t="s">
        <v>200</v>
      </c>
      <c r="FR1" s="21" t="s">
        <v>201</v>
      </c>
      <c r="FS1" s="21" t="s">
        <v>202</v>
      </c>
      <c r="FT1" s="21" t="s">
        <v>203</v>
      </c>
      <c r="FU1" s="21" t="s">
        <v>204</v>
      </c>
      <c r="FV1" s="21" t="s">
        <v>205</v>
      </c>
      <c r="FW1" s="21" t="s">
        <v>206</v>
      </c>
      <c r="FX1" s="21" t="s">
        <v>207</v>
      </c>
      <c r="FY1" s="21" t="s">
        <v>208</v>
      </c>
      <c r="FZ1" s="21" t="s">
        <v>209</v>
      </c>
      <c r="GA1" s="21" t="s">
        <v>210</v>
      </c>
      <c r="GB1" s="21" t="s">
        <v>211</v>
      </c>
      <c r="GC1" s="21" t="s">
        <v>212</v>
      </c>
      <c r="GD1" s="21" t="s">
        <v>213</v>
      </c>
      <c r="GE1" s="21" t="s">
        <v>214</v>
      </c>
      <c r="GF1" s="21" t="s">
        <v>215</v>
      </c>
      <c r="GG1" s="21" t="s">
        <v>216</v>
      </c>
      <c r="GH1" s="21" t="s">
        <v>217</v>
      </c>
      <c r="GI1" s="21" t="s">
        <v>218</v>
      </c>
      <c r="GJ1" s="21" t="s">
        <v>219</v>
      </c>
      <c r="GK1" s="21" t="s">
        <v>220</v>
      </c>
      <c r="GL1" s="21" t="s">
        <v>221</v>
      </c>
      <c r="GM1" s="21" t="s">
        <v>222</v>
      </c>
      <c r="GN1" s="21" t="s">
        <v>223</v>
      </c>
      <c r="GO1" s="21" t="s">
        <v>224</v>
      </c>
      <c r="GP1" s="21" t="s">
        <v>225</v>
      </c>
      <c r="GQ1" s="21" t="s">
        <v>226</v>
      </c>
      <c r="GR1" s="21" t="s">
        <v>227</v>
      </c>
      <c r="GS1" s="21" t="s">
        <v>228</v>
      </c>
      <c r="GT1" s="21" t="s">
        <v>229</v>
      </c>
      <c r="GU1" s="21" t="s">
        <v>230</v>
      </c>
      <c r="GV1" s="21" t="s">
        <v>231</v>
      </c>
      <c r="GW1" s="21" t="s">
        <v>232</v>
      </c>
      <c r="GX1" s="21" t="s">
        <v>233</v>
      </c>
      <c r="GY1" s="21" t="s">
        <v>234</v>
      </c>
      <c r="GZ1" s="21" t="s">
        <v>235</v>
      </c>
      <c r="HA1" s="21" t="s">
        <v>236</v>
      </c>
      <c r="HB1" s="21" t="s">
        <v>237</v>
      </c>
      <c r="HC1" s="21" t="s">
        <v>238</v>
      </c>
      <c r="HD1" s="21" t="s">
        <v>239</v>
      </c>
      <c r="HE1" s="21" t="s">
        <v>240</v>
      </c>
      <c r="HF1" s="21" t="s">
        <v>241</v>
      </c>
      <c r="HG1" s="21" t="s">
        <v>242</v>
      </c>
      <c r="HH1" s="21" t="s">
        <v>243</v>
      </c>
      <c r="HI1" s="21" t="s">
        <v>244</v>
      </c>
      <c r="HJ1" s="21" t="s">
        <v>245</v>
      </c>
      <c r="HK1" s="21" t="s">
        <v>246</v>
      </c>
      <c r="HL1" s="21" t="s">
        <v>247</v>
      </c>
      <c r="HM1" s="21" t="s">
        <v>248</v>
      </c>
      <c r="HN1" s="21" t="s">
        <v>249</v>
      </c>
      <c r="HO1" s="21" t="s">
        <v>250</v>
      </c>
      <c r="HP1" s="21" t="s">
        <v>251</v>
      </c>
      <c r="HQ1" s="21" t="s">
        <v>252</v>
      </c>
      <c r="HR1" s="21" t="s">
        <v>253</v>
      </c>
      <c r="HS1" s="21" t="s">
        <v>254</v>
      </c>
      <c r="HT1" s="21" t="s">
        <v>255</v>
      </c>
      <c r="HU1" s="21" t="s">
        <v>256</v>
      </c>
      <c r="HV1" s="21" t="s">
        <v>257</v>
      </c>
      <c r="HW1" s="21" t="s">
        <v>258</v>
      </c>
      <c r="HX1" s="21" t="s">
        <v>259</v>
      </c>
      <c r="HY1" s="21" t="s">
        <v>260</v>
      </c>
      <c r="HZ1" s="21" t="s">
        <v>261</v>
      </c>
      <c r="IA1" s="21" t="s">
        <v>262</v>
      </c>
      <c r="IB1" s="21" t="s">
        <v>263</v>
      </c>
      <c r="IC1" s="21" t="s">
        <v>264</v>
      </c>
      <c r="ID1" s="21" t="s">
        <v>265</v>
      </c>
      <c r="IE1" s="21" t="s">
        <v>266</v>
      </c>
      <c r="IF1" s="21" t="s">
        <v>267</v>
      </c>
      <c r="IG1" s="21" t="s">
        <v>268</v>
      </c>
      <c r="IH1" s="21" t="s">
        <v>269</v>
      </c>
      <c r="II1" s="21" t="s">
        <v>270</v>
      </c>
      <c r="IJ1" s="21" t="s">
        <v>271</v>
      </c>
      <c r="IK1" s="21" t="s">
        <v>272</v>
      </c>
      <c r="IL1" s="21" t="s">
        <v>273</v>
      </c>
      <c r="IM1" s="21" t="s">
        <v>274</v>
      </c>
      <c r="IN1" s="21" t="s">
        <v>275</v>
      </c>
      <c r="IO1" s="21" t="s">
        <v>276</v>
      </c>
      <c r="IP1" s="21" t="s">
        <v>277</v>
      </c>
      <c r="IQ1" s="21" t="s">
        <v>278</v>
      </c>
      <c r="IR1" s="21" t="s">
        <v>279</v>
      </c>
      <c r="IS1" s="21" t="s">
        <v>280</v>
      </c>
      <c r="IT1" s="21" t="s">
        <v>281</v>
      </c>
      <c r="IU1" s="21" t="s">
        <v>282</v>
      </c>
      <c r="IV1" s="21" t="s">
        <v>283</v>
      </c>
      <c r="IW1" s="21" t="s">
        <v>284</v>
      </c>
      <c r="IX1" s="21" t="s">
        <v>285</v>
      </c>
      <c r="IY1" s="21" t="s">
        <v>286</v>
      </c>
      <c r="IZ1" s="21" t="s">
        <v>287</v>
      </c>
      <c r="JA1" s="21" t="s">
        <v>288</v>
      </c>
      <c r="JB1" s="21" t="s">
        <v>289</v>
      </c>
      <c r="JC1" s="21" t="s">
        <v>290</v>
      </c>
      <c r="JD1" s="21" t="s">
        <v>291</v>
      </c>
      <c r="JE1" s="21" t="s">
        <v>292</v>
      </c>
      <c r="JF1" s="21" t="s">
        <v>293</v>
      </c>
      <c r="JG1" s="21" t="s">
        <v>294</v>
      </c>
      <c r="JH1" s="21" t="s">
        <v>295</v>
      </c>
      <c r="JI1" s="21" t="s">
        <v>296</v>
      </c>
      <c r="JJ1" s="21" t="s">
        <v>297</v>
      </c>
      <c r="JK1" s="21" t="s">
        <v>298</v>
      </c>
      <c r="JL1" s="21" t="s">
        <v>299</v>
      </c>
      <c r="JM1" s="21" t="s">
        <v>300</v>
      </c>
      <c r="JN1" s="21" t="s">
        <v>301</v>
      </c>
      <c r="JO1" s="21" t="s">
        <v>302</v>
      </c>
      <c r="JP1" s="21" t="s">
        <v>303</v>
      </c>
      <c r="JQ1" s="21" t="s">
        <v>304</v>
      </c>
      <c r="JR1" s="21" t="s">
        <v>305</v>
      </c>
      <c r="JS1" s="21" t="s">
        <v>306</v>
      </c>
      <c r="JT1" s="21" t="s">
        <v>307</v>
      </c>
      <c r="JU1" s="21" t="s">
        <v>308</v>
      </c>
      <c r="JV1" s="21" t="s">
        <v>309</v>
      </c>
      <c r="JW1" s="21" t="s">
        <v>310</v>
      </c>
      <c r="JX1" s="21" t="s">
        <v>311</v>
      </c>
      <c r="JY1" s="21" t="s">
        <v>312</v>
      </c>
      <c r="JZ1" s="21" t="s">
        <v>313</v>
      </c>
      <c r="KA1" s="21" t="s">
        <v>314</v>
      </c>
      <c r="KB1" s="21" t="s">
        <v>315</v>
      </c>
      <c r="KC1" s="21" t="s">
        <v>316</v>
      </c>
      <c r="KD1" s="21" t="s">
        <v>317</v>
      </c>
      <c r="KE1" s="21" t="s">
        <v>318</v>
      </c>
      <c r="KF1" s="21" t="s">
        <v>319</v>
      </c>
      <c r="KG1" s="21" t="s">
        <v>320</v>
      </c>
      <c r="KH1" s="21" t="s">
        <v>321</v>
      </c>
      <c r="KI1" s="21" t="s">
        <v>322</v>
      </c>
      <c r="KJ1" s="21" t="s">
        <v>323</v>
      </c>
      <c r="KK1" s="21" t="s">
        <v>324</v>
      </c>
      <c r="KL1" s="21" t="s">
        <v>325</v>
      </c>
      <c r="KM1" s="21" t="s">
        <v>326</v>
      </c>
      <c r="KN1" s="21" t="s">
        <v>327</v>
      </c>
      <c r="KO1" s="21" t="s">
        <v>328</v>
      </c>
      <c r="KP1" s="21" t="s">
        <v>329</v>
      </c>
      <c r="KQ1" s="21" t="s">
        <v>330</v>
      </c>
      <c r="KR1" s="21" t="s">
        <v>331</v>
      </c>
      <c r="KS1" s="21" t="s">
        <v>332</v>
      </c>
      <c r="KT1" s="21" t="s">
        <v>333</v>
      </c>
      <c r="KU1" s="21" t="s">
        <v>334</v>
      </c>
      <c r="KV1" s="21" t="s">
        <v>335</v>
      </c>
      <c r="KW1" s="21" t="s">
        <v>336</v>
      </c>
      <c r="KX1" s="21" t="s">
        <v>337</v>
      </c>
      <c r="KY1" s="21" t="s">
        <v>338</v>
      </c>
      <c r="KZ1" s="21" t="s">
        <v>339</v>
      </c>
      <c r="LA1" s="21" t="s">
        <v>340</v>
      </c>
      <c r="LB1" s="21" t="s">
        <v>341</v>
      </c>
      <c r="LC1" s="21" t="s">
        <v>342</v>
      </c>
      <c r="LD1" s="21" t="s">
        <v>343</v>
      </c>
      <c r="LE1" s="21" t="s">
        <v>344</v>
      </c>
      <c r="LF1" s="21" t="s">
        <v>345</v>
      </c>
      <c r="LG1" s="21" t="s">
        <v>346</v>
      </c>
      <c r="LH1" s="21" t="s">
        <v>347</v>
      </c>
      <c r="LI1" s="21" t="s">
        <v>348</v>
      </c>
      <c r="LJ1" s="21" t="s">
        <v>349</v>
      </c>
      <c r="LK1" s="21" t="s">
        <v>350</v>
      </c>
      <c r="LL1" s="21" t="s">
        <v>351</v>
      </c>
      <c r="LM1" s="21" t="s">
        <v>352</v>
      </c>
      <c r="LN1" s="21" t="s">
        <v>353</v>
      </c>
      <c r="LO1" s="21" t="s">
        <v>354</v>
      </c>
      <c r="LP1" s="21" t="s">
        <v>355</v>
      </c>
      <c r="LQ1" s="21" t="s">
        <v>356</v>
      </c>
      <c r="LR1" s="21" t="s">
        <v>357</v>
      </c>
      <c r="LS1" s="21" t="s">
        <v>358</v>
      </c>
      <c r="LT1" s="21" t="s">
        <v>359</v>
      </c>
      <c r="LU1" s="21" t="s">
        <v>360</v>
      </c>
      <c r="LV1" s="21" t="s">
        <v>361</v>
      </c>
      <c r="LW1" s="21" t="s">
        <v>362</v>
      </c>
      <c r="LX1" s="21" t="s">
        <v>363</v>
      </c>
      <c r="LY1" s="21" t="s">
        <v>364</v>
      </c>
      <c r="LZ1" s="21" t="s">
        <v>365</v>
      </c>
      <c r="MA1" s="21" t="s">
        <v>366</v>
      </c>
      <c r="MB1" s="21" t="s">
        <v>367</v>
      </c>
      <c r="MC1" s="21" t="s">
        <v>368</v>
      </c>
      <c r="MD1" s="21" t="s">
        <v>369</v>
      </c>
      <c r="ME1" s="21" t="s">
        <v>370</v>
      </c>
      <c r="MF1" s="21" t="s">
        <v>371</v>
      </c>
      <c r="MG1" s="21" t="s">
        <v>372</v>
      </c>
      <c r="MH1" s="21" t="s">
        <v>373</v>
      </c>
      <c r="MI1" s="21" t="s">
        <v>374</v>
      </c>
      <c r="MJ1" s="21" t="s">
        <v>375</v>
      </c>
      <c r="MK1" s="21" t="s">
        <v>376</v>
      </c>
      <c r="ML1" s="21" t="s">
        <v>377</v>
      </c>
      <c r="MM1" s="21" t="s">
        <v>378</v>
      </c>
      <c r="MN1" s="21" t="s">
        <v>379</v>
      </c>
      <c r="MO1" s="21" t="s">
        <v>380</v>
      </c>
      <c r="MP1" s="21" t="s">
        <v>381</v>
      </c>
      <c r="MQ1" s="21" t="s">
        <v>382</v>
      </c>
      <c r="MR1" s="21" t="s">
        <v>383</v>
      </c>
      <c r="MS1" s="21" t="s">
        <v>384</v>
      </c>
      <c r="MT1" s="21" t="s">
        <v>385</v>
      </c>
      <c r="MU1" s="21" t="s">
        <v>386</v>
      </c>
      <c r="MV1" s="21" t="s">
        <v>387</v>
      </c>
      <c r="MW1" s="21" t="s">
        <v>388</v>
      </c>
      <c r="MX1" s="21" t="s">
        <v>389</v>
      </c>
      <c r="MY1" s="21" t="s">
        <v>390</v>
      </c>
      <c r="MZ1" s="21" t="s">
        <v>391</v>
      </c>
      <c r="NA1" s="21" t="s">
        <v>392</v>
      </c>
      <c r="NB1" s="21" t="s">
        <v>393</v>
      </c>
      <c r="NC1" s="21" t="s">
        <v>394</v>
      </c>
      <c r="ND1" s="21" t="s">
        <v>395</v>
      </c>
      <c r="NE1" s="21" t="s">
        <v>396</v>
      </c>
      <c r="NF1" s="21" t="s">
        <v>397</v>
      </c>
      <c r="NG1" s="21" t="s">
        <v>398</v>
      </c>
      <c r="NH1" s="21" t="s">
        <v>399</v>
      </c>
      <c r="NI1" s="21" t="s">
        <v>400</v>
      </c>
      <c r="NJ1" s="21" t="s">
        <v>401</v>
      </c>
      <c r="NK1" s="21" t="s">
        <v>402</v>
      </c>
      <c r="NL1" s="21" t="s">
        <v>403</v>
      </c>
      <c r="NM1" s="21" t="s">
        <v>404</v>
      </c>
      <c r="NN1" s="21" t="s">
        <v>405</v>
      </c>
      <c r="NO1" s="21" t="s">
        <v>406</v>
      </c>
      <c r="NP1" s="21" t="s">
        <v>407</v>
      </c>
      <c r="NQ1" s="21" t="s">
        <v>408</v>
      </c>
      <c r="NR1" s="21" t="s">
        <v>409</v>
      </c>
      <c r="NS1" s="21" t="s">
        <v>410</v>
      </c>
      <c r="NT1" s="21" t="s">
        <v>411</v>
      </c>
      <c r="NU1" s="21" t="s">
        <v>412</v>
      </c>
      <c r="NV1" s="21" t="s">
        <v>413</v>
      </c>
      <c r="NW1" s="21" t="s">
        <v>414</v>
      </c>
      <c r="NX1" s="21" t="s">
        <v>415</v>
      </c>
      <c r="NY1" s="21" t="s">
        <v>416</v>
      </c>
      <c r="NZ1" s="21" t="s">
        <v>417</v>
      </c>
      <c r="OA1" s="21" t="s">
        <v>418</v>
      </c>
      <c r="OB1" s="21" t="s">
        <v>419</v>
      </c>
      <c r="OC1" s="21" t="s">
        <v>420</v>
      </c>
      <c r="OD1" s="21" t="s">
        <v>421</v>
      </c>
      <c r="OE1" s="21" t="s">
        <v>422</v>
      </c>
      <c r="OF1" s="21" t="s">
        <v>423</v>
      </c>
      <c r="OG1" s="21" t="s">
        <v>424</v>
      </c>
      <c r="OH1" s="21" t="s">
        <v>425</v>
      </c>
      <c r="OI1" s="21" t="s">
        <v>426</v>
      </c>
      <c r="OJ1" s="21" t="s">
        <v>427</v>
      </c>
      <c r="OK1" s="21" t="s">
        <v>428</v>
      </c>
      <c r="OL1" s="21" t="s">
        <v>429</v>
      </c>
      <c r="OM1" s="21" t="s">
        <v>430</v>
      </c>
      <c r="ON1" s="21" t="s">
        <v>431</v>
      </c>
      <c r="OO1" s="21" t="s">
        <v>432</v>
      </c>
      <c r="OP1" s="21" t="s">
        <v>433</v>
      </c>
      <c r="OQ1" s="21" t="s">
        <v>434</v>
      </c>
      <c r="OR1" s="21" t="s">
        <v>435</v>
      </c>
      <c r="OS1" s="21" t="s">
        <v>436</v>
      </c>
      <c r="OT1" s="21" t="s">
        <v>437</v>
      </c>
      <c r="OU1" s="21" t="s">
        <v>438</v>
      </c>
      <c r="OV1" s="21" t="s">
        <v>439</v>
      </c>
      <c r="OW1" s="21" t="s">
        <v>440</v>
      </c>
      <c r="OX1" s="21" t="s">
        <v>441</v>
      </c>
      <c r="OY1" s="21" t="s">
        <v>442</v>
      </c>
      <c r="OZ1" s="21" t="s">
        <v>443</v>
      </c>
      <c r="PA1" s="21" t="s">
        <v>444</v>
      </c>
      <c r="PB1" s="21" t="s">
        <v>445</v>
      </c>
      <c r="PC1" s="21" t="s">
        <v>446</v>
      </c>
      <c r="PD1" s="21" t="s">
        <v>447</v>
      </c>
      <c r="PE1" s="21" t="s">
        <v>448</v>
      </c>
      <c r="PF1" s="21" t="s">
        <v>449</v>
      </c>
      <c r="PG1" s="21" t="s">
        <v>450</v>
      </c>
      <c r="PH1" s="21" t="s">
        <v>451</v>
      </c>
      <c r="PI1" s="21" t="s">
        <v>452</v>
      </c>
      <c r="PJ1" s="21" t="s">
        <v>453</v>
      </c>
      <c r="PK1" s="21" t="s">
        <v>454</v>
      </c>
      <c r="PL1" s="21" t="s">
        <v>455</v>
      </c>
      <c r="PM1" s="21" t="s">
        <v>456</v>
      </c>
      <c r="PN1" s="21" t="s">
        <v>457</v>
      </c>
      <c r="PO1" s="21" t="s">
        <v>458</v>
      </c>
      <c r="PP1" s="21" t="s">
        <v>459</v>
      </c>
      <c r="PQ1" s="21" t="s">
        <v>460</v>
      </c>
      <c r="PR1" s="21" t="s">
        <v>461</v>
      </c>
      <c r="PS1" s="21" t="s">
        <v>462</v>
      </c>
      <c r="PT1" s="21" t="s">
        <v>463</v>
      </c>
      <c r="PU1" s="21" t="s">
        <v>464</v>
      </c>
      <c r="PV1" s="21" t="s">
        <v>465</v>
      </c>
      <c r="PW1" s="21" t="s">
        <v>466</v>
      </c>
      <c r="PX1" s="21" t="s">
        <v>467</v>
      </c>
      <c r="PY1" s="21" t="s">
        <v>468</v>
      </c>
      <c r="PZ1" s="21" t="s">
        <v>469</v>
      </c>
      <c r="QA1" s="21" t="s">
        <v>470</v>
      </c>
      <c r="QB1" s="21" t="s">
        <v>471</v>
      </c>
      <c r="QC1" s="21" t="s">
        <v>472</v>
      </c>
      <c r="QD1" s="21" t="s">
        <v>473</v>
      </c>
      <c r="QE1" s="21" t="s">
        <v>474</v>
      </c>
      <c r="QF1" s="21" t="s">
        <v>475</v>
      </c>
      <c r="QG1" s="21" t="s">
        <v>476</v>
      </c>
      <c r="QH1" s="21" t="s">
        <v>477</v>
      </c>
      <c r="QI1" s="21" t="s">
        <v>478</v>
      </c>
      <c r="QJ1" s="21" t="s">
        <v>479</v>
      </c>
      <c r="QK1" s="21" t="s">
        <v>480</v>
      </c>
      <c r="QL1" s="21" t="s">
        <v>481</v>
      </c>
      <c r="QM1" s="21" t="s">
        <v>482</v>
      </c>
      <c r="QN1" s="21" t="s">
        <v>483</v>
      </c>
      <c r="QO1" s="21" t="s">
        <v>484</v>
      </c>
      <c r="QP1" s="21" t="s">
        <v>485</v>
      </c>
      <c r="QQ1" s="21" t="s">
        <v>486</v>
      </c>
      <c r="QR1" s="21" t="s">
        <v>487</v>
      </c>
      <c r="QS1" s="21" t="s">
        <v>488</v>
      </c>
      <c r="QT1" s="21" t="s">
        <v>489</v>
      </c>
      <c r="QU1" s="21" t="s">
        <v>490</v>
      </c>
      <c r="QV1" s="21" t="s">
        <v>491</v>
      </c>
      <c r="QW1" s="21" t="s">
        <v>492</v>
      </c>
      <c r="QX1" s="21" t="s">
        <v>493</v>
      </c>
      <c r="QY1" s="21" t="s">
        <v>494</v>
      </c>
      <c r="QZ1" s="21" t="s">
        <v>495</v>
      </c>
      <c r="RA1" s="21" t="s">
        <v>496</v>
      </c>
      <c r="RB1" s="21" t="s">
        <v>497</v>
      </c>
      <c r="RC1" s="21" t="s">
        <v>498</v>
      </c>
      <c r="RD1" s="21" t="s">
        <v>499</v>
      </c>
      <c r="RE1" s="21" t="s">
        <v>500</v>
      </c>
      <c r="RF1" s="21" t="s">
        <v>501</v>
      </c>
      <c r="RG1" s="21" t="s">
        <v>502</v>
      </c>
      <c r="RH1" s="21" t="s">
        <v>503</v>
      </c>
      <c r="RI1" s="21" t="s">
        <v>504</v>
      </c>
      <c r="RJ1" s="21" t="s">
        <v>505</v>
      </c>
      <c r="RK1" s="21" t="s">
        <v>506</v>
      </c>
      <c r="RL1" s="21" t="s">
        <v>507</v>
      </c>
      <c r="RM1" s="21" t="s">
        <v>508</v>
      </c>
      <c r="RN1" s="21" t="s">
        <v>509</v>
      </c>
      <c r="RO1" s="21" t="s">
        <v>510</v>
      </c>
      <c r="RP1" s="21" t="s">
        <v>511</v>
      </c>
      <c r="RQ1" s="21" t="s">
        <v>512</v>
      </c>
      <c r="RR1" s="21" t="s">
        <v>513</v>
      </c>
      <c r="RS1" s="21" t="s">
        <v>514</v>
      </c>
      <c r="RT1" s="21" t="s">
        <v>515</v>
      </c>
      <c r="RU1" s="21" t="s">
        <v>516</v>
      </c>
      <c r="RV1" s="21" t="s">
        <v>517</v>
      </c>
      <c r="RW1" s="21" t="s">
        <v>518</v>
      </c>
      <c r="RX1" s="21" t="s">
        <v>519</v>
      </c>
      <c r="RY1" s="21" t="s">
        <v>520</v>
      </c>
      <c r="RZ1" s="21" t="s">
        <v>521</v>
      </c>
      <c r="SA1" s="21" t="s">
        <v>522</v>
      </c>
      <c r="SB1" s="21" t="s">
        <v>523</v>
      </c>
      <c r="SC1" s="21" t="s">
        <v>524</v>
      </c>
      <c r="SD1" s="21" t="s">
        <v>525</v>
      </c>
      <c r="SE1" s="21" t="s">
        <v>526</v>
      </c>
      <c r="SF1" s="21" t="s">
        <v>527</v>
      </c>
      <c r="SG1" s="21" t="s">
        <v>528</v>
      </c>
      <c r="SH1" s="21" t="s">
        <v>529</v>
      </c>
      <c r="SI1" s="21" t="s">
        <v>530</v>
      </c>
      <c r="SJ1" s="21" t="s">
        <v>531</v>
      </c>
      <c r="SK1" s="21" t="s">
        <v>532</v>
      </c>
      <c r="SL1" s="21" t="s">
        <v>533</v>
      </c>
      <c r="SM1" s="21" t="s">
        <v>534</v>
      </c>
      <c r="SN1" s="21" t="s">
        <v>535</v>
      </c>
      <c r="SO1" s="21" t="s">
        <v>536</v>
      </c>
      <c r="SP1" s="21" t="s">
        <v>537</v>
      </c>
      <c r="SQ1" s="21" t="s">
        <v>538</v>
      </c>
      <c r="SR1" s="21" t="s">
        <v>539</v>
      </c>
      <c r="SS1" s="21" t="s">
        <v>540</v>
      </c>
      <c r="ST1" s="21" t="s">
        <v>541</v>
      </c>
      <c r="SU1" s="21" t="s">
        <v>542</v>
      </c>
      <c r="SV1" s="21" t="s">
        <v>543</v>
      </c>
      <c r="SW1" s="21" t="s">
        <v>544</v>
      </c>
      <c r="SX1" s="21" t="s">
        <v>545</v>
      </c>
      <c r="SY1" s="21" t="s">
        <v>546</v>
      </c>
      <c r="SZ1" s="21" t="s">
        <v>547</v>
      </c>
      <c r="TA1" s="21" t="s">
        <v>548</v>
      </c>
      <c r="TB1" s="21" t="s">
        <v>549</v>
      </c>
      <c r="TC1" s="21" t="s">
        <v>550</v>
      </c>
      <c r="TD1" s="21" t="s">
        <v>551</v>
      </c>
      <c r="TE1" s="21" t="s">
        <v>552</v>
      </c>
      <c r="TF1" s="21" t="s">
        <v>553</v>
      </c>
      <c r="TG1" s="21" t="s">
        <v>554</v>
      </c>
      <c r="TH1" s="21" t="s">
        <v>555</v>
      </c>
      <c r="TI1" s="21" t="s">
        <v>556</v>
      </c>
      <c r="TJ1" s="21" t="s">
        <v>557</v>
      </c>
      <c r="TK1" s="21" t="s">
        <v>558</v>
      </c>
      <c r="TL1" s="21" t="s">
        <v>559</v>
      </c>
      <c r="TM1" s="21" t="s">
        <v>560</v>
      </c>
      <c r="TN1" s="21" t="s">
        <v>561</v>
      </c>
      <c r="TO1" s="21" t="s">
        <v>562</v>
      </c>
      <c r="TP1" s="21" t="s">
        <v>563</v>
      </c>
      <c r="TQ1" s="21" t="s">
        <v>564</v>
      </c>
      <c r="TR1" s="21" t="s">
        <v>565</v>
      </c>
      <c r="TS1" s="21" t="s">
        <v>566</v>
      </c>
      <c r="TT1" s="21" t="s">
        <v>567</v>
      </c>
      <c r="TU1" s="21" t="s">
        <v>568</v>
      </c>
      <c r="TV1" s="21" t="s">
        <v>569</v>
      </c>
      <c r="TW1" s="21" t="s">
        <v>570</v>
      </c>
      <c r="TX1" s="21" t="s">
        <v>571</v>
      </c>
      <c r="TY1" s="21" t="s">
        <v>572</v>
      </c>
      <c r="TZ1" s="21" t="s">
        <v>573</v>
      </c>
      <c r="UA1" s="21" t="s">
        <v>574</v>
      </c>
      <c r="UB1" s="21" t="s">
        <v>575</v>
      </c>
      <c r="UC1" s="21" t="s">
        <v>576</v>
      </c>
      <c r="UD1" s="21" t="s">
        <v>577</v>
      </c>
      <c r="UE1" s="21" t="s">
        <v>578</v>
      </c>
      <c r="UF1" s="21" t="s">
        <v>579</v>
      </c>
      <c r="UG1" s="21" t="s">
        <v>580</v>
      </c>
      <c r="UH1" s="21" t="s">
        <v>581</v>
      </c>
      <c r="UI1" s="21" t="s">
        <v>582</v>
      </c>
      <c r="UJ1" s="21" t="s">
        <v>583</v>
      </c>
      <c r="UK1" s="21" t="s">
        <v>584</v>
      </c>
      <c r="UL1" s="21" t="s">
        <v>585</v>
      </c>
      <c r="UM1" s="21" t="s">
        <v>586</v>
      </c>
      <c r="UN1" s="21" t="s">
        <v>587</v>
      </c>
      <c r="UO1" s="21" t="s">
        <v>588</v>
      </c>
      <c r="UP1" s="21" t="s">
        <v>589</v>
      </c>
      <c r="UQ1" s="21" t="s">
        <v>590</v>
      </c>
      <c r="UR1" s="21" t="s">
        <v>591</v>
      </c>
      <c r="US1" s="21" t="s">
        <v>592</v>
      </c>
      <c r="UT1" s="21" t="s">
        <v>593</v>
      </c>
      <c r="UU1" s="21" t="s">
        <v>594</v>
      </c>
      <c r="UV1" s="21" t="s">
        <v>595</v>
      </c>
      <c r="UW1" s="21" t="s">
        <v>596</v>
      </c>
      <c r="UX1" s="21" t="s">
        <v>597</v>
      </c>
      <c r="UY1" s="21" t="s">
        <v>598</v>
      </c>
      <c r="UZ1" s="21" t="s">
        <v>599</v>
      </c>
      <c r="VA1" s="21" t="s">
        <v>600</v>
      </c>
      <c r="VB1" s="21" t="s">
        <v>601</v>
      </c>
      <c r="VC1" s="21" t="s">
        <v>602</v>
      </c>
      <c r="VD1" s="21" t="s">
        <v>603</v>
      </c>
      <c r="VE1" s="21" t="s">
        <v>604</v>
      </c>
      <c r="VF1" s="21" t="s">
        <v>605</v>
      </c>
      <c r="VG1" s="21" t="s">
        <v>606</v>
      </c>
      <c r="VH1" s="21" t="s">
        <v>607</v>
      </c>
      <c r="VI1" s="21" t="s">
        <v>608</v>
      </c>
      <c r="VJ1" s="21" t="s">
        <v>609</v>
      </c>
      <c r="VK1" s="21" t="s">
        <v>610</v>
      </c>
      <c r="VL1" s="21" t="s">
        <v>611</v>
      </c>
      <c r="VM1" s="21" t="s">
        <v>612</v>
      </c>
      <c r="VN1" s="21" t="s">
        <v>613</v>
      </c>
      <c r="VO1" s="21" t="s">
        <v>614</v>
      </c>
      <c r="VP1" s="21" t="s">
        <v>615</v>
      </c>
      <c r="VQ1" s="21" t="s">
        <v>616</v>
      </c>
      <c r="VR1" s="21" t="s">
        <v>617</v>
      </c>
      <c r="VS1" s="21" t="s">
        <v>618</v>
      </c>
      <c r="VT1" s="21" t="s">
        <v>619</v>
      </c>
      <c r="VU1" s="21" t="s">
        <v>620</v>
      </c>
      <c r="VV1" s="21" t="s">
        <v>621</v>
      </c>
      <c r="VW1" s="21" t="s">
        <v>622</v>
      </c>
      <c r="VX1" s="21" t="s">
        <v>623</v>
      </c>
      <c r="VY1" s="21" t="s">
        <v>624</v>
      </c>
      <c r="VZ1" s="21" t="s">
        <v>625</v>
      </c>
      <c r="WA1" s="21" t="s">
        <v>626</v>
      </c>
      <c r="WB1" s="21" t="s">
        <v>627</v>
      </c>
      <c r="WC1" s="21" t="s">
        <v>628</v>
      </c>
      <c r="WD1" s="21" t="s">
        <v>629</v>
      </c>
      <c r="WE1" s="21" t="s">
        <v>630</v>
      </c>
      <c r="WF1" s="21" t="s">
        <v>631</v>
      </c>
      <c r="WG1" s="21" t="s">
        <v>632</v>
      </c>
      <c r="WH1" s="21" t="s">
        <v>633</v>
      </c>
      <c r="WI1" s="21" t="s">
        <v>634</v>
      </c>
      <c r="WJ1" s="21" t="s">
        <v>635</v>
      </c>
      <c r="WK1" s="21" t="s">
        <v>636</v>
      </c>
      <c r="WL1" s="21" t="s">
        <v>637</v>
      </c>
      <c r="WM1" s="21" t="s">
        <v>638</v>
      </c>
      <c r="WN1" s="21" t="s">
        <v>639</v>
      </c>
      <c r="WO1" s="21" t="s">
        <v>640</v>
      </c>
      <c r="WP1" s="21" t="s">
        <v>641</v>
      </c>
      <c r="WQ1" s="21" t="s">
        <v>642</v>
      </c>
      <c r="WR1" s="21" t="s">
        <v>643</v>
      </c>
      <c r="WS1" s="21" t="s">
        <v>644</v>
      </c>
      <c r="WT1" s="21" t="s">
        <v>645</v>
      </c>
      <c r="WU1" s="21" t="s">
        <v>646</v>
      </c>
      <c r="WV1" s="21" t="s">
        <v>647</v>
      </c>
      <c r="WW1" s="21" t="s">
        <v>648</v>
      </c>
      <c r="WX1" s="21" t="s">
        <v>649</v>
      </c>
    </row>
    <row r="2">
      <c r="A2" s="21">
        <v>0.0</v>
      </c>
      <c r="B2" s="22">
        <v>45832.0</v>
      </c>
      <c r="C2" s="21">
        <v>2025.0</v>
      </c>
      <c r="D2" s="21">
        <v>2.0250073E7</v>
      </c>
      <c r="E2" s="21">
        <v>41071.0</v>
      </c>
      <c r="F2" s="21" t="s">
        <v>650</v>
      </c>
      <c r="G2" s="21">
        <v>32099.0</v>
      </c>
      <c r="H2" s="21" t="s">
        <v>651</v>
      </c>
      <c r="I2" s="21" t="s">
        <v>652</v>
      </c>
      <c r="J2" s="21" t="s">
        <v>653</v>
      </c>
      <c r="K2" s="21" t="s">
        <v>654</v>
      </c>
      <c r="L2" s="21">
        <v>77002.0</v>
      </c>
      <c r="M2" s="23">
        <v>45805.84861111111</v>
      </c>
      <c r="N2" s="21" t="s">
        <v>655</v>
      </c>
      <c r="O2" s="21" t="s">
        <v>656</v>
      </c>
      <c r="P2" s="21">
        <v>31.275848</v>
      </c>
      <c r="Q2" s="21">
        <v>-101.69314</v>
      </c>
      <c r="R2" s="21">
        <v>1432147.0</v>
      </c>
      <c r="S2" s="24">
        <v>45806.57708333333</v>
      </c>
      <c r="T2" s="21">
        <v>1432269.0</v>
      </c>
      <c r="U2" s="21" t="s">
        <v>657</v>
      </c>
      <c r="W2" s="21">
        <v>39.0</v>
      </c>
      <c r="X2" s="21">
        <v>0.0</v>
      </c>
      <c r="Y2" s="21">
        <v>0.0</v>
      </c>
      <c r="Z2" s="21" t="s">
        <v>656</v>
      </c>
      <c r="AF2" s="21">
        <v>0.0</v>
      </c>
      <c r="AG2" s="21" t="s">
        <v>656</v>
      </c>
      <c r="AM2" s="21">
        <v>0.0</v>
      </c>
      <c r="AN2" s="21" t="s">
        <v>658</v>
      </c>
      <c r="AO2" s="21" t="s">
        <v>659</v>
      </c>
      <c r="AQ2" s="24">
        <v>45805.84861111111</v>
      </c>
      <c r="AR2" s="24">
        <v>45806.115277777775</v>
      </c>
      <c r="AT2" s="21" t="s">
        <v>659</v>
      </c>
      <c r="AU2" s="21" t="s">
        <v>660</v>
      </c>
      <c r="AV2" s="24">
        <v>45805.854166666664</v>
      </c>
      <c r="AW2" s="21" t="s">
        <v>659</v>
      </c>
      <c r="AX2" s="24">
        <v>45805.84861111111</v>
      </c>
      <c r="AY2" s="21" t="s">
        <v>661</v>
      </c>
      <c r="BA2" s="21">
        <v>39.0</v>
      </c>
      <c r="BB2" s="21" t="s">
        <v>656</v>
      </c>
      <c r="BI2" s="21">
        <v>0.0</v>
      </c>
      <c r="BJ2" s="24">
        <v>45805.84861111111</v>
      </c>
      <c r="BK2" s="24">
        <v>45805.86111111111</v>
      </c>
      <c r="BL2" s="24">
        <v>45805.86111111111</v>
      </c>
      <c r="BM2" s="21" t="s">
        <v>662</v>
      </c>
      <c r="BN2" s="21" t="s">
        <v>654</v>
      </c>
      <c r="BO2" s="21">
        <v>76932.0</v>
      </c>
      <c r="BP2" s="21" t="s">
        <v>663</v>
      </c>
      <c r="BQ2" s="21" t="s">
        <v>664</v>
      </c>
      <c r="BR2" s="21" t="s">
        <v>665</v>
      </c>
      <c r="BT2" s="21" t="s">
        <v>666</v>
      </c>
      <c r="BU2" s="21" t="s">
        <v>667</v>
      </c>
      <c r="BV2" s="21" t="s">
        <v>656</v>
      </c>
      <c r="BW2" s="21" t="s">
        <v>668</v>
      </c>
      <c r="BX2" s="21" t="s">
        <v>669</v>
      </c>
      <c r="BY2" s="21" t="s">
        <v>670</v>
      </c>
      <c r="CC2" s="21" t="s">
        <v>656</v>
      </c>
      <c r="CZ2" s="21" t="s">
        <v>671</v>
      </c>
      <c r="DA2" s="21" t="s">
        <v>672</v>
      </c>
      <c r="DB2" s="21" t="s">
        <v>673</v>
      </c>
      <c r="EO2" s="21">
        <v>2024.0</v>
      </c>
      <c r="EP2" s="21">
        <v>2018.0</v>
      </c>
      <c r="EQ2" s="21" t="s">
        <v>674</v>
      </c>
      <c r="ES2" s="21" t="s">
        <v>675</v>
      </c>
      <c r="EV2" s="21" t="s">
        <v>676</v>
      </c>
      <c r="FC2" s="21" t="s">
        <v>677</v>
      </c>
      <c r="FD2" s="21" t="s">
        <v>656</v>
      </c>
      <c r="FF2" s="21">
        <v>211.0</v>
      </c>
      <c r="FH2" s="21" t="s">
        <v>656</v>
      </c>
      <c r="FI2" s="21" t="s">
        <v>656</v>
      </c>
      <c r="FL2" s="21" t="s">
        <v>656</v>
      </c>
      <c r="FO2" s="21">
        <v>0.0</v>
      </c>
      <c r="FP2" s="21">
        <v>139.0</v>
      </c>
      <c r="FQ2" s="21">
        <v>0.0</v>
      </c>
      <c r="FR2" s="21">
        <v>146000.0</v>
      </c>
      <c r="FS2" s="21">
        <v>5000.0</v>
      </c>
      <c r="FT2" s="21">
        <v>0.0</v>
      </c>
      <c r="FV2" s="21">
        <v>3.57</v>
      </c>
      <c r="FW2" s="21">
        <v>151139.0</v>
      </c>
      <c r="FX2" s="21">
        <v>0.0</v>
      </c>
      <c r="FY2" s="21">
        <v>0.0</v>
      </c>
      <c r="FZ2" s="21">
        <v>0.0</v>
      </c>
      <c r="GA2" s="21">
        <v>0.0</v>
      </c>
      <c r="GB2" s="21" t="s">
        <v>656</v>
      </c>
      <c r="GF2" s="21">
        <v>30.0</v>
      </c>
      <c r="GG2" s="21">
        <v>3900.0</v>
      </c>
      <c r="GH2" s="21">
        <v>1440.0</v>
      </c>
      <c r="GI2" s="21" t="s">
        <v>678</v>
      </c>
      <c r="GK2" s="25">
        <v>44285.0</v>
      </c>
      <c r="GL2" s="21" t="s">
        <v>656</v>
      </c>
      <c r="GM2" s="21" t="s">
        <v>679</v>
      </c>
      <c r="GN2" s="21" t="s">
        <v>656</v>
      </c>
      <c r="GQ2" s="21" t="s">
        <v>656</v>
      </c>
      <c r="HK2" s="21" t="s">
        <v>680</v>
      </c>
      <c r="HL2" s="21" t="s">
        <v>659</v>
      </c>
      <c r="HM2" s="21" t="s">
        <v>659</v>
      </c>
      <c r="HN2" s="21" t="s">
        <v>659</v>
      </c>
      <c r="HO2" s="21" t="s">
        <v>659</v>
      </c>
      <c r="HP2" s="21" t="s">
        <v>656</v>
      </c>
      <c r="HQ2" s="21" t="s">
        <v>681</v>
      </c>
      <c r="HT2" s="21" t="s">
        <v>682</v>
      </c>
      <c r="IH2" s="21" t="s">
        <v>656</v>
      </c>
      <c r="II2" s="21" t="s">
        <v>656</v>
      </c>
      <c r="IN2" s="21" t="s">
        <v>683</v>
      </c>
      <c r="IO2" s="21" t="s">
        <v>684</v>
      </c>
      <c r="QS2" s="21" t="s">
        <v>684</v>
      </c>
      <c r="QU2" s="21" t="s">
        <v>685</v>
      </c>
      <c r="WL2" s="21" t="s">
        <v>686</v>
      </c>
      <c r="WN2" s="21" t="s">
        <v>687</v>
      </c>
      <c r="WO2" s="21" t="s">
        <v>688</v>
      </c>
      <c r="WQ2" s="21" t="s">
        <v>686</v>
      </c>
      <c r="WR2" s="21" t="s">
        <v>687</v>
      </c>
      <c r="WS2" s="21">
        <v>4.32265681E9</v>
      </c>
      <c r="WT2" s="21" t="s">
        <v>689</v>
      </c>
      <c r="WV2" s="21">
        <v>7.139895231E9</v>
      </c>
      <c r="WW2" s="21" t="s">
        <v>690</v>
      </c>
      <c r="WX2" s="21" t="s">
        <v>691</v>
      </c>
    </row>
    <row r="3">
      <c r="A3" s="21">
        <v>1.0</v>
      </c>
      <c r="B3" s="22">
        <v>45832.0</v>
      </c>
      <c r="C3" s="21">
        <v>2025.0</v>
      </c>
      <c r="D3" s="21">
        <v>2.0250072E7</v>
      </c>
      <c r="E3" s="21">
        <v>41069.0</v>
      </c>
      <c r="F3" s="21" t="s">
        <v>650</v>
      </c>
      <c r="G3" s="21">
        <v>39368.0</v>
      </c>
      <c r="H3" s="21" t="s">
        <v>692</v>
      </c>
      <c r="I3" s="21" t="s">
        <v>652</v>
      </c>
      <c r="J3" s="21" t="s">
        <v>653</v>
      </c>
      <c r="K3" s="21" t="s">
        <v>654</v>
      </c>
      <c r="L3" s="21">
        <v>77002.0</v>
      </c>
      <c r="M3" s="23">
        <v>45802.32638888889</v>
      </c>
      <c r="N3" s="21" t="s">
        <v>655</v>
      </c>
      <c r="O3" s="21" t="s">
        <v>656</v>
      </c>
      <c r="P3" s="21">
        <v>31.84378</v>
      </c>
      <c r="Q3" s="21">
        <v>-103.75784</v>
      </c>
      <c r="R3" s="21">
        <v>1432147.0</v>
      </c>
      <c r="S3" s="24">
        <v>45802.61041666667</v>
      </c>
      <c r="T3" s="21">
        <v>1432269.0</v>
      </c>
      <c r="U3" s="21" t="s">
        <v>657</v>
      </c>
      <c r="W3" s="21">
        <v>15.0</v>
      </c>
      <c r="X3" s="21">
        <v>0.0</v>
      </c>
      <c r="Y3" s="21">
        <v>0.0</v>
      </c>
      <c r="Z3" s="21" t="s">
        <v>656</v>
      </c>
      <c r="AF3" s="21">
        <v>0.0</v>
      </c>
      <c r="AG3" s="21" t="s">
        <v>656</v>
      </c>
      <c r="AM3" s="21">
        <v>0.0</v>
      </c>
      <c r="AN3" s="21" t="s">
        <v>658</v>
      </c>
      <c r="AO3" s="21" t="s">
        <v>659</v>
      </c>
      <c r="AQ3" s="24">
        <v>45802.33194444444</v>
      </c>
      <c r="AR3" s="24">
        <v>45804.38333333333</v>
      </c>
      <c r="AT3" s="21" t="s">
        <v>659</v>
      </c>
      <c r="AU3" s="21" t="s">
        <v>660</v>
      </c>
      <c r="AV3" s="24">
        <v>45802.34166666667</v>
      </c>
      <c r="AW3" s="21" t="s">
        <v>659</v>
      </c>
      <c r="AX3" s="24">
        <v>45802.33125</v>
      </c>
      <c r="AY3" s="21" t="s">
        <v>661</v>
      </c>
      <c r="BA3" s="21">
        <v>15.0</v>
      </c>
      <c r="BB3" s="21" t="s">
        <v>656</v>
      </c>
      <c r="BI3" s="21">
        <v>0.0</v>
      </c>
      <c r="BJ3" s="24">
        <v>45802.33125</v>
      </c>
      <c r="BK3" s="24">
        <v>45802.36388888889</v>
      </c>
      <c r="BL3" s="24">
        <v>45802.33125</v>
      </c>
      <c r="BM3" s="21" t="s">
        <v>662</v>
      </c>
      <c r="BN3" s="21" t="s">
        <v>654</v>
      </c>
      <c r="BO3" s="21">
        <v>79754.0</v>
      </c>
      <c r="BP3" s="21" t="s">
        <v>663</v>
      </c>
      <c r="BQ3" s="21" t="s">
        <v>693</v>
      </c>
      <c r="BR3" s="21" t="s">
        <v>665</v>
      </c>
      <c r="BT3" s="21" t="s">
        <v>694</v>
      </c>
      <c r="BU3" s="21" t="s">
        <v>695</v>
      </c>
      <c r="BV3" s="21" t="s">
        <v>656</v>
      </c>
      <c r="BW3" s="21" t="s">
        <v>668</v>
      </c>
      <c r="BX3" s="21" t="s">
        <v>669</v>
      </c>
      <c r="BY3" s="21" t="s">
        <v>670</v>
      </c>
      <c r="CC3" s="21" t="s">
        <v>656</v>
      </c>
      <c r="CZ3" s="21" t="s">
        <v>671</v>
      </c>
      <c r="DA3" s="21" t="s">
        <v>672</v>
      </c>
      <c r="DB3" s="21" t="s">
        <v>673</v>
      </c>
      <c r="EO3" s="21">
        <v>2024.0</v>
      </c>
      <c r="EP3" s="21">
        <v>2018.0</v>
      </c>
      <c r="EQ3" s="21" t="s">
        <v>674</v>
      </c>
      <c r="ES3" s="21" t="s">
        <v>696</v>
      </c>
      <c r="FB3" s="21" t="s">
        <v>697</v>
      </c>
      <c r="FC3" s="21" t="s">
        <v>677</v>
      </c>
      <c r="FD3" s="21" t="s">
        <v>656</v>
      </c>
      <c r="FF3" s="21">
        <v>211.0</v>
      </c>
      <c r="FH3" s="21" t="s">
        <v>656</v>
      </c>
      <c r="FI3" s="21" t="s">
        <v>656</v>
      </c>
      <c r="FL3" s="21" t="s">
        <v>656</v>
      </c>
      <c r="FO3" s="21">
        <v>0.0</v>
      </c>
      <c r="FP3" s="21">
        <v>56.0</v>
      </c>
      <c r="FQ3" s="21">
        <v>0.0</v>
      </c>
      <c r="FR3" s="21">
        <v>146000.0</v>
      </c>
      <c r="FS3" s="21">
        <v>5000.0</v>
      </c>
      <c r="FT3" s="21">
        <v>0.0</v>
      </c>
      <c r="FV3" s="21">
        <v>3.71</v>
      </c>
      <c r="FW3" s="21">
        <v>151056.0</v>
      </c>
      <c r="FX3" s="21">
        <v>2.0</v>
      </c>
      <c r="FY3" s="21">
        <v>0.0</v>
      </c>
      <c r="FZ3" s="21">
        <v>0.0</v>
      </c>
      <c r="GA3" s="21">
        <v>0.0</v>
      </c>
      <c r="GB3" s="21" t="s">
        <v>656</v>
      </c>
      <c r="GF3" s="21">
        <v>88.0</v>
      </c>
      <c r="GG3" s="21">
        <v>0.0</v>
      </c>
      <c r="GH3" s="21">
        <v>720.0</v>
      </c>
      <c r="GI3" s="21" t="s">
        <v>678</v>
      </c>
      <c r="GK3" s="25">
        <v>45607.0</v>
      </c>
      <c r="GL3" s="21" t="s">
        <v>656</v>
      </c>
      <c r="GM3" s="21" t="s">
        <v>679</v>
      </c>
      <c r="GN3" s="21" t="s">
        <v>656</v>
      </c>
      <c r="GQ3" s="21" t="s">
        <v>656</v>
      </c>
      <c r="HK3" s="21" t="s">
        <v>680</v>
      </c>
      <c r="HL3" s="21" t="s">
        <v>659</v>
      </c>
      <c r="HM3" s="21" t="s">
        <v>659</v>
      </c>
      <c r="HN3" s="21" t="s">
        <v>659</v>
      </c>
      <c r="HO3" s="21" t="s">
        <v>656</v>
      </c>
      <c r="HP3" s="21" t="s">
        <v>656</v>
      </c>
      <c r="HQ3" s="21" t="s">
        <v>698</v>
      </c>
      <c r="HS3" s="21" t="s">
        <v>699</v>
      </c>
      <c r="HT3" s="21" t="s">
        <v>682</v>
      </c>
      <c r="IH3" s="21" t="s">
        <v>656</v>
      </c>
      <c r="II3" s="21" t="s">
        <v>659</v>
      </c>
      <c r="IL3" s="21">
        <v>1.0</v>
      </c>
      <c r="IM3" s="21">
        <v>0.0</v>
      </c>
      <c r="IN3" s="21" t="s">
        <v>683</v>
      </c>
      <c r="IO3" s="21" t="s">
        <v>684</v>
      </c>
      <c r="QS3" s="21" t="s">
        <v>684</v>
      </c>
      <c r="QU3" s="21" t="s">
        <v>685</v>
      </c>
      <c r="WL3" s="21" t="s">
        <v>686</v>
      </c>
      <c r="WN3" s="21" t="s">
        <v>687</v>
      </c>
      <c r="WO3" s="21" t="s">
        <v>688</v>
      </c>
      <c r="WQ3" s="21" t="s">
        <v>686</v>
      </c>
      <c r="WR3" s="21" t="s">
        <v>687</v>
      </c>
      <c r="WS3" s="21">
        <v>4.32265681E9</v>
      </c>
      <c r="WT3" s="21" t="s">
        <v>689</v>
      </c>
      <c r="WV3" s="21">
        <v>7.139895231E9</v>
      </c>
      <c r="WW3" s="21" t="s">
        <v>690</v>
      </c>
      <c r="WX3" s="21" t="s">
        <v>700</v>
      </c>
    </row>
    <row r="4">
      <c r="A4" s="21">
        <v>3.0</v>
      </c>
      <c r="B4" s="22">
        <v>45812.0</v>
      </c>
      <c r="C4" s="21">
        <v>2025.0</v>
      </c>
      <c r="D4" s="21">
        <v>2.0250066E7</v>
      </c>
      <c r="E4" s="21">
        <v>40988.0</v>
      </c>
      <c r="F4" s="21" t="s">
        <v>701</v>
      </c>
      <c r="G4" s="21">
        <v>18152.0</v>
      </c>
      <c r="H4" s="21" t="s">
        <v>702</v>
      </c>
      <c r="I4" s="21" t="s">
        <v>652</v>
      </c>
      <c r="J4" s="21" t="s">
        <v>653</v>
      </c>
      <c r="K4" s="21" t="s">
        <v>654</v>
      </c>
      <c r="L4" s="21">
        <v>77002.0</v>
      </c>
      <c r="M4" s="23">
        <v>45794.604166666664</v>
      </c>
      <c r="N4" s="21" t="s">
        <v>655</v>
      </c>
      <c r="O4" s="21" t="s">
        <v>659</v>
      </c>
      <c r="P4" s="21">
        <v>28.246468</v>
      </c>
      <c r="Q4" s="21">
        <v>-91.70387</v>
      </c>
      <c r="R4" s="21">
        <v>1421397.0</v>
      </c>
      <c r="S4" s="24">
        <v>45794.63263888889</v>
      </c>
      <c r="T4" s="21" t="s">
        <v>703</v>
      </c>
      <c r="U4" s="21" t="s">
        <v>657</v>
      </c>
      <c r="W4" s="21">
        <v>1587069.0</v>
      </c>
      <c r="X4" s="21">
        <v>0.0</v>
      </c>
      <c r="Y4" s="21">
        <v>0.0</v>
      </c>
      <c r="Z4" s="21" t="s">
        <v>656</v>
      </c>
      <c r="AF4" s="21">
        <v>0.0</v>
      </c>
      <c r="AG4" s="21" t="s">
        <v>656</v>
      </c>
      <c r="AM4" s="21">
        <v>0.0</v>
      </c>
      <c r="AN4" s="21" t="s">
        <v>658</v>
      </c>
      <c r="AO4" s="21" t="s">
        <v>659</v>
      </c>
      <c r="AQ4" s="24">
        <v>45794.60902777778</v>
      </c>
      <c r="AR4" s="24">
        <v>45801.615277777775</v>
      </c>
      <c r="AT4" s="21" t="s">
        <v>659</v>
      </c>
      <c r="AU4" s="21" t="s">
        <v>660</v>
      </c>
      <c r="AV4" s="24">
        <v>45794.63263888889</v>
      </c>
      <c r="AW4" s="21" t="s">
        <v>656</v>
      </c>
      <c r="BC4" s="21" t="s">
        <v>704</v>
      </c>
      <c r="BE4" s="24">
        <v>45794.51180555556</v>
      </c>
      <c r="BF4" s="21" t="s">
        <v>704</v>
      </c>
      <c r="BH4" s="24">
        <v>45794.60902777778</v>
      </c>
      <c r="BI4" s="21">
        <v>0.0</v>
      </c>
      <c r="BJ4" s="24">
        <v>45800.61111111111</v>
      </c>
      <c r="BK4" s="24">
        <v>45794.51180555556</v>
      </c>
      <c r="BL4" s="24">
        <v>45800.61111111111</v>
      </c>
      <c r="BM4" s="21" t="s">
        <v>705</v>
      </c>
      <c r="BT4" s="21" t="s">
        <v>706</v>
      </c>
      <c r="BU4" s="21" t="s">
        <v>707</v>
      </c>
      <c r="CP4" s="21">
        <v>260.0</v>
      </c>
      <c r="CQ4" s="21" t="s">
        <v>708</v>
      </c>
      <c r="CV4" s="21" t="s">
        <v>709</v>
      </c>
      <c r="CW4" s="21" t="s">
        <v>710</v>
      </c>
      <c r="CX4" s="21">
        <v>330.0</v>
      </c>
      <c r="CY4" s="21" t="s">
        <v>711</v>
      </c>
      <c r="CZ4" s="21" t="s">
        <v>712</v>
      </c>
      <c r="DA4" s="21" t="s">
        <v>713</v>
      </c>
      <c r="DB4" s="21" t="s">
        <v>714</v>
      </c>
      <c r="DC4" s="21" t="s">
        <v>715</v>
      </c>
      <c r="DD4" s="21">
        <v>8.625</v>
      </c>
      <c r="DE4" s="21" t="s">
        <v>656</v>
      </c>
      <c r="DF4" s="21">
        <v>0.41</v>
      </c>
      <c r="DG4" s="21">
        <v>24000.0</v>
      </c>
      <c r="DH4" s="21" t="s">
        <v>716</v>
      </c>
      <c r="DI4" s="21" t="s">
        <v>696</v>
      </c>
      <c r="DJ4" s="21" t="s">
        <v>684</v>
      </c>
      <c r="DK4" s="21" t="s">
        <v>684</v>
      </c>
      <c r="DL4" s="21" t="s">
        <v>696</v>
      </c>
      <c r="DM4" s="21" t="s">
        <v>717</v>
      </c>
      <c r="DN4" s="21" t="s">
        <v>659</v>
      </c>
      <c r="EO4" s="21">
        <v>1973.0</v>
      </c>
      <c r="EP4" s="21">
        <v>1973.0</v>
      </c>
      <c r="EQ4" s="21" t="s">
        <v>674</v>
      </c>
      <c r="ES4" s="21" t="s">
        <v>675</v>
      </c>
      <c r="EV4" s="21" t="s">
        <v>718</v>
      </c>
      <c r="FC4" s="21" t="s">
        <v>677</v>
      </c>
      <c r="FD4" s="21" t="s">
        <v>656</v>
      </c>
      <c r="FF4" s="21">
        <v>215.0</v>
      </c>
      <c r="FH4" s="21" t="s">
        <v>656</v>
      </c>
      <c r="FI4" s="21" t="s">
        <v>656</v>
      </c>
      <c r="FL4" s="21" t="s">
        <v>656</v>
      </c>
      <c r="FO4" s="21">
        <v>0.0</v>
      </c>
      <c r="FP4" s="21">
        <v>5523000.0</v>
      </c>
      <c r="FQ4" s="21">
        <v>0.0</v>
      </c>
      <c r="FR4" s="21">
        <v>350000.0</v>
      </c>
      <c r="FS4" s="21">
        <v>35000.0</v>
      </c>
      <c r="FT4" s="21">
        <v>0.0</v>
      </c>
      <c r="FV4" s="21">
        <v>3.48</v>
      </c>
      <c r="FW4" s="21">
        <v>5908000.0</v>
      </c>
      <c r="FX4" s="21">
        <v>0.0</v>
      </c>
      <c r="FY4" s="21">
        <v>0.0</v>
      </c>
      <c r="FZ4" s="21">
        <v>0.0</v>
      </c>
      <c r="GA4" s="21">
        <v>0.0</v>
      </c>
      <c r="GB4" s="21" t="s">
        <v>656</v>
      </c>
      <c r="GF4" s="21">
        <v>900.0</v>
      </c>
      <c r="GG4" s="21">
        <v>3000.0</v>
      </c>
      <c r="GH4" s="21">
        <v>1306.0</v>
      </c>
      <c r="GI4" s="21" t="s">
        <v>719</v>
      </c>
      <c r="GK4" s="25">
        <v>28126.0</v>
      </c>
      <c r="GL4" s="21" t="s">
        <v>656</v>
      </c>
      <c r="GM4" s="21" t="s">
        <v>679</v>
      </c>
      <c r="GN4" s="21" t="s">
        <v>656</v>
      </c>
      <c r="GQ4" s="21" t="s">
        <v>656</v>
      </c>
      <c r="GS4" s="21" t="s">
        <v>720</v>
      </c>
      <c r="GT4" s="21" t="s">
        <v>720</v>
      </c>
      <c r="GU4" s="21">
        <v>31680.0</v>
      </c>
      <c r="GV4" s="21" t="s">
        <v>656</v>
      </c>
      <c r="GY4" s="21" t="s">
        <v>659</v>
      </c>
      <c r="HD4" s="21" t="s">
        <v>659</v>
      </c>
      <c r="HG4" s="21" t="s">
        <v>659</v>
      </c>
      <c r="HK4" s="21" t="s">
        <v>721</v>
      </c>
      <c r="HL4" s="21" t="s">
        <v>659</v>
      </c>
      <c r="HM4" s="21" t="s">
        <v>659</v>
      </c>
      <c r="HN4" s="21" t="s">
        <v>659</v>
      </c>
      <c r="HO4" s="21" t="s">
        <v>656</v>
      </c>
      <c r="HP4" s="21" t="s">
        <v>656</v>
      </c>
      <c r="HQ4" s="21" t="s">
        <v>696</v>
      </c>
      <c r="HR4" s="21" t="s">
        <v>722</v>
      </c>
      <c r="HT4" s="21" t="s">
        <v>723</v>
      </c>
      <c r="HU4" s="21" t="s">
        <v>724</v>
      </c>
      <c r="IH4" s="21" t="s">
        <v>656</v>
      </c>
      <c r="II4" s="21" t="s">
        <v>656</v>
      </c>
      <c r="IN4" s="21" t="s">
        <v>725</v>
      </c>
      <c r="IO4" s="21" t="s">
        <v>726</v>
      </c>
      <c r="IP4" s="21" t="s">
        <v>726</v>
      </c>
      <c r="JT4" s="21" t="s">
        <v>727</v>
      </c>
      <c r="JV4" s="21" t="s">
        <v>659</v>
      </c>
      <c r="KB4" s="21" t="s">
        <v>659</v>
      </c>
      <c r="KF4" s="21" t="s">
        <v>659</v>
      </c>
      <c r="KL4" s="21" t="s">
        <v>656</v>
      </c>
      <c r="KM4" s="21" t="s">
        <v>656</v>
      </c>
      <c r="KN4" s="21" t="s">
        <v>656</v>
      </c>
      <c r="KO4" s="21" t="s">
        <v>728</v>
      </c>
      <c r="QW4" s="21" t="s">
        <v>656</v>
      </c>
      <c r="TI4" s="21" t="s">
        <v>656</v>
      </c>
      <c r="TL4" s="21" t="s">
        <v>656</v>
      </c>
      <c r="TZ4" s="21" t="s">
        <v>656</v>
      </c>
      <c r="WL4" s="21" t="s">
        <v>729</v>
      </c>
      <c r="WM4" s="21" t="s">
        <v>730</v>
      </c>
      <c r="WN4" s="21" t="s">
        <v>731</v>
      </c>
      <c r="WO4" s="21">
        <v>4.093823918E9</v>
      </c>
      <c r="WT4" s="21" t="s">
        <v>729</v>
      </c>
      <c r="WU4" s="21" t="s">
        <v>730</v>
      </c>
      <c r="WV4" s="21">
        <v>4.093823918E9</v>
      </c>
      <c r="WW4" s="21" t="s">
        <v>731</v>
      </c>
      <c r="WX4" s="21" t="s">
        <v>732</v>
      </c>
    </row>
    <row r="5">
      <c r="A5" s="21">
        <v>7.0</v>
      </c>
      <c r="B5" s="22">
        <v>45823.0</v>
      </c>
      <c r="C5" s="21">
        <v>2025.0</v>
      </c>
      <c r="D5" s="21">
        <v>2.025007E7</v>
      </c>
      <c r="E5" s="21">
        <v>41024.0</v>
      </c>
      <c r="F5" s="21" t="s">
        <v>650</v>
      </c>
      <c r="G5" s="21">
        <v>32099.0</v>
      </c>
      <c r="H5" s="21" t="s">
        <v>651</v>
      </c>
      <c r="I5" s="21" t="s">
        <v>652</v>
      </c>
      <c r="J5" s="21" t="s">
        <v>653</v>
      </c>
      <c r="K5" s="21" t="s">
        <v>654</v>
      </c>
      <c r="L5" s="21">
        <v>77002.0</v>
      </c>
      <c r="M5" s="23">
        <v>45786.8125</v>
      </c>
      <c r="N5" s="21" t="s">
        <v>655</v>
      </c>
      <c r="O5" s="21" t="s">
        <v>659</v>
      </c>
      <c r="P5" s="21">
        <v>32.01373986</v>
      </c>
      <c r="Q5" s="21">
        <v>-100.7604127</v>
      </c>
      <c r="R5" s="21">
        <v>1431278.0</v>
      </c>
      <c r="S5" s="24">
        <v>45793.54236111111</v>
      </c>
      <c r="T5" s="21">
        <v>1431410.0</v>
      </c>
      <c r="U5" s="21" t="s">
        <v>657</v>
      </c>
      <c r="W5" s="21">
        <v>192.0</v>
      </c>
      <c r="X5" s="21">
        <v>0.0</v>
      </c>
      <c r="Y5" s="21">
        <v>0.0</v>
      </c>
      <c r="Z5" s="21" t="s">
        <v>656</v>
      </c>
      <c r="AF5" s="21">
        <v>0.0</v>
      </c>
      <c r="AG5" s="21" t="s">
        <v>656</v>
      </c>
      <c r="AM5" s="21">
        <v>0.0</v>
      </c>
      <c r="AN5" s="21" t="s">
        <v>658</v>
      </c>
      <c r="AO5" s="21" t="s">
        <v>659</v>
      </c>
      <c r="AQ5" s="24">
        <v>45786.8125</v>
      </c>
      <c r="AS5" s="21" t="s">
        <v>659</v>
      </c>
      <c r="AT5" s="21" t="s">
        <v>656</v>
      </c>
      <c r="AW5" s="21" t="s">
        <v>656</v>
      </c>
      <c r="BC5" s="21" t="s">
        <v>704</v>
      </c>
      <c r="BE5" s="24">
        <v>45786.8125</v>
      </c>
      <c r="BF5" s="21" t="s">
        <v>704</v>
      </c>
      <c r="BH5" s="24">
        <v>45786.84027777778</v>
      </c>
      <c r="BI5" s="21">
        <v>0.0</v>
      </c>
      <c r="BJ5" s="24">
        <v>45786.8125</v>
      </c>
      <c r="BK5" s="24">
        <v>45786.8125</v>
      </c>
      <c r="BL5" s="24">
        <v>45793.520833333336</v>
      </c>
      <c r="BM5" s="21" t="s">
        <v>662</v>
      </c>
      <c r="BN5" s="21" t="s">
        <v>654</v>
      </c>
      <c r="BO5" s="21">
        <v>76949.0</v>
      </c>
      <c r="BP5" s="21" t="s">
        <v>733</v>
      </c>
      <c r="BQ5" s="21" t="s">
        <v>734</v>
      </c>
      <c r="BR5" s="21" t="s">
        <v>735</v>
      </c>
      <c r="BS5" s="21" t="s">
        <v>736</v>
      </c>
      <c r="BT5" s="21" t="s">
        <v>737</v>
      </c>
      <c r="BU5" s="21">
        <v>210000.0</v>
      </c>
      <c r="BV5" s="21" t="s">
        <v>656</v>
      </c>
      <c r="BW5" s="21" t="s">
        <v>738</v>
      </c>
      <c r="BX5" s="21" t="s">
        <v>739</v>
      </c>
      <c r="BY5" s="21" t="s">
        <v>740</v>
      </c>
      <c r="CA5" s="21">
        <v>24.0</v>
      </c>
      <c r="CB5" s="21" t="s">
        <v>659</v>
      </c>
      <c r="CC5" s="21" t="s">
        <v>656</v>
      </c>
      <c r="CZ5" s="21" t="s">
        <v>671</v>
      </c>
      <c r="DA5" s="21" t="s">
        <v>741</v>
      </c>
      <c r="DB5" s="21" t="s">
        <v>714</v>
      </c>
      <c r="DC5" s="21" t="s">
        <v>715</v>
      </c>
      <c r="DD5" s="21">
        <v>10.75</v>
      </c>
      <c r="DE5" s="21" t="s">
        <v>656</v>
      </c>
      <c r="DF5" s="21">
        <v>0.365</v>
      </c>
      <c r="DG5" s="21">
        <v>24000.0</v>
      </c>
      <c r="DH5" s="21" t="s">
        <v>684</v>
      </c>
      <c r="DI5" s="21" t="s">
        <v>742</v>
      </c>
      <c r="DK5" s="21" t="s">
        <v>684</v>
      </c>
      <c r="DL5" s="21" t="s">
        <v>743</v>
      </c>
      <c r="DN5" s="21" t="s">
        <v>684</v>
      </c>
      <c r="EO5" s="21">
        <v>1965.0</v>
      </c>
      <c r="EP5" s="21" t="s">
        <v>684</v>
      </c>
      <c r="EQ5" s="21" t="s">
        <v>674</v>
      </c>
      <c r="ES5" s="21" t="s">
        <v>744</v>
      </c>
      <c r="EX5" s="21" t="s">
        <v>745</v>
      </c>
      <c r="EZ5" s="21">
        <v>10.8</v>
      </c>
      <c r="FA5" s="21">
        <v>10.8</v>
      </c>
      <c r="FC5" s="21" t="s">
        <v>677</v>
      </c>
      <c r="FD5" s="21" t="s">
        <v>656</v>
      </c>
      <c r="FF5" s="21">
        <v>198.0</v>
      </c>
      <c r="FH5" s="21" t="s">
        <v>656</v>
      </c>
      <c r="FI5" s="21" t="s">
        <v>656</v>
      </c>
      <c r="FL5" s="21" t="s">
        <v>656</v>
      </c>
      <c r="FO5" s="21">
        <v>0.0</v>
      </c>
      <c r="FP5" s="21">
        <v>609.0</v>
      </c>
      <c r="FQ5" s="21">
        <v>0.0</v>
      </c>
      <c r="FR5" s="21">
        <v>236000.0</v>
      </c>
      <c r="FS5" s="21">
        <v>1000.0</v>
      </c>
      <c r="FT5" s="21">
        <v>0.0</v>
      </c>
      <c r="FV5" s="21">
        <v>3.17</v>
      </c>
      <c r="FW5" s="21">
        <v>237609.0</v>
      </c>
      <c r="FX5" s="21">
        <v>0.0</v>
      </c>
      <c r="FY5" s="21">
        <v>0.0</v>
      </c>
      <c r="FZ5" s="21">
        <v>0.0</v>
      </c>
      <c r="GA5" s="21">
        <v>0.0</v>
      </c>
      <c r="GB5" s="21" t="s">
        <v>656</v>
      </c>
      <c r="GF5" s="21">
        <v>245.0</v>
      </c>
      <c r="GG5" s="21">
        <v>538.0</v>
      </c>
      <c r="GH5" s="21">
        <v>1440.0</v>
      </c>
      <c r="GI5" s="21" t="s">
        <v>719</v>
      </c>
      <c r="GK5" s="25">
        <v>23743.0</v>
      </c>
      <c r="GL5" s="21" t="s">
        <v>656</v>
      </c>
      <c r="GM5" s="21" t="s">
        <v>679</v>
      </c>
      <c r="GN5" s="21" t="s">
        <v>656</v>
      </c>
      <c r="GQ5" s="21" t="s">
        <v>656</v>
      </c>
      <c r="GS5" s="21" t="s">
        <v>720</v>
      </c>
      <c r="GT5" s="21" t="s">
        <v>720</v>
      </c>
      <c r="GU5" s="21">
        <v>11299.0</v>
      </c>
      <c r="GV5" s="21" t="s">
        <v>659</v>
      </c>
      <c r="HD5" s="21" t="s">
        <v>656</v>
      </c>
      <c r="HK5" s="21" t="s">
        <v>680</v>
      </c>
      <c r="HL5" s="21" t="s">
        <v>656</v>
      </c>
      <c r="HQ5" s="21" t="s">
        <v>698</v>
      </c>
      <c r="HS5" s="21" t="s">
        <v>699</v>
      </c>
      <c r="HT5" s="21" t="s">
        <v>682</v>
      </c>
      <c r="IH5" s="21" t="s">
        <v>656</v>
      </c>
      <c r="II5" s="21" t="s">
        <v>656</v>
      </c>
      <c r="IN5" s="21" t="s">
        <v>683</v>
      </c>
      <c r="IO5" s="21" t="s">
        <v>684</v>
      </c>
      <c r="QS5" s="21" t="s">
        <v>684</v>
      </c>
      <c r="QU5" s="21" t="s">
        <v>685</v>
      </c>
      <c r="WL5" s="21" t="s">
        <v>746</v>
      </c>
      <c r="WM5" s="21" t="s">
        <v>747</v>
      </c>
      <c r="WN5" s="21" t="s">
        <v>748</v>
      </c>
      <c r="WO5" s="21">
        <v>3.259333577E9</v>
      </c>
      <c r="WT5" s="21" t="s">
        <v>689</v>
      </c>
      <c r="WU5" s="21" t="s">
        <v>730</v>
      </c>
      <c r="WV5" s="21">
        <v>7.139895231E9</v>
      </c>
      <c r="WW5" s="21" t="s">
        <v>690</v>
      </c>
      <c r="WX5" s="21" t="s">
        <v>749</v>
      </c>
    </row>
    <row r="6">
      <c r="A6" s="21">
        <v>21.0</v>
      </c>
      <c r="B6" s="22">
        <v>45785.0</v>
      </c>
      <c r="C6" s="21">
        <v>2025.0</v>
      </c>
      <c r="D6" s="21">
        <v>2.0250049E7</v>
      </c>
      <c r="E6" s="21">
        <v>40859.0</v>
      </c>
      <c r="F6" s="21" t="s">
        <v>650</v>
      </c>
      <c r="G6" s="21">
        <v>19730.0</v>
      </c>
      <c r="H6" s="21" t="s">
        <v>750</v>
      </c>
      <c r="I6" s="21" t="s">
        <v>652</v>
      </c>
      <c r="J6" s="21" t="s">
        <v>653</v>
      </c>
      <c r="K6" s="21" t="s">
        <v>654</v>
      </c>
      <c r="L6" s="21">
        <v>77002.0</v>
      </c>
      <c r="M6" s="23">
        <v>45756.54791666667</v>
      </c>
      <c r="N6" s="21" t="s">
        <v>655</v>
      </c>
      <c r="O6" s="21" t="s">
        <v>659</v>
      </c>
      <c r="P6" s="21">
        <v>30.59601</v>
      </c>
      <c r="Q6" s="21">
        <v>-93.227044</v>
      </c>
      <c r="R6" s="21">
        <v>1428154.0</v>
      </c>
      <c r="S6" s="24">
        <v>45756.58819444444</v>
      </c>
      <c r="T6" s="21">
        <v>1428308.0</v>
      </c>
      <c r="U6" s="21" t="s">
        <v>657</v>
      </c>
      <c r="W6" s="21">
        <v>8620.0</v>
      </c>
      <c r="X6" s="21">
        <v>0.0</v>
      </c>
      <c r="Y6" s="21">
        <v>0.0</v>
      </c>
      <c r="Z6" s="21" t="s">
        <v>656</v>
      </c>
      <c r="AF6" s="21">
        <v>0.0</v>
      </c>
      <c r="AG6" s="21" t="s">
        <v>656</v>
      </c>
      <c r="AM6" s="21">
        <v>0.0</v>
      </c>
      <c r="AN6" s="21" t="s">
        <v>658</v>
      </c>
      <c r="AO6" s="21" t="s">
        <v>659</v>
      </c>
      <c r="AQ6" s="24">
        <v>45756.54791666667</v>
      </c>
      <c r="AR6" s="24">
        <v>45756.66805555556</v>
      </c>
      <c r="AT6" s="21" t="s">
        <v>659</v>
      </c>
      <c r="AU6" s="21" t="s">
        <v>660</v>
      </c>
      <c r="AV6" s="24">
        <v>45756.56180555555</v>
      </c>
      <c r="AW6" s="21" t="s">
        <v>656</v>
      </c>
      <c r="BI6" s="21">
        <v>0.0</v>
      </c>
      <c r="BJ6" s="24">
        <v>45756.54791666667</v>
      </c>
      <c r="BK6" s="24">
        <v>45756.54791666667</v>
      </c>
      <c r="BL6" s="24">
        <v>45756.54791666667</v>
      </c>
      <c r="BM6" s="21" t="s">
        <v>662</v>
      </c>
      <c r="BN6" s="21" t="s">
        <v>751</v>
      </c>
      <c r="BO6" s="21">
        <v>70652.0</v>
      </c>
      <c r="BP6" s="21" t="s">
        <v>752</v>
      </c>
      <c r="BQ6" s="21" t="s">
        <v>753</v>
      </c>
      <c r="BR6" s="21" t="s">
        <v>665</v>
      </c>
      <c r="BT6" s="21" t="s">
        <v>754</v>
      </c>
      <c r="BU6" s="21" t="s">
        <v>755</v>
      </c>
      <c r="BV6" s="21" t="s">
        <v>656</v>
      </c>
      <c r="BW6" s="21" t="s">
        <v>668</v>
      </c>
      <c r="BX6" s="21" t="s">
        <v>669</v>
      </c>
      <c r="BY6" s="21" t="s">
        <v>670</v>
      </c>
      <c r="CC6" s="21" t="s">
        <v>656</v>
      </c>
      <c r="CZ6" s="21" t="s">
        <v>712</v>
      </c>
      <c r="DA6" s="21" t="s">
        <v>672</v>
      </c>
      <c r="DB6" s="21" t="s">
        <v>756</v>
      </c>
      <c r="EH6" s="21" t="s">
        <v>757</v>
      </c>
      <c r="EI6" s="21" t="s">
        <v>758</v>
      </c>
      <c r="EK6" s="21" t="s">
        <v>759</v>
      </c>
      <c r="EO6" s="21" t="s">
        <v>684</v>
      </c>
      <c r="EP6" s="21" t="s">
        <v>684</v>
      </c>
      <c r="EQ6" s="21" t="s">
        <v>674</v>
      </c>
      <c r="ES6" s="21" t="s">
        <v>675</v>
      </c>
      <c r="EV6" s="21" t="s">
        <v>676</v>
      </c>
      <c r="FC6" s="21" t="s">
        <v>677</v>
      </c>
      <c r="FD6" s="21" t="s">
        <v>656</v>
      </c>
      <c r="FF6" s="21">
        <v>805.0</v>
      </c>
      <c r="FH6" s="21" t="s">
        <v>656</v>
      </c>
      <c r="FI6" s="21" t="s">
        <v>656</v>
      </c>
      <c r="FL6" s="21" t="s">
        <v>656</v>
      </c>
      <c r="FO6" s="21">
        <v>0.0</v>
      </c>
      <c r="FP6" s="21">
        <v>32928.0</v>
      </c>
      <c r="FQ6" s="21">
        <v>0.0</v>
      </c>
      <c r="FR6" s="21">
        <v>0.0</v>
      </c>
      <c r="FS6" s="21">
        <v>0.0</v>
      </c>
      <c r="FT6" s="21">
        <v>0.0</v>
      </c>
      <c r="FV6" s="21">
        <v>3.82</v>
      </c>
      <c r="FW6" s="21">
        <v>32928.0</v>
      </c>
      <c r="FX6" s="21">
        <v>0.0</v>
      </c>
      <c r="FY6" s="21">
        <v>0.0</v>
      </c>
      <c r="FZ6" s="21">
        <v>0.0</v>
      </c>
      <c r="GA6" s="21">
        <v>0.0</v>
      </c>
      <c r="GB6" s="21" t="s">
        <v>656</v>
      </c>
      <c r="GF6" s="21">
        <v>885.0</v>
      </c>
      <c r="GG6" s="21">
        <v>1259540.0</v>
      </c>
      <c r="GH6" s="21">
        <v>900.0</v>
      </c>
      <c r="GI6" s="21" t="s">
        <v>719</v>
      </c>
      <c r="GK6" s="25">
        <v>39363.0</v>
      </c>
      <c r="GL6" s="21" t="s">
        <v>656</v>
      </c>
      <c r="GM6" s="21" t="s">
        <v>679</v>
      </c>
      <c r="GN6" s="21" t="s">
        <v>656</v>
      </c>
      <c r="GQ6" s="21" t="s">
        <v>656</v>
      </c>
      <c r="HK6" s="21" t="s">
        <v>721</v>
      </c>
      <c r="HL6" s="21" t="s">
        <v>659</v>
      </c>
      <c r="HM6" s="21" t="s">
        <v>659</v>
      </c>
      <c r="HN6" s="21" t="s">
        <v>659</v>
      </c>
      <c r="HO6" s="21" t="s">
        <v>659</v>
      </c>
      <c r="HP6" s="21" t="s">
        <v>659</v>
      </c>
      <c r="HQ6" s="21" t="s">
        <v>698</v>
      </c>
      <c r="HS6" s="21" t="s">
        <v>699</v>
      </c>
      <c r="HT6" s="21" t="s">
        <v>760</v>
      </c>
      <c r="HZ6" s="21" t="s">
        <v>659</v>
      </c>
      <c r="IH6" s="21" t="s">
        <v>656</v>
      </c>
      <c r="II6" s="21" t="s">
        <v>656</v>
      </c>
      <c r="IN6" s="21" t="s">
        <v>761</v>
      </c>
      <c r="IO6" s="21" t="s">
        <v>762</v>
      </c>
      <c r="OU6" s="21" t="s">
        <v>762</v>
      </c>
      <c r="OZ6" s="21" t="s">
        <v>659</v>
      </c>
      <c r="QE6" s="21" t="s">
        <v>659</v>
      </c>
      <c r="QF6" s="21" t="s">
        <v>763</v>
      </c>
      <c r="WL6" s="21" t="s">
        <v>729</v>
      </c>
      <c r="WM6" s="21" t="s">
        <v>730</v>
      </c>
      <c r="WN6" s="21" t="s">
        <v>731</v>
      </c>
      <c r="WO6" s="21">
        <v>4.092023088E9</v>
      </c>
      <c r="WT6" s="21" t="s">
        <v>689</v>
      </c>
      <c r="WU6" s="21" t="s">
        <v>730</v>
      </c>
      <c r="WV6" s="21">
        <v>7.139895231E9</v>
      </c>
      <c r="WW6" s="21" t="s">
        <v>690</v>
      </c>
      <c r="WX6" s="21" t="s">
        <v>764</v>
      </c>
    </row>
    <row r="7">
      <c r="A7" s="21">
        <v>24.0</v>
      </c>
      <c r="B7" s="22">
        <v>45785.0</v>
      </c>
      <c r="C7" s="21">
        <v>2025.0</v>
      </c>
      <c r="D7" s="21">
        <v>2.025005E7</v>
      </c>
      <c r="E7" s="21">
        <v>40862.0</v>
      </c>
      <c r="F7" s="21" t="s">
        <v>650</v>
      </c>
      <c r="G7" s="21">
        <v>32099.0</v>
      </c>
      <c r="H7" s="21" t="s">
        <v>651</v>
      </c>
      <c r="I7" s="21" t="s">
        <v>652</v>
      </c>
      <c r="J7" s="21" t="s">
        <v>653</v>
      </c>
      <c r="K7" s="21" t="s">
        <v>654</v>
      </c>
      <c r="L7" s="21">
        <v>77002.0</v>
      </c>
      <c r="M7" s="23">
        <v>45755.604166666664</v>
      </c>
      <c r="N7" s="21" t="s">
        <v>655</v>
      </c>
      <c r="O7" s="21" t="s">
        <v>659</v>
      </c>
      <c r="P7" s="21">
        <v>28.83275</v>
      </c>
      <c r="Q7" s="21">
        <v>-98.14965</v>
      </c>
      <c r="R7" s="21">
        <v>1428135.0</v>
      </c>
      <c r="S7" s="24">
        <v>45756.47083333333</v>
      </c>
      <c r="T7" s="21">
        <v>1428310.0</v>
      </c>
      <c r="U7" s="21" t="s">
        <v>657</v>
      </c>
      <c r="W7" s="21">
        <v>1800.0</v>
      </c>
      <c r="X7" s="21">
        <v>0.0</v>
      </c>
      <c r="Y7" s="21">
        <v>0.0</v>
      </c>
      <c r="Z7" s="21" t="s">
        <v>656</v>
      </c>
      <c r="AF7" s="21">
        <v>0.0</v>
      </c>
      <c r="AG7" s="21" t="s">
        <v>656</v>
      </c>
      <c r="AM7" s="21">
        <v>0.0</v>
      </c>
      <c r="AN7" s="21" t="s">
        <v>658</v>
      </c>
      <c r="AO7" s="21" t="s">
        <v>659</v>
      </c>
      <c r="AQ7" s="24">
        <v>45755.625</v>
      </c>
      <c r="AR7" s="24">
        <v>45758.99097222222</v>
      </c>
      <c r="AT7" s="21" t="s">
        <v>659</v>
      </c>
      <c r="AU7" s="21" t="s">
        <v>660</v>
      </c>
      <c r="AV7" s="24">
        <v>45755.61736111111</v>
      </c>
      <c r="AW7" s="21" t="s">
        <v>659</v>
      </c>
      <c r="AX7" s="24">
        <v>45755.604166666664</v>
      </c>
      <c r="AY7" s="21" t="s">
        <v>765</v>
      </c>
      <c r="BA7" s="21">
        <v>1800.0</v>
      </c>
      <c r="BB7" s="21" t="s">
        <v>659</v>
      </c>
      <c r="BC7" s="21" t="s">
        <v>704</v>
      </c>
      <c r="BE7" s="24">
        <v>45755.635416666664</v>
      </c>
      <c r="BF7" s="21" t="s">
        <v>704</v>
      </c>
      <c r="BH7" s="24">
        <v>45755.60763888889</v>
      </c>
      <c r="BI7" s="21">
        <v>0.0</v>
      </c>
      <c r="BJ7" s="24">
        <v>45755.604166666664</v>
      </c>
      <c r="BK7" s="24">
        <v>45755.604166666664</v>
      </c>
      <c r="BL7" s="24">
        <v>45756.4375</v>
      </c>
      <c r="BM7" s="21" t="s">
        <v>662</v>
      </c>
      <c r="BN7" s="21" t="s">
        <v>654</v>
      </c>
      <c r="BO7" s="21">
        <v>78113.0</v>
      </c>
      <c r="BP7" s="21" t="s">
        <v>766</v>
      </c>
      <c r="BQ7" s="21" t="s">
        <v>767</v>
      </c>
      <c r="BR7" s="21" t="s">
        <v>665</v>
      </c>
      <c r="BT7" s="21" t="s">
        <v>768</v>
      </c>
      <c r="BU7" s="21" t="s">
        <v>768</v>
      </c>
      <c r="BV7" s="21" t="s">
        <v>656</v>
      </c>
      <c r="BW7" s="21" t="s">
        <v>668</v>
      </c>
      <c r="BX7" s="21" t="s">
        <v>739</v>
      </c>
      <c r="BY7" s="21" t="s">
        <v>740</v>
      </c>
      <c r="CA7" s="21">
        <v>48.0</v>
      </c>
      <c r="CB7" s="21" t="s">
        <v>656</v>
      </c>
      <c r="CC7" s="21" t="s">
        <v>656</v>
      </c>
      <c r="CZ7" s="21" t="s">
        <v>671</v>
      </c>
      <c r="DA7" s="21" t="s">
        <v>741</v>
      </c>
      <c r="DB7" s="21" t="s">
        <v>714</v>
      </c>
      <c r="DC7" s="21" t="s">
        <v>769</v>
      </c>
      <c r="DD7" s="21">
        <v>10.75</v>
      </c>
      <c r="DF7" s="21">
        <v>0.25</v>
      </c>
      <c r="DG7" s="21">
        <v>52000.0</v>
      </c>
      <c r="DH7" s="21" t="s">
        <v>770</v>
      </c>
      <c r="DI7" s="21" t="s">
        <v>771</v>
      </c>
      <c r="DK7" s="21" t="s">
        <v>684</v>
      </c>
      <c r="DL7" s="21" t="s">
        <v>772</v>
      </c>
      <c r="DN7" s="21" t="s">
        <v>684</v>
      </c>
      <c r="EO7" s="21" t="s">
        <v>684</v>
      </c>
      <c r="EP7" s="21" t="s">
        <v>684</v>
      </c>
      <c r="EQ7" s="21" t="s">
        <v>674</v>
      </c>
      <c r="ES7" s="21" t="s">
        <v>744</v>
      </c>
      <c r="EX7" s="21" t="s">
        <v>773</v>
      </c>
      <c r="EZ7" s="21">
        <v>213.6</v>
      </c>
      <c r="FA7" s="21">
        <v>33.7</v>
      </c>
      <c r="FC7" s="21" t="s">
        <v>677</v>
      </c>
      <c r="FD7" s="21" t="s">
        <v>656</v>
      </c>
      <c r="FF7" s="21">
        <v>251.0</v>
      </c>
      <c r="FH7" s="21" t="s">
        <v>656</v>
      </c>
      <c r="FI7" s="21" t="s">
        <v>656</v>
      </c>
      <c r="FL7" s="21" t="s">
        <v>656</v>
      </c>
      <c r="FO7" s="21">
        <v>0.0</v>
      </c>
      <c r="FP7" s="21">
        <v>4500.0</v>
      </c>
      <c r="FQ7" s="21">
        <v>0.0</v>
      </c>
      <c r="FR7" s="21">
        <v>170000.0</v>
      </c>
      <c r="FS7" s="21">
        <v>4800.0</v>
      </c>
      <c r="FT7" s="21">
        <v>0.0</v>
      </c>
      <c r="FV7" s="21">
        <v>2.5</v>
      </c>
      <c r="FW7" s="21">
        <v>179300.0</v>
      </c>
      <c r="FX7" s="21">
        <v>0.0</v>
      </c>
      <c r="FY7" s="21">
        <v>0.0</v>
      </c>
      <c r="FZ7" s="21">
        <v>0.0</v>
      </c>
      <c r="GA7" s="21">
        <v>0.0</v>
      </c>
      <c r="GB7" s="21" t="s">
        <v>656</v>
      </c>
      <c r="GF7" s="21">
        <v>900.0</v>
      </c>
      <c r="GG7" s="21">
        <v>1500.0</v>
      </c>
      <c r="GH7" s="21">
        <v>1024.0</v>
      </c>
      <c r="GI7" s="21" t="s">
        <v>774</v>
      </c>
      <c r="GK7" s="25">
        <v>44490.0</v>
      </c>
      <c r="GL7" s="21" t="s">
        <v>656</v>
      </c>
      <c r="GM7" s="21" t="s">
        <v>679</v>
      </c>
      <c r="GN7" s="21" t="s">
        <v>656</v>
      </c>
      <c r="GQ7" s="21" t="s">
        <v>656</v>
      </c>
      <c r="GS7" s="21" t="s">
        <v>720</v>
      </c>
      <c r="GT7" s="21" t="s">
        <v>720</v>
      </c>
      <c r="GU7" s="21">
        <v>52915.0</v>
      </c>
      <c r="GV7" s="21" t="s">
        <v>659</v>
      </c>
      <c r="HD7" s="21" t="s">
        <v>659</v>
      </c>
      <c r="HG7" s="21" t="s">
        <v>659</v>
      </c>
      <c r="HK7" s="21" t="s">
        <v>680</v>
      </c>
      <c r="HL7" s="21" t="s">
        <v>656</v>
      </c>
      <c r="HQ7" s="21" t="s">
        <v>698</v>
      </c>
      <c r="HS7" s="21" t="s">
        <v>699</v>
      </c>
      <c r="HT7" s="21" t="s">
        <v>682</v>
      </c>
      <c r="IH7" s="21" t="s">
        <v>656</v>
      </c>
      <c r="II7" s="21" t="s">
        <v>656</v>
      </c>
      <c r="IN7" s="21" t="s">
        <v>683</v>
      </c>
      <c r="IO7" s="21" t="s">
        <v>684</v>
      </c>
      <c r="QS7" s="21" t="s">
        <v>684</v>
      </c>
      <c r="QU7" s="21" t="s">
        <v>685</v>
      </c>
      <c r="WL7" s="21" t="s">
        <v>775</v>
      </c>
      <c r="WM7" s="21" t="s">
        <v>747</v>
      </c>
      <c r="WN7" s="21" t="s">
        <v>776</v>
      </c>
      <c r="WO7" s="21">
        <v>8.328944289E9</v>
      </c>
      <c r="WT7" s="21" t="s">
        <v>689</v>
      </c>
      <c r="WU7" s="21" t="s">
        <v>730</v>
      </c>
      <c r="WV7" s="21">
        <v>7.139895231E9</v>
      </c>
      <c r="WW7" s="21" t="s">
        <v>690</v>
      </c>
      <c r="WX7" s="21" t="s">
        <v>777</v>
      </c>
    </row>
    <row r="8">
      <c r="A8" s="21">
        <v>26.0</v>
      </c>
      <c r="B8" s="22">
        <v>45772.0</v>
      </c>
      <c r="C8" s="21">
        <v>2025.0</v>
      </c>
      <c r="D8" s="21">
        <v>2.0250044E7</v>
      </c>
      <c r="E8" s="21">
        <v>41049.0</v>
      </c>
      <c r="F8" s="21" t="s">
        <v>778</v>
      </c>
      <c r="G8" s="21">
        <v>32099.0</v>
      </c>
      <c r="H8" s="21" t="s">
        <v>651</v>
      </c>
      <c r="I8" s="21" t="s">
        <v>652</v>
      </c>
      <c r="J8" s="21" t="s">
        <v>653</v>
      </c>
      <c r="K8" s="21" t="s">
        <v>654</v>
      </c>
      <c r="L8" s="21">
        <v>77002.0</v>
      </c>
      <c r="M8" s="23">
        <v>45743.49930555555</v>
      </c>
      <c r="N8" s="21" t="s">
        <v>655</v>
      </c>
      <c r="O8" s="21" t="s">
        <v>659</v>
      </c>
      <c r="P8" s="21">
        <v>28.332579</v>
      </c>
      <c r="Q8" s="21">
        <v>-99.611097</v>
      </c>
      <c r="R8" s="21">
        <v>1427041.0</v>
      </c>
      <c r="S8" s="24">
        <v>45743.84166666667</v>
      </c>
      <c r="T8" s="21">
        <v>1427135.0</v>
      </c>
      <c r="U8" s="21" t="s">
        <v>657</v>
      </c>
      <c r="W8" s="21">
        <v>22988.0</v>
      </c>
      <c r="X8" s="21">
        <v>799.0</v>
      </c>
      <c r="Y8" s="21">
        <v>0.0</v>
      </c>
      <c r="Z8" s="21" t="s">
        <v>656</v>
      </c>
      <c r="AF8" s="21">
        <v>0.0</v>
      </c>
      <c r="AG8" s="21" t="s">
        <v>656</v>
      </c>
      <c r="AM8" s="21">
        <v>0.0</v>
      </c>
      <c r="AN8" s="21" t="s">
        <v>658</v>
      </c>
      <c r="AO8" s="21" t="s">
        <v>659</v>
      </c>
      <c r="AQ8" s="24">
        <v>45743.50833333333</v>
      </c>
      <c r="AR8" s="24">
        <v>45746.05</v>
      </c>
      <c r="AT8" s="21" t="s">
        <v>659</v>
      </c>
      <c r="AU8" s="21" t="s">
        <v>660</v>
      </c>
      <c r="AV8" s="24">
        <v>45743.552083333336</v>
      </c>
      <c r="AW8" s="21" t="s">
        <v>656</v>
      </c>
      <c r="BC8" s="21" t="s">
        <v>704</v>
      </c>
      <c r="BE8" s="24">
        <v>45743.50833333333</v>
      </c>
      <c r="BF8" s="21" t="s">
        <v>704</v>
      </c>
      <c r="BH8" s="24">
        <v>45743.50347222222</v>
      </c>
      <c r="BI8" s="21">
        <v>15.0</v>
      </c>
      <c r="BJ8" s="24">
        <v>45743.50208333333</v>
      </c>
      <c r="BK8" s="24">
        <v>45743.4125</v>
      </c>
      <c r="BL8" s="24">
        <v>45743.80763888889</v>
      </c>
      <c r="BM8" s="21" t="s">
        <v>662</v>
      </c>
      <c r="BN8" s="21" t="s">
        <v>654</v>
      </c>
      <c r="BO8" s="21">
        <v>78836.0</v>
      </c>
      <c r="BP8" s="21" t="s">
        <v>779</v>
      </c>
      <c r="BQ8" s="21" t="s">
        <v>780</v>
      </c>
      <c r="BR8" s="21" t="s">
        <v>665</v>
      </c>
      <c r="BT8" s="21" t="s">
        <v>781</v>
      </c>
      <c r="BU8" s="21" t="s">
        <v>781</v>
      </c>
      <c r="BV8" s="21" t="s">
        <v>656</v>
      </c>
      <c r="BW8" s="21" t="s">
        <v>668</v>
      </c>
      <c r="BX8" s="21" t="s">
        <v>669</v>
      </c>
      <c r="BY8" s="21" t="s">
        <v>670</v>
      </c>
      <c r="CC8" s="21" t="s">
        <v>656</v>
      </c>
      <c r="CZ8" s="21" t="s">
        <v>671</v>
      </c>
      <c r="DA8" s="21" t="s">
        <v>741</v>
      </c>
      <c r="DB8" s="21" t="s">
        <v>782</v>
      </c>
      <c r="EO8" s="21">
        <v>2012.0</v>
      </c>
      <c r="EP8" s="21">
        <v>2011.0</v>
      </c>
      <c r="EQ8" s="21" t="s">
        <v>674</v>
      </c>
      <c r="ES8" s="21" t="s">
        <v>696</v>
      </c>
      <c r="FB8" s="21" t="s">
        <v>783</v>
      </c>
      <c r="FC8" s="21" t="s">
        <v>677</v>
      </c>
      <c r="FD8" s="21" t="s">
        <v>656</v>
      </c>
      <c r="FF8" s="21">
        <v>660.0</v>
      </c>
      <c r="FH8" s="21" t="s">
        <v>656</v>
      </c>
      <c r="FI8" s="21" t="s">
        <v>656</v>
      </c>
      <c r="FL8" s="21" t="s">
        <v>656</v>
      </c>
      <c r="FO8" s="21">
        <v>12000.0</v>
      </c>
      <c r="FP8" s="21">
        <v>89193.0</v>
      </c>
      <c r="FQ8" s="21">
        <v>3100.0</v>
      </c>
      <c r="FR8" s="21">
        <v>873500.0</v>
      </c>
      <c r="FS8" s="21">
        <v>0.0</v>
      </c>
      <c r="FT8" s="21">
        <v>0.0</v>
      </c>
      <c r="FV8" s="21">
        <v>3.88</v>
      </c>
      <c r="FW8" s="21">
        <v>977793.0</v>
      </c>
      <c r="FX8" s="21">
        <v>0.0</v>
      </c>
      <c r="FY8" s="21">
        <v>0.0</v>
      </c>
      <c r="FZ8" s="21">
        <v>0.0</v>
      </c>
      <c r="GA8" s="21">
        <v>1.0</v>
      </c>
      <c r="GB8" s="21" t="s">
        <v>656</v>
      </c>
      <c r="GF8" s="21">
        <v>1003.0</v>
      </c>
      <c r="GG8" s="21">
        <v>600000.0</v>
      </c>
      <c r="GH8" s="21">
        <v>1300.0</v>
      </c>
      <c r="GI8" s="21" t="s">
        <v>774</v>
      </c>
      <c r="GK8" s="25">
        <v>40807.0</v>
      </c>
      <c r="GL8" s="21" t="s">
        <v>656</v>
      </c>
      <c r="GM8" s="21" t="s">
        <v>679</v>
      </c>
      <c r="GN8" s="21" t="s">
        <v>656</v>
      </c>
      <c r="GQ8" s="21" t="s">
        <v>656</v>
      </c>
      <c r="GS8" s="21" t="s">
        <v>784</v>
      </c>
      <c r="GT8" s="21" t="s">
        <v>784</v>
      </c>
      <c r="GU8" s="21">
        <v>550.0</v>
      </c>
      <c r="GV8" s="21" t="s">
        <v>659</v>
      </c>
      <c r="HD8" s="21" t="s">
        <v>656</v>
      </c>
      <c r="HK8" s="21" t="s">
        <v>680</v>
      </c>
      <c r="HL8" s="21" t="s">
        <v>659</v>
      </c>
      <c r="HM8" s="21" t="s">
        <v>659</v>
      </c>
      <c r="HN8" s="21" t="s">
        <v>659</v>
      </c>
      <c r="HO8" s="21" t="s">
        <v>656</v>
      </c>
      <c r="HP8" s="21" t="s">
        <v>656</v>
      </c>
      <c r="HQ8" s="21" t="s">
        <v>698</v>
      </c>
      <c r="HS8" s="21" t="s">
        <v>699</v>
      </c>
      <c r="HT8" s="21" t="s">
        <v>723</v>
      </c>
      <c r="HU8" s="21" t="s">
        <v>785</v>
      </c>
      <c r="IH8" s="21" t="s">
        <v>656</v>
      </c>
      <c r="II8" s="21" t="s">
        <v>656</v>
      </c>
      <c r="IN8" s="21" t="s">
        <v>786</v>
      </c>
      <c r="IO8" s="21" t="s">
        <v>787</v>
      </c>
      <c r="QG8" s="21" t="s">
        <v>787</v>
      </c>
      <c r="QJ8" s="21" t="s">
        <v>788</v>
      </c>
      <c r="QM8" s="21" t="s">
        <v>659</v>
      </c>
      <c r="QP8" s="21" t="s">
        <v>789</v>
      </c>
      <c r="QQ8" s="21" t="s">
        <v>659</v>
      </c>
      <c r="QR8" s="21" t="s">
        <v>790</v>
      </c>
      <c r="WL8" s="21" t="s">
        <v>791</v>
      </c>
      <c r="WM8" s="21" t="s">
        <v>747</v>
      </c>
      <c r="WN8" s="21" t="s">
        <v>792</v>
      </c>
      <c r="WO8" s="21">
        <v>8.323241027E9</v>
      </c>
      <c r="WT8" s="21" t="s">
        <v>689</v>
      </c>
      <c r="WU8" s="21" t="s">
        <v>730</v>
      </c>
      <c r="WV8" s="21">
        <v>7.13882059E9</v>
      </c>
      <c r="WW8" s="21" t="s">
        <v>690</v>
      </c>
      <c r="WX8" s="21" t="s">
        <v>793</v>
      </c>
    </row>
    <row r="9">
      <c r="A9" s="21">
        <v>31.0</v>
      </c>
      <c r="B9" s="22">
        <v>45763.0</v>
      </c>
      <c r="C9" s="21">
        <v>2025.0</v>
      </c>
      <c r="D9" s="21">
        <v>2.0250037E7</v>
      </c>
      <c r="E9" s="21">
        <v>40762.0</v>
      </c>
      <c r="F9" s="21" t="s">
        <v>778</v>
      </c>
      <c r="G9" s="21">
        <v>15105.0</v>
      </c>
      <c r="H9" s="21" t="s">
        <v>794</v>
      </c>
      <c r="I9" s="21" t="s">
        <v>652</v>
      </c>
      <c r="J9" s="21" t="s">
        <v>653</v>
      </c>
      <c r="K9" s="21" t="s">
        <v>654</v>
      </c>
      <c r="L9" s="21">
        <v>77002.0</v>
      </c>
      <c r="M9" s="23">
        <v>45733.75</v>
      </c>
      <c r="N9" s="21" t="s">
        <v>655</v>
      </c>
      <c r="O9" s="21" t="s">
        <v>659</v>
      </c>
      <c r="P9" s="21">
        <v>38.7982125</v>
      </c>
      <c r="Q9" s="21">
        <v>-93.67635746</v>
      </c>
      <c r="R9" s="21">
        <v>1426129.0</v>
      </c>
      <c r="S9" s="24">
        <v>45733.80416666667</v>
      </c>
      <c r="T9" s="21">
        <v>1426260.0</v>
      </c>
      <c r="U9" s="21" t="s">
        <v>657</v>
      </c>
      <c r="W9" s="21">
        <v>3037.0</v>
      </c>
      <c r="X9" s="21">
        <v>5793.0</v>
      </c>
      <c r="Y9" s="21">
        <v>0.0</v>
      </c>
      <c r="Z9" s="21" t="s">
        <v>656</v>
      </c>
      <c r="AF9" s="21">
        <v>0.0</v>
      </c>
      <c r="AG9" s="21" t="s">
        <v>656</v>
      </c>
      <c r="AM9" s="21">
        <v>0.0</v>
      </c>
      <c r="AN9" s="21" t="s">
        <v>658</v>
      </c>
      <c r="AO9" s="21" t="s">
        <v>659</v>
      </c>
      <c r="AQ9" s="24">
        <v>45733.87569444445</v>
      </c>
      <c r="AR9" s="24">
        <v>45738.64027777778</v>
      </c>
      <c r="AT9" s="21" t="s">
        <v>659</v>
      </c>
      <c r="AU9" s="21" t="s">
        <v>660</v>
      </c>
      <c r="AV9" s="24">
        <v>45733.77777777778</v>
      </c>
      <c r="AW9" s="21" t="s">
        <v>656</v>
      </c>
      <c r="BC9" s="21" t="s">
        <v>704</v>
      </c>
      <c r="BE9" s="24">
        <v>45733.80347222222</v>
      </c>
      <c r="BF9" s="21" t="s">
        <v>704</v>
      </c>
      <c r="BH9" s="24">
        <v>45733.8</v>
      </c>
      <c r="BI9" s="21">
        <v>0.0</v>
      </c>
      <c r="BJ9" s="24">
        <v>45733.76944444444</v>
      </c>
      <c r="BK9" s="24">
        <v>45733.76944444444</v>
      </c>
      <c r="BL9" s="24">
        <v>45733.76944444444</v>
      </c>
      <c r="BM9" s="21" t="s">
        <v>662</v>
      </c>
      <c r="BN9" s="21" t="s">
        <v>795</v>
      </c>
      <c r="BO9" s="21">
        <v>64093.0</v>
      </c>
      <c r="BP9" s="21" t="s">
        <v>796</v>
      </c>
      <c r="BQ9" s="21" t="s">
        <v>797</v>
      </c>
      <c r="BT9" s="21" t="s">
        <v>798</v>
      </c>
      <c r="BU9" s="21" t="s">
        <v>799</v>
      </c>
      <c r="BV9" s="21" t="s">
        <v>656</v>
      </c>
      <c r="BW9" s="21" t="s">
        <v>738</v>
      </c>
      <c r="BX9" s="21" t="s">
        <v>739</v>
      </c>
      <c r="BY9" s="21" t="s">
        <v>740</v>
      </c>
      <c r="CA9" s="21">
        <v>40.0</v>
      </c>
      <c r="CB9" s="21" t="s">
        <v>656</v>
      </c>
      <c r="CC9" s="21" t="s">
        <v>656</v>
      </c>
      <c r="CZ9" s="21" t="s">
        <v>712</v>
      </c>
      <c r="DA9" s="21" t="s">
        <v>741</v>
      </c>
      <c r="DB9" s="21" t="s">
        <v>800</v>
      </c>
      <c r="DD9" s="21">
        <v>22.0</v>
      </c>
      <c r="DF9" s="21">
        <v>0.312</v>
      </c>
      <c r="DG9" s="21">
        <v>30700.0</v>
      </c>
      <c r="DH9" s="21" t="s">
        <v>801</v>
      </c>
      <c r="DI9" s="21" t="s">
        <v>802</v>
      </c>
      <c r="DK9" s="21" t="s">
        <v>803</v>
      </c>
      <c r="DL9" s="21" t="s">
        <v>743</v>
      </c>
      <c r="DN9" s="21" t="s">
        <v>659</v>
      </c>
      <c r="DV9" s="21" t="s">
        <v>804</v>
      </c>
      <c r="DX9" s="21" t="s">
        <v>656</v>
      </c>
      <c r="EO9" s="21">
        <v>1931.0</v>
      </c>
      <c r="EP9" s="21">
        <v>1931.0</v>
      </c>
      <c r="EQ9" s="21" t="s">
        <v>674</v>
      </c>
      <c r="ES9" s="21" t="s">
        <v>675</v>
      </c>
      <c r="EV9" s="21" t="s">
        <v>805</v>
      </c>
      <c r="FC9" s="21" t="s">
        <v>677</v>
      </c>
      <c r="FD9" s="21" t="s">
        <v>656</v>
      </c>
      <c r="FF9" s="21">
        <v>304.0</v>
      </c>
      <c r="FH9" s="21" t="s">
        <v>656</v>
      </c>
      <c r="FI9" s="21" t="s">
        <v>656</v>
      </c>
      <c r="FL9" s="21" t="s">
        <v>656</v>
      </c>
      <c r="FO9" s="21">
        <v>1050.0</v>
      </c>
      <c r="FP9" s="21">
        <v>6912.0</v>
      </c>
      <c r="FQ9" s="21">
        <v>13184.0</v>
      </c>
      <c r="FR9" s="21">
        <v>55000.0</v>
      </c>
      <c r="FS9" s="21">
        <v>650.0</v>
      </c>
      <c r="FT9" s="21">
        <v>0.0</v>
      </c>
      <c r="FV9" s="21">
        <v>2.2758</v>
      </c>
      <c r="FW9" s="21">
        <v>76796.0</v>
      </c>
      <c r="FX9" s="21">
        <v>0.0</v>
      </c>
      <c r="FY9" s="21">
        <v>0.0</v>
      </c>
      <c r="FZ9" s="21">
        <v>0.0</v>
      </c>
      <c r="GA9" s="21">
        <v>0.0</v>
      </c>
      <c r="GB9" s="21" t="s">
        <v>656</v>
      </c>
      <c r="GF9" s="21">
        <v>370.0</v>
      </c>
      <c r="GG9" s="21">
        <v>47000.0</v>
      </c>
      <c r="GH9" s="21">
        <v>400.0</v>
      </c>
      <c r="GI9" s="21" t="s">
        <v>678</v>
      </c>
      <c r="GK9" s="25">
        <v>41778.0</v>
      </c>
      <c r="GL9" s="21" t="s">
        <v>656</v>
      </c>
      <c r="GM9" s="21" t="s">
        <v>679</v>
      </c>
      <c r="GN9" s="21" t="s">
        <v>656</v>
      </c>
      <c r="GQ9" s="21" t="s">
        <v>656</v>
      </c>
      <c r="GS9" s="21" t="s">
        <v>720</v>
      </c>
      <c r="GT9" s="21" t="s">
        <v>720</v>
      </c>
      <c r="GU9" s="21">
        <v>41676.0</v>
      </c>
      <c r="GV9" s="21" t="s">
        <v>659</v>
      </c>
      <c r="HD9" s="21" t="s">
        <v>659</v>
      </c>
      <c r="HG9" s="21" t="s">
        <v>659</v>
      </c>
      <c r="HK9" s="21" t="s">
        <v>721</v>
      </c>
      <c r="HL9" s="21" t="s">
        <v>659</v>
      </c>
      <c r="HM9" s="21" t="s">
        <v>659</v>
      </c>
      <c r="HN9" s="21" t="s">
        <v>659</v>
      </c>
      <c r="HO9" s="21" t="s">
        <v>656</v>
      </c>
      <c r="HP9" s="21" t="s">
        <v>656</v>
      </c>
      <c r="HQ9" s="21" t="s">
        <v>806</v>
      </c>
      <c r="HT9" s="21" t="s">
        <v>723</v>
      </c>
      <c r="HU9" s="21" t="s">
        <v>807</v>
      </c>
      <c r="IH9" s="21" t="s">
        <v>656</v>
      </c>
      <c r="II9" s="21" t="s">
        <v>656</v>
      </c>
      <c r="IN9" s="21" t="s">
        <v>808</v>
      </c>
      <c r="IO9" s="21" t="s">
        <v>809</v>
      </c>
      <c r="NS9" s="21" t="s">
        <v>809</v>
      </c>
      <c r="NT9" s="21" t="s">
        <v>659</v>
      </c>
      <c r="OB9" s="21" t="s">
        <v>659</v>
      </c>
      <c r="OK9" s="21" t="s">
        <v>659</v>
      </c>
      <c r="OT9" s="21">
        <v>725.0</v>
      </c>
      <c r="QW9" s="21" t="s">
        <v>659</v>
      </c>
      <c r="QX9" s="21" t="s">
        <v>659</v>
      </c>
      <c r="RA9" s="21" t="s">
        <v>659</v>
      </c>
      <c r="RE9" s="21">
        <v>2009.0</v>
      </c>
      <c r="RF9" s="21" t="s">
        <v>810</v>
      </c>
      <c r="RG9" s="21" t="s">
        <v>811</v>
      </c>
      <c r="RI9" s="21" t="s">
        <v>812</v>
      </c>
      <c r="RK9" s="21">
        <v>2001.0</v>
      </c>
      <c r="RL9" s="21" t="s">
        <v>810</v>
      </c>
      <c r="RM9" s="21" t="s">
        <v>811</v>
      </c>
      <c r="RO9" s="21" t="s">
        <v>812</v>
      </c>
      <c r="SK9" s="21">
        <v>2009.0</v>
      </c>
      <c r="SL9" s="21" t="s">
        <v>810</v>
      </c>
      <c r="SM9" s="21" t="s">
        <v>812</v>
      </c>
      <c r="SO9" s="21" t="s">
        <v>813</v>
      </c>
      <c r="SP9" s="21">
        <v>2001.0</v>
      </c>
      <c r="SQ9" s="21" t="s">
        <v>810</v>
      </c>
      <c r="SR9" s="21" t="s">
        <v>812</v>
      </c>
      <c r="ST9" s="21" t="s">
        <v>814</v>
      </c>
      <c r="TI9" s="21" t="s">
        <v>659</v>
      </c>
      <c r="TJ9" s="21">
        <v>1953.0</v>
      </c>
      <c r="TK9" s="21">
        <v>725.0</v>
      </c>
      <c r="TL9" s="21" t="s">
        <v>656</v>
      </c>
      <c r="TZ9" s="21" t="s">
        <v>656</v>
      </c>
      <c r="VP9" s="21" t="s">
        <v>659</v>
      </c>
      <c r="WL9" s="21" t="s">
        <v>815</v>
      </c>
      <c r="WN9" s="21" t="s">
        <v>816</v>
      </c>
      <c r="WO9" s="21">
        <v>8.066644029E9</v>
      </c>
      <c r="WQ9" s="21" t="s">
        <v>817</v>
      </c>
      <c r="WR9" s="21" t="s">
        <v>818</v>
      </c>
      <c r="WS9" s="21">
        <v>9.139061521E9</v>
      </c>
      <c r="WT9" s="21" t="s">
        <v>819</v>
      </c>
      <c r="WV9" s="21">
        <v>4.055575271E9</v>
      </c>
      <c r="WW9" s="21" t="s">
        <v>820</v>
      </c>
      <c r="WX9" s="21" t="s">
        <v>821</v>
      </c>
    </row>
    <row r="10">
      <c r="A10" s="21">
        <v>35.0</v>
      </c>
      <c r="B10" s="22">
        <v>45757.0</v>
      </c>
      <c r="C10" s="21">
        <v>2025.0</v>
      </c>
      <c r="D10" s="21">
        <v>2.0250036E7</v>
      </c>
      <c r="E10" s="21">
        <v>40741.0</v>
      </c>
      <c r="F10" s="21" t="s">
        <v>650</v>
      </c>
      <c r="G10" s="21">
        <v>32099.0</v>
      </c>
      <c r="H10" s="21" t="s">
        <v>651</v>
      </c>
      <c r="I10" s="21" t="s">
        <v>652</v>
      </c>
      <c r="J10" s="21" t="s">
        <v>653</v>
      </c>
      <c r="K10" s="21" t="s">
        <v>654</v>
      </c>
      <c r="L10" s="21">
        <v>77002.0</v>
      </c>
      <c r="M10" s="23">
        <v>45723.40277777778</v>
      </c>
      <c r="N10" s="21" t="s">
        <v>655</v>
      </c>
      <c r="O10" s="21" t="s">
        <v>656</v>
      </c>
      <c r="P10" s="21">
        <v>28.063611</v>
      </c>
      <c r="Q10" s="21">
        <v>-99.596111</v>
      </c>
      <c r="R10" s="21">
        <v>1425566.0</v>
      </c>
      <c r="S10" s="24">
        <v>45727.595138888886</v>
      </c>
      <c r="T10" s="21">
        <v>1425717.0</v>
      </c>
      <c r="U10" s="21" t="s">
        <v>657</v>
      </c>
      <c r="W10" s="21">
        <v>45.0</v>
      </c>
      <c r="X10" s="21">
        <v>51.5</v>
      </c>
      <c r="Y10" s="21">
        <v>1.0</v>
      </c>
      <c r="Z10" s="21" t="s">
        <v>656</v>
      </c>
      <c r="AF10" s="21">
        <v>0.0</v>
      </c>
      <c r="AG10" s="21" t="s">
        <v>656</v>
      </c>
      <c r="AM10" s="21">
        <v>0.0</v>
      </c>
      <c r="AN10" s="21" t="s">
        <v>658</v>
      </c>
      <c r="AO10" s="21" t="s">
        <v>659</v>
      </c>
      <c r="AQ10" s="24">
        <v>45723.48888888889</v>
      </c>
      <c r="AS10" s="21" t="s">
        <v>659</v>
      </c>
      <c r="AT10" s="21" t="s">
        <v>656</v>
      </c>
      <c r="AW10" s="21" t="s">
        <v>656</v>
      </c>
      <c r="BC10" s="21" t="s">
        <v>704</v>
      </c>
      <c r="BE10" s="24">
        <v>45723.47222222222</v>
      </c>
      <c r="BF10" s="21" t="s">
        <v>704</v>
      </c>
      <c r="BH10" s="24">
        <v>45723.48888888889</v>
      </c>
      <c r="BI10" s="21">
        <v>0.0</v>
      </c>
      <c r="BJ10" s="24">
        <v>45723.40277777778</v>
      </c>
      <c r="BK10" s="24">
        <v>45723.416666666664</v>
      </c>
      <c r="BL10" s="24">
        <v>45727.586805555555</v>
      </c>
      <c r="BM10" s="21" t="s">
        <v>662</v>
      </c>
      <c r="BN10" s="21" t="s">
        <v>654</v>
      </c>
      <c r="BO10" s="21">
        <v>78836.0</v>
      </c>
      <c r="BP10" s="21" t="s">
        <v>779</v>
      </c>
      <c r="BQ10" s="21" t="s">
        <v>822</v>
      </c>
      <c r="BR10" s="21" t="s">
        <v>665</v>
      </c>
      <c r="BT10" s="21" t="s">
        <v>823</v>
      </c>
      <c r="BU10" s="21" t="s">
        <v>823</v>
      </c>
      <c r="BV10" s="21" t="s">
        <v>656</v>
      </c>
      <c r="BW10" s="21" t="s">
        <v>738</v>
      </c>
      <c r="BX10" s="21" t="s">
        <v>739</v>
      </c>
      <c r="BY10" s="21" t="s">
        <v>740</v>
      </c>
      <c r="CA10" s="21">
        <v>49.0</v>
      </c>
      <c r="CB10" s="21" t="s">
        <v>656</v>
      </c>
      <c r="CC10" s="21" t="s">
        <v>656</v>
      </c>
      <c r="CZ10" s="21" t="s">
        <v>671</v>
      </c>
      <c r="DA10" s="21" t="s">
        <v>741</v>
      </c>
      <c r="DB10" s="21" t="s">
        <v>714</v>
      </c>
      <c r="DC10" s="21" t="s">
        <v>715</v>
      </c>
      <c r="DD10" s="21">
        <v>12.0</v>
      </c>
      <c r="DE10" s="21" t="s">
        <v>656</v>
      </c>
      <c r="DF10" s="21">
        <v>0.25</v>
      </c>
      <c r="DG10" s="21">
        <v>52000.0</v>
      </c>
      <c r="DH10" s="21" t="s">
        <v>684</v>
      </c>
      <c r="DI10" s="21" t="s">
        <v>771</v>
      </c>
      <c r="DK10" s="21" t="s">
        <v>684</v>
      </c>
      <c r="DL10" s="21" t="s">
        <v>824</v>
      </c>
      <c r="DN10" s="21" t="s">
        <v>656</v>
      </c>
      <c r="EO10" s="21">
        <v>2012.0</v>
      </c>
      <c r="EP10" s="21" t="s">
        <v>684</v>
      </c>
      <c r="EQ10" s="21" t="s">
        <v>674</v>
      </c>
      <c r="ES10" s="21" t="s">
        <v>675</v>
      </c>
      <c r="EV10" s="21" t="s">
        <v>718</v>
      </c>
      <c r="FC10" s="21" t="s">
        <v>677</v>
      </c>
      <c r="FD10" s="21" t="s">
        <v>656</v>
      </c>
      <c r="FF10" s="21">
        <v>660.0</v>
      </c>
      <c r="FH10" s="21" t="s">
        <v>656</v>
      </c>
      <c r="FI10" s="21" t="s">
        <v>656</v>
      </c>
      <c r="FL10" s="21" t="s">
        <v>656</v>
      </c>
      <c r="FO10" s="21">
        <v>10000.0</v>
      </c>
      <c r="FP10" s="21">
        <v>198.0</v>
      </c>
      <c r="FQ10" s="21">
        <v>226.0</v>
      </c>
      <c r="FR10" s="21">
        <v>144500.0</v>
      </c>
      <c r="FS10" s="21">
        <v>0.0</v>
      </c>
      <c r="FT10" s="21">
        <v>0.0</v>
      </c>
      <c r="FV10" s="21">
        <v>4.39</v>
      </c>
      <c r="FW10" s="21">
        <v>154924.0</v>
      </c>
      <c r="FX10" s="21">
        <v>0.0</v>
      </c>
      <c r="FY10" s="21">
        <v>0.0</v>
      </c>
      <c r="FZ10" s="21">
        <v>0.0</v>
      </c>
      <c r="GA10" s="21">
        <v>0.0</v>
      </c>
      <c r="GB10" s="21" t="s">
        <v>656</v>
      </c>
      <c r="GF10" s="21">
        <v>60.0</v>
      </c>
      <c r="GG10" s="21">
        <v>200.0</v>
      </c>
      <c r="GH10" s="21">
        <v>1440.0</v>
      </c>
      <c r="GI10" s="21" t="s">
        <v>719</v>
      </c>
      <c r="GK10" s="25">
        <v>41101.0</v>
      </c>
      <c r="GL10" s="21" t="s">
        <v>656</v>
      </c>
      <c r="GM10" s="21" t="s">
        <v>679</v>
      </c>
      <c r="GN10" s="21" t="s">
        <v>656</v>
      </c>
      <c r="GQ10" s="21" t="s">
        <v>656</v>
      </c>
      <c r="GS10" s="21" t="s">
        <v>720</v>
      </c>
      <c r="GT10" s="21" t="s">
        <v>720</v>
      </c>
      <c r="GU10" s="21">
        <v>16005.0</v>
      </c>
      <c r="GV10" s="21" t="s">
        <v>659</v>
      </c>
      <c r="HD10" s="21" t="s">
        <v>656</v>
      </c>
      <c r="HK10" s="21" t="s">
        <v>680</v>
      </c>
      <c r="HL10" s="21" t="s">
        <v>656</v>
      </c>
      <c r="HQ10" s="21" t="s">
        <v>806</v>
      </c>
      <c r="HT10" s="21" t="s">
        <v>682</v>
      </c>
      <c r="IH10" s="21" t="s">
        <v>656</v>
      </c>
      <c r="II10" s="21" t="s">
        <v>656</v>
      </c>
      <c r="IN10" s="21" t="s">
        <v>683</v>
      </c>
      <c r="IO10" s="21" t="s">
        <v>684</v>
      </c>
      <c r="QS10" s="21" t="s">
        <v>684</v>
      </c>
      <c r="QU10" s="21" t="s">
        <v>685</v>
      </c>
      <c r="WL10" s="21" t="s">
        <v>791</v>
      </c>
      <c r="WM10" s="21" t="s">
        <v>747</v>
      </c>
      <c r="WN10" s="21" t="s">
        <v>792</v>
      </c>
      <c r="WO10" s="21">
        <v>8.323241027E9</v>
      </c>
      <c r="WT10" s="21" t="s">
        <v>689</v>
      </c>
      <c r="WU10" s="21" t="s">
        <v>730</v>
      </c>
      <c r="WV10" s="21">
        <v>7.13882059E9</v>
      </c>
      <c r="WW10" s="21" t="s">
        <v>690</v>
      </c>
      <c r="WX10" s="21" t="s">
        <v>825</v>
      </c>
    </row>
    <row r="11">
      <c r="A11" s="21">
        <v>44.0</v>
      </c>
      <c r="B11" s="22">
        <v>45728.0</v>
      </c>
      <c r="C11" s="21">
        <v>2025.0</v>
      </c>
      <c r="D11" s="21">
        <v>2.0250025E7</v>
      </c>
      <c r="E11" s="21">
        <v>40864.0</v>
      </c>
      <c r="F11" s="21" t="s">
        <v>778</v>
      </c>
      <c r="G11" s="21">
        <v>40285.0</v>
      </c>
      <c r="H11" s="21" t="s">
        <v>826</v>
      </c>
      <c r="I11" s="21" t="s">
        <v>652</v>
      </c>
      <c r="J11" s="21" t="s">
        <v>653</v>
      </c>
      <c r="K11" s="21" t="s">
        <v>654</v>
      </c>
      <c r="L11" s="21">
        <v>77002.0</v>
      </c>
      <c r="M11" s="23">
        <v>45703.84027777778</v>
      </c>
      <c r="N11" s="21" t="s">
        <v>655</v>
      </c>
      <c r="O11" s="21" t="s">
        <v>656</v>
      </c>
      <c r="P11" s="21">
        <v>32.290899</v>
      </c>
      <c r="Q11" s="21">
        <v>-92.626194</v>
      </c>
      <c r="R11" s="21">
        <v>1423646.0</v>
      </c>
      <c r="S11" s="24">
        <v>45703.88680555556</v>
      </c>
      <c r="T11" s="21">
        <v>1423735.0</v>
      </c>
      <c r="U11" s="21" t="s">
        <v>657</v>
      </c>
      <c r="W11" s="21">
        <v>22000.0</v>
      </c>
      <c r="X11" s="21">
        <v>0.0</v>
      </c>
      <c r="Y11" s="21">
        <v>0.0</v>
      </c>
      <c r="Z11" s="21" t="s">
        <v>656</v>
      </c>
      <c r="AF11" s="21">
        <v>0.0</v>
      </c>
      <c r="AG11" s="21" t="s">
        <v>656</v>
      </c>
      <c r="AM11" s="21">
        <v>0.0</v>
      </c>
      <c r="AN11" s="21" t="s">
        <v>658</v>
      </c>
      <c r="AO11" s="21" t="s">
        <v>659</v>
      </c>
      <c r="AQ11" s="24">
        <v>45703.87708333333</v>
      </c>
      <c r="AR11" s="24">
        <v>45704.166666666664</v>
      </c>
      <c r="AT11" s="21" t="s">
        <v>656</v>
      </c>
      <c r="AW11" s="21" t="s">
        <v>656</v>
      </c>
      <c r="BI11" s="21">
        <v>0.0</v>
      </c>
      <c r="BJ11" s="24">
        <v>45703.84027777778</v>
      </c>
      <c r="BK11" s="24">
        <v>45703.87430555555</v>
      </c>
      <c r="BL11" s="24">
        <v>45703.87708333333</v>
      </c>
      <c r="BM11" s="21" t="s">
        <v>662</v>
      </c>
      <c r="BN11" s="21" t="s">
        <v>751</v>
      </c>
      <c r="BO11" s="21">
        <v>71251.0</v>
      </c>
      <c r="BP11" s="21" t="s">
        <v>663</v>
      </c>
      <c r="BQ11" s="21" t="s">
        <v>827</v>
      </c>
      <c r="BR11" s="21" t="s">
        <v>665</v>
      </c>
      <c r="BT11" s="21" t="s">
        <v>828</v>
      </c>
      <c r="BU11" s="21" t="s">
        <v>829</v>
      </c>
      <c r="BV11" s="21" t="s">
        <v>656</v>
      </c>
      <c r="BW11" s="21" t="s">
        <v>668</v>
      </c>
      <c r="BX11" s="21" t="s">
        <v>669</v>
      </c>
      <c r="BY11" s="21" t="s">
        <v>670</v>
      </c>
      <c r="CC11" s="21" t="s">
        <v>656</v>
      </c>
      <c r="CZ11" s="21" t="s">
        <v>712</v>
      </c>
      <c r="DA11" s="21" t="s">
        <v>672</v>
      </c>
      <c r="DB11" s="21" t="s">
        <v>830</v>
      </c>
      <c r="EO11" s="21">
        <v>2007.0</v>
      </c>
      <c r="EP11" s="21">
        <v>2007.0</v>
      </c>
      <c r="EQ11" s="21" t="s">
        <v>674</v>
      </c>
      <c r="ES11" s="21" t="s">
        <v>696</v>
      </c>
      <c r="FB11" s="21" t="s">
        <v>831</v>
      </c>
      <c r="FC11" s="21" t="s">
        <v>677</v>
      </c>
      <c r="FD11" s="21" t="s">
        <v>656</v>
      </c>
      <c r="FF11" s="21">
        <v>990.0</v>
      </c>
      <c r="FH11" s="21" t="s">
        <v>656</v>
      </c>
      <c r="FI11" s="21" t="s">
        <v>656</v>
      </c>
      <c r="FL11" s="21" t="s">
        <v>656</v>
      </c>
      <c r="FO11" s="21">
        <v>0.0</v>
      </c>
      <c r="FP11" s="21">
        <v>102960.0</v>
      </c>
      <c r="FQ11" s="21">
        <v>0.0</v>
      </c>
      <c r="FR11" s="21">
        <v>0.0</v>
      </c>
      <c r="FS11" s="21">
        <v>0.0</v>
      </c>
      <c r="FT11" s="21">
        <v>0.0</v>
      </c>
      <c r="FV11" s="21">
        <v>4.68</v>
      </c>
      <c r="FW11" s="21">
        <v>102960.0</v>
      </c>
      <c r="FX11" s="21">
        <v>0.0</v>
      </c>
      <c r="FY11" s="21">
        <v>0.0</v>
      </c>
      <c r="FZ11" s="21">
        <v>0.0</v>
      </c>
      <c r="GA11" s="21">
        <v>0.0</v>
      </c>
      <c r="GB11" s="21" t="s">
        <v>656</v>
      </c>
      <c r="GF11" s="21">
        <v>989.0</v>
      </c>
      <c r="GG11" s="21">
        <v>1400000.0</v>
      </c>
      <c r="GH11" s="21">
        <v>1168.0</v>
      </c>
      <c r="GI11" s="21" t="s">
        <v>774</v>
      </c>
      <c r="GK11" s="25">
        <v>39187.0</v>
      </c>
      <c r="GL11" s="21" t="s">
        <v>656</v>
      </c>
      <c r="GM11" s="21" t="s">
        <v>679</v>
      </c>
      <c r="GN11" s="21" t="s">
        <v>656</v>
      </c>
      <c r="GQ11" s="21" t="s">
        <v>656</v>
      </c>
      <c r="HK11" s="21" t="s">
        <v>721</v>
      </c>
      <c r="HL11" s="21" t="s">
        <v>659</v>
      </c>
      <c r="HM11" s="21" t="s">
        <v>659</v>
      </c>
      <c r="HN11" s="21" t="s">
        <v>659</v>
      </c>
      <c r="HO11" s="21" t="s">
        <v>659</v>
      </c>
      <c r="HP11" s="21" t="s">
        <v>656</v>
      </c>
      <c r="HQ11" s="21" t="s">
        <v>681</v>
      </c>
      <c r="HT11" s="21" t="s">
        <v>723</v>
      </c>
      <c r="HU11" s="21" t="s">
        <v>832</v>
      </c>
      <c r="IH11" s="21" t="s">
        <v>656</v>
      </c>
      <c r="II11" s="21" t="s">
        <v>656</v>
      </c>
      <c r="IN11" s="21" t="s">
        <v>761</v>
      </c>
      <c r="IO11" s="21" t="s">
        <v>762</v>
      </c>
      <c r="OU11" s="21" t="s">
        <v>762</v>
      </c>
      <c r="PG11" s="21" t="s">
        <v>659</v>
      </c>
      <c r="PH11" s="21" t="s">
        <v>833</v>
      </c>
      <c r="PU11" s="21" t="s">
        <v>659</v>
      </c>
      <c r="QE11" s="21" t="s">
        <v>659</v>
      </c>
      <c r="QF11" s="21" t="s">
        <v>834</v>
      </c>
      <c r="VX11" s="21" t="s">
        <v>659</v>
      </c>
      <c r="WL11" s="21" t="s">
        <v>835</v>
      </c>
      <c r="WM11" s="21" t="s">
        <v>836</v>
      </c>
      <c r="WN11" s="21" t="s">
        <v>837</v>
      </c>
      <c r="WO11" s="21" t="s">
        <v>838</v>
      </c>
      <c r="WQ11" s="21" t="s">
        <v>839</v>
      </c>
      <c r="WR11" s="21" t="s">
        <v>840</v>
      </c>
      <c r="WS11" s="21" t="s">
        <v>841</v>
      </c>
      <c r="WT11" s="21" t="s">
        <v>819</v>
      </c>
      <c r="WU11" s="21" t="s">
        <v>842</v>
      </c>
      <c r="WV11" s="21" t="s">
        <v>843</v>
      </c>
      <c r="WW11" s="21" t="s">
        <v>820</v>
      </c>
      <c r="WX11" s="21" t="s">
        <v>844</v>
      </c>
    </row>
    <row r="12">
      <c r="A12" s="21">
        <v>50.0</v>
      </c>
      <c r="B12" s="22">
        <v>45800.0</v>
      </c>
      <c r="C12" s="21">
        <v>2025.0</v>
      </c>
      <c r="D12" s="21">
        <v>2.0250056E7</v>
      </c>
      <c r="E12" s="21">
        <v>40937.0</v>
      </c>
      <c r="F12" s="21" t="s">
        <v>650</v>
      </c>
      <c r="G12" s="21">
        <v>18152.0</v>
      </c>
      <c r="H12" s="21" t="s">
        <v>702</v>
      </c>
      <c r="I12" s="21" t="s">
        <v>652</v>
      </c>
      <c r="J12" s="21" t="s">
        <v>653</v>
      </c>
      <c r="K12" s="21" t="s">
        <v>654</v>
      </c>
      <c r="L12" s="21">
        <v>77002.0</v>
      </c>
      <c r="M12" s="23">
        <v>45681.45208333333</v>
      </c>
      <c r="N12" s="21" t="s">
        <v>655</v>
      </c>
      <c r="O12" s="21" t="s">
        <v>659</v>
      </c>
      <c r="P12" s="21">
        <v>28.615134</v>
      </c>
      <c r="Q12" s="21">
        <v>-90.251182</v>
      </c>
      <c r="R12" s="21">
        <v>1421791.0</v>
      </c>
      <c r="S12" s="24">
        <v>45681.498611111114</v>
      </c>
      <c r="T12" s="21" t="s">
        <v>845</v>
      </c>
      <c r="U12" s="21" t="s">
        <v>657</v>
      </c>
      <c r="W12" s="21">
        <v>5718.0</v>
      </c>
      <c r="X12" s="21">
        <v>2318.0</v>
      </c>
      <c r="Y12" s="21">
        <v>0.0</v>
      </c>
      <c r="Z12" s="21" t="s">
        <v>656</v>
      </c>
      <c r="AF12" s="21">
        <v>0.0</v>
      </c>
      <c r="AG12" s="21" t="s">
        <v>656</v>
      </c>
      <c r="AM12" s="21">
        <v>0.0</v>
      </c>
      <c r="AN12" s="21" t="s">
        <v>658</v>
      </c>
      <c r="AO12" s="21" t="s">
        <v>659</v>
      </c>
      <c r="AQ12" s="24">
        <v>45681.541666666664</v>
      </c>
      <c r="AS12" s="21" t="s">
        <v>659</v>
      </c>
      <c r="AT12" s="21" t="s">
        <v>659</v>
      </c>
      <c r="AU12" s="21" t="s">
        <v>660</v>
      </c>
      <c r="AV12" s="24">
        <v>45681.498611111114</v>
      </c>
      <c r="AW12" s="21" t="s">
        <v>656</v>
      </c>
      <c r="BC12" s="21" t="s">
        <v>704</v>
      </c>
      <c r="BE12" s="24">
        <v>45681.5625</v>
      </c>
      <c r="BF12" s="21" t="s">
        <v>704</v>
      </c>
      <c r="BH12" s="24">
        <v>45681.541666666664</v>
      </c>
      <c r="BI12" s="21">
        <v>0.0</v>
      </c>
      <c r="BJ12" s="24">
        <v>45772.09375</v>
      </c>
      <c r="BK12" s="24">
        <v>45681.541666666664</v>
      </c>
      <c r="BL12" s="24">
        <v>45772.09375</v>
      </c>
      <c r="BM12" s="21" t="s">
        <v>705</v>
      </c>
      <c r="BT12" s="21" t="s">
        <v>706</v>
      </c>
      <c r="BU12" s="21" t="s">
        <v>846</v>
      </c>
      <c r="CP12" s="21">
        <v>156.0</v>
      </c>
      <c r="CQ12" s="21" t="s">
        <v>708</v>
      </c>
      <c r="CV12" s="21" t="s">
        <v>709</v>
      </c>
      <c r="CW12" s="21" t="s">
        <v>847</v>
      </c>
      <c r="CX12" s="21">
        <v>151.0</v>
      </c>
      <c r="CY12" s="21" t="s">
        <v>711</v>
      </c>
      <c r="CZ12" s="21" t="s">
        <v>712</v>
      </c>
      <c r="DA12" s="21" t="s">
        <v>713</v>
      </c>
      <c r="DB12" s="21" t="s">
        <v>714</v>
      </c>
      <c r="DC12" s="21" t="s">
        <v>715</v>
      </c>
      <c r="DD12" s="21">
        <v>20.0</v>
      </c>
      <c r="DE12" s="21" t="s">
        <v>656</v>
      </c>
      <c r="DF12" s="21">
        <v>0.469</v>
      </c>
      <c r="DG12" s="21">
        <v>52000.0</v>
      </c>
      <c r="DH12" s="21" t="s">
        <v>716</v>
      </c>
      <c r="DI12" s="21" t="s">
        <v>848</v>
      </c>
      <c r="DK12" s="21" t="s">
        <v>849</v>
      </c>
      <c r="DL12" s="21" t="s">
        <v>743</v>
      </c>
      <c r="DN12" s="21" t="s">
        <v>656</v>
      </c>
      <c r="EO12" s="21">
        <v>1976.0</v>
      </c>
      <c r="EP12" s="21">
        <v>1976.0</v>
      </c>
      <c r="EQ12" s="21" t="s">
        <v>674</v>
      </c>
      <c r="ES12" s="21" t="s">
        <v>675</v>
      </c>
      <c r="EV12" s="21" t="s">
        <v>718</v>
      </c>
      <c r="FC12" s="21" t="s">
        <v>677</v>
      </c>
      <c r="FD12" s="21" t="s">
        <v>656</v>
      </c>
      <c r="FF12" s="21">
        <v>482.0</v>
      </c>
      <c r="FH12" s="21" t="s">
        <v>656</v>
      </c>
      <c r="FI12" s="21" t="s">
        <v>656</v>
      </c>
      <c r="FL12" s="21" t="s">
        <v>656</v>
      </c>
      <c r="FO12" s="21">
        <v>0.0</v>
      </c>
      <c r="FP12" s="21">
        <v>20528.0</v>
      </c>
      <c r="FQ12" s="21">
        <v>8322.0</v>
      </c>
      <c r="FR12" s="21">
        <v>2457394.0</v>
      </c>
      <c r="FS12" s="21">
        <v>107500.0</v>
      </c>
      <c r="FT12" s="21">
        <v>0.0</v>
      </c>
      <c r="FV12" s="21">
        <v>3.59</v>
      </c>
      <c r="FW12" s="21">
        <v>2593744.0</v>
      </c>
      <c r="FX12" s="21">
        <v>0.0</v>
      </c>
      <c r="FY12" s="21">
        <v>0.0</v>
      </c>
      <c r="FZ12" s="21">
        <v>0.0</v>
      </c>
      <c r="GA12" s="21">
        <v>0.0</v>
      </c>
      <c r="GB12" s="21" t="s">
        <v>656</v>
      </c>
      <c r="GF12" s="21">
        <v>850.0</v>
      </c>
      <c r="GG12" s="21">
        <v>0.0</v>
      </c>
      <c r="GH12" s="21">
        <v>1200.0</v>
      </c>
      <c r="GI12" s="21" t="s">
        <v>774</v>
      </c>
      <c r="GK12" s="25">
        <v>28126.0</v>
      </c>
      <c r="GL12" s="21" t="s">
        <v>656</v>
      </c>
      <c r="GM12" s="21" t="s">
        <v>679</v>
      </c>
      <c r="GN12" s="21" t="s">
        <v>656</v>
      </c>
      <c r="GQ12" s="21" t="s">
        <v>656</v>
      </c>
      <c r="GS12" s="21" t="s">
        <v>720</v>
      </c>
      <c r="GT12" s="21" t="s">
        <v>720</v>
      </c>
      <c r="GU12" s="21">
        <v>66105.0</v>
      </c>
      <c r="GV12" s="21" t="s">
        <v>656</v>
      </c>
      <c r="GY12" s="21" t="s">
        <v>659</v>
      </c>
      <c r="HD12" s="21" t="s">
        <v>656</v>
      </c>
      <c r="HK12" s="21" t="s">
        <v>721</v>
      </c>
      <c r="HL12" s="21" t="s">
        <v>659</v>
      </c>
      <c r="HM12" s="21" t="s">
        <v>659</v>
      </c>
      <c r="HN12" s="21" t="s">
        <v>659</v>
      </c>
      <c r="HO12" s="21" t="s">
        <v>656</v>
      </c>
      <c r="HP12" s="21" t="s">
        <v>656</v>
      </c>
      <c r="HQ12" s="21" t="s">
        <v>696</v>
      </c>
      <c r="HR12" s="21" t="s">
        <v>850</v>
      </c>
      <c r="HT12" s="21" t="s">
        <v>723</v>
      </c>
      <c r="HU12" s="21" t="s">
        <v>851</v>
      </c>
      <c r="IH12" s="21" t="s">
        <v>656</v>
      </c>
      <c r="II12" s="21" t="s">
        <v>656</v>
      </c>
      <c r="IN12" s="21" t="s">
        <v>683</v>
      </c>
      <c r="IO12" s="21" t="s">
        <v>684</v>
      </c>
      <c r="QS12" s="21" t="s">
        <v>684</v>
      </c>
      <c r="QU12" s="21" t="s">
        <v>685</v>
      </c>
      <c r="WL12" s="21" t="s">
        <v>729</v>
      </c>
      <c r="WM12" s="21" t="s">
        <v>730</v>
      </c>
      <c r="WN12" s="21" t="s">
        <v>731</v>
      </c>
      <c r="WO12" s="21">
        <v>4.092023088E9</v>
      </c>
      <c r="WT12" s="21" t="s">
        <v>729</v>
      </c>
      <c r="WU12" s="21" t="s">
        <v>730</v>
      </c>
      <c r="WV12" s="21">
        <v>4.092023088E9</v>
      </c>
      <c r="WW12" s="21" t="s">
        <v>731</v>
      </c>
      <c r="WX12" s="21" t="s">
        <v>852</v>
      </c>
    </row>
    <row r="13">
      <c r="A13" s="21">
        <v>51.0</v>
      </c>
      <c r="B13" s="22">
        <v>45702.0</v>
      </c>
      <c r="C13" s="21">
        <v>2025.0</v>
      </c>
      <c r="D13" s="21">
        <v>2.0250014E7</v>
      </c>
      <c r="E13" s="21">
        <v>40504.0</v>
      </c>
      <c r="F13" s="21" t="s">
        <v>701</v>
      </c>
      <c r="G13" s="21">
        <v>40285.0</v>
      </c>
      <c r="H13" s="21" t="s">
        <v>826</v>
      </c>
      <c r="I13" s="21" t="s">
        <v>652</v>
      </c>
      <c r="J13" s="21" t="s">
        <v>653</v>
      </c>
      <c r="K13" s="21" t="s">
        <v>654</v>
      </c>
      <c r="L13" s="21">
        <v>77002.0</v>
      </c>
      <c r="M13" s="23">
        <v>45681.319444444445</v>
      </c>
      <c r="N13" s="21" t="s">
        <v>655</v>
      </c>
      <c r="O13" s="21" t="s">
        <v>659</v>
      </c>
      <c r="P13" s="21">
        <v>32.290899</v>
      </c>
      <c r="Q13" s="21">
        <v>-92.626194</v>
      </c>
      <c r="R13" s="21">
        <v>1421766.0</v>
      </c>
      <c r="S13" s="24">
        <v>45681.36111111111</v>
      </c>
      <c r="T13" s="21">
        <v>1422317.0</v>
      </c>
      <c r="U13" s="21" t="s">
        <v>657</v>
      </c>
      <c r="W13" s="21">
        <v>22000.0</v>
      </c>
      <c r="X13" s="21">
        <v>0.0</v>
      </c>
      <c r="Y13" s="21">
        <v>0.0</v>
      </c>
      <c r="Z13" s="21" t="s">
        <v>656</v>
      </c>
      <c r="AF13" s="21">
        <v>0.0</v>
      </c>
      <c r="AG13" s="21" t="s">
        <v>656</v>
      </c>
      <c r="AM13" s="21">
        <v>0.0</v>
      </c>
      <c r="AN13" s="21" t="s">
        <v>658</v>
      </c>
      <c r="AO13" s="21" t="s">
        <v>659</v>
      </c>
      <c r="AQ13" s="24">
        <v>45681.30902777778</v>
      </c>
      <c r="AR13" s="24">
        <v>45681.875</v>
      </c>
      <c r="AT13" s="21" t="s">
        <v>659</v>
      </c>
      <c r="AU13" s="21" t="s">
        <v>660</v>
      </c>
      <c r="AV13" s="24">
        <v>45681.3</v>
      </c>
      <c r="AW13" s="21" t="s">
        <v>656</v>
      </c>
      <c r="BI13" s="21">
        <v>0.0</v>
      </c>
      <c r="BJ13" s="24">
        <v>45681.30902777778</v>
      </c>
      <c r="BK13" s="24">
        <v>45681.305555555555</v>
      </c>
      <c r="BL13" s="24">
        <v>45681.30902777778</v>
      </c>
      <c r="BM13" s="21" t="s">
        <v>662</v>
      </c>
      <c r="BN13" s="21" t="s">
        <v>751</v>
      </c>
      <c r="BO13" s="21">
        <v>71251.0</v>
      </c>
      <c r="BP13" s="21" t="s">
        <v>663</v>
      </c>
      <c r="BQ13" s="21" t="s">
        <v>827</v>
      </c>
      <c r="BR13" s="21" t="s">
        <v>665</v>
      </c>
      <c r="BT13" s="21" t="s">
        <v>828</v>
      </c>
      <c r="BU13" s="21" t="s">
        <v>829</v>
      </c>
      <c r="BV13" s="21" t="s">
        <v>656</v>
      </c>
      <c r="BW13" s="21" t="s">
        <v>668</v>
      </c>
      <c r="BX13" s="21" t="s">
        <v>669</v>
      </c>
      <c r="BY13" s="21" t="s">
        <v>670</v>
      </c>
      <c r="CC13" s="21" t="s">
        <v>656</v>
      </c>
      <c r="CZ13" s="21" t="s">
        <v>712</v>
      </c>
      <c r="DA13" s="21" t="s">
        <v>672</v>
      </c>
      <c r="DB13" s="21" t="s">
        <v>830</v>
      </c>
      <c r="EO13" s="21">
        <v>2007.0</v>
      </c>
      <c r="EP13" s="21">
        <v>2007.0</v>
      </c>
      <c r="EQ13" s="21" t="s">
        <v>674</v>
      </c>
      <c r="ES13" s="21" t="s">
        <v>696</v>
      </c>
      <c r="FB13" s="21" t="s">
        <v>853</v>
      </c>
      <c r="FC13" s="21" t="s">
        <v>677</v>
      </c>
      <c r="FD13" s="21" t="s">
        <v>656</v>
      </c>
      <c r="FF13" s="21">
        <v>990.0</v>
      </c>
      <c r="FH13" s="21" t="s">
        <v>656</v>
      </c>
      <c r="FI13" s="21" t="s">
        <v>656</v>
      </c>
      <c r="FL13" s="21" t="s">
        <v>656</v>
      </c>
      <c r="FO13" s="21">
        <v>0.0</v>
      </c>
      <c r="FP13" s="21">
        <v>84040.0</v>
      </c>
      <c r="FQ13" s="21">
        <v>0.0</v>
      </c>
      <c r="FR13" s="21">
        <v>15000.0</v>
      </c>
      <c r="FS13" s="21">
        <v>0.0</v>
      </c>
      <c r="FT13" s="21">
        <v>0.0</v>
      </c>
      <c r="FV13" s="21">
        <v>3.82</v>
      </c>
      <c r="FW13" s="21">
        <v>99040.0</v>
      </c>
      <c r="FX13" s="21">
        <v>0.0</v>
      </c>
      <c r="FY13" s="21">
        <v>0.0</v>
      </c>
      <c r="FZ13" s="21">
        <v>0.0</v>
      </c>
      <c r="GA13" s="21">
        <v>0.0</v>
      </c>
      <c r="GB13" s="21" t="s">
        <v>656</v>
      </c>
      <c r="GF13" s="21">
        <v>900.0</v>
      </c>
      <c r="GG13" s="21">
        <v>1300000.0</v>
      </c>
      <c r="GH13" s="21">
        <v>1168.0</v>
      </c>
      <c r="GI13" s="21" t="s">
        <v>774</v>
      </c>
      <c r="GK13" s="25">
        <v>39187.0</v>
      </c>
      <c r="GL13" s="21" t="s">
        <v>656</v>
      </c>
      <c r="GM13" s="21" t="s">
        <v>679</v>
      </c>
      <c r="GN13" s="21" t="s">
        <v>656</v>
      </c>
      <c r="GQ13" s="21" t="s">
        <v>656</v>
      </c>
      <c r="HK13" s="21" t="s">
        <v>721</v>
      </c>
      <c r="HL13" s="21" t="s">
        <v>659</v>
      </c>
      <c r="HM13" s="21" t="s">
        <v>659</v>
      </c>
      <c r="HN13" s="21" t="s">
        <v>659</v>
      </c>
      <c r="HO13" s="21" t="s">
        <v>659</v>
      </c>
      <c r="HP13" s="21" t="s">
        <v>659</v>
      </c>
      <c r="HQ13" s="21" t="s">
        <v>698</v>
      </c>
      <c r="HS13" s="21" t="s">
        <v>699</v>
      </c>
      <c r="HT13" s="21" t="s">
        <v>723</v>
      </c>
      <c r="HU13" s="21" t="s">
        <v>832</v>
      </c>
      <c r="IH13" s="21" t="s">
        <v>656</v>
      </c>
      <c r="II13" s="21" t="s">
        <v>656</v>
      </c>
      <c r="IN13" s="21" t="s">
        <v>761</v>
      </c>
      <c r="IO13" s="21" t="s">
        <v>762</v>
      </c>
      <c r="OU13" s="21" t="s">
        <v>762</v>
      </c>
      <c r="PF13" s="21" t="s">
        <v>659</v>
      </c>
      <c r="QE13" s="21" t="s">
        <v>659</v>
      </c>
      <c r="QF13" s="21" t="s">
        <v>853</v>
      </c>
      <c r="VX13" s="21" t="s">
        <v>659</v>
      </c>
      <c r="WL13" s="21" t="s">
        <v>835</v>
      </c>
      <c r="WM13" s="21" t="s">
        <v>836</v>
      </c>
      <c r="WN13" s="21" t="s">
        <v>837</v>
      </c>
      <c r="WO13" s="21" t="s">
        <v>838</v>
      </c>
      <c r="WQ13" s="21" t="s">
        <v>839</v>
      </c>
      <c r="WR13" s="21" t="s">
        <v>840</v>
      </c>
      <c r="WS13" s="21" t="s">
        <v>841</v>
      </c>
      <c r="WT13" s="21" t="s">
        <v>854</v>
      </c>
      <c r="WU13" s="21" t="s">
        <v>855</v>
      </c>
      <c r="WV13" s="21" t="s">
        <v>856</v>
      </c>
      <c r="WW13" s="21" t="s">
        <v>857</v>
      </c>
      <c r="WX13" s="21" t="s">
        <v>858</v>
      </c>
    </row>
    <row r="14">
      <c r="A14" s="21">
        <v>57.0</v>
      </c>
      <c r="B14" s="22">
        <v>45694.0</v>
      </c>
      <c r="C14" s="21">
        <v>2025.0</v>
      </c>
      <c r="D14" s="21">
        <v>2.0250009E7</v>
      </c>
      <c r="E14" s="21">
        <v>40594.0</v>
      </c>
      <c r="F14" s="21" t="s">
        <v>778</v>
      </c>
      <c r="G14" s="21">
        <v>602.0</v>
      </c>
      <c r="H14" s="21" t="s">
        <v>859</v>
      </c>
      <c r="I14" s="21" t="s">
        <v>652</v>
      </c>
      <c r="J14" s="21" t="s">
        <v>653</v>
      </c>
      <c r="K14" s="21" t="s">
        <v>654</v>
      </c>
      <c r="L14" s="21">
        <v>77002.0</v>
      </c>
      <c r="M14" s="23">
        <v>45675.819444444445</v>
      </c>
      <c r="N14" s="21" t="s">
        <v>655</v>
      </c>
      <c r="O14" s="21" t="s">
        <v>656</v>
      </c>
      <c r="P14" s="21">
        <v>35.887232</v>
      </c>
      <c r="Q14" s="21">
        <v>-95.406003</v>
      </c>
      <c r="R14" s="21">
        <v>1421380.0</v>
      </c>
      <c r="S14" s="24">
        <v>45675.85763888889</v>
      </c>
      <c r="T14" s="21">
        <v>1421449.0</v>
      </c>
      <c r="U14" s="21" t="s">
        <v>657</v>
      </c>
      <c r="W14" s="21">
        <v>49000.0</v>
      </c>
      <c r="X14" s="21">
        <v>0.0</v>
      </c>
      <c r="Y14" s="21">
        <v>0.0</v>
      </c>
      <c r="Z14" s="21" t="s">
        <v>656</v>
      </c>
      <c r="AF14" s="21">
        <v>0.0</v>
      </c>
      <c r="AG14" s="21" t="s">
        <v>656</v>
      </c>
      <c r="AM14" s="21">
        <v>0.0</v>
      </c>
      <c r="AN14" s="21" t="s">
        <v>658</v>
      </c>
      <c r="AO14" s="21" t="s">
        <v>659</v>
      </c>
      <c r="AQ14" s="24">
        <v>45675.819444444445</v>
      </c>
      <c r="AR14" s="24">
        <v>45675.895833333336</v>
      </c>
      <c r="AT14" s="21" t="s">
        <v>656</v>
      </c>
      <c r="AW14" s="21" t="s">
        <v>656</v>
      </c>
      <c r="BI14" s="21">
        <v>0.0</v>
      </c>
      <c r="BJ14" s="24">
        <v>45675.791666666664</v>
      </c>
      <c r="BK14" s="24">
        <v>45675.79861111111</v>
      </c>
      <c r="BL14" s="24">
        <v>45675.819444444445</v>
      </c>
      <c r="BM14" s="21" t="s">
        <v>662</v>
      </c>
      <c r="BN14" s="21" t="s">
        <v>860</v>
      </c>
      <c r="BO14" s="21">
        <v>74578.0</v>
      </c>
      <c r="BP14" s="21" t="s">
        <v>861</v>
      </c>
      <c r="BQ14" s="21" t="s">
        <v>862</v>
      </c>
      <c r="BR14" s="21" t="s">
        <v>665</v>
      </c>
      <c r="BT14" s="21" t="s">
        <v>863</v>
      </c>
      <c r="BU14" s="21" t="s">
        <v>864</v>
      </c>
      <c r="BV14" s="21" t="s">
        <v>656</v>
      </c>
      <c r="BW14" s="21" t="s">
        <v>668</v>
      </c>
      <c r="BX14" s="21" t="s">
        <v>669</v>
      </c>
      <c r="BY14" s="21" t="s">
        <v>670</v>
      </c>
      <c r="CC14" s="21" t="s">
        <v>656</v>
      </c>
      <c r="CZ14" s="21" t="s">
        <v>712</v>
      </c>
      <c r="DA14" s="21" t="s">
        <v>672</v>
      </c>
      <c r="DB14" s="21" t="s">
        <v>830</v>
      </c>
      <c r="EO14" s="21">
        <v>1973.0</v>
      </c>
      <c r="EP14" s="21" t="s">
        <v>684</v>
      </c>
      <c r="EQ14" s="21" t="s">
        <v>674</v>
      </c>
      <c r="ES14" s="21" t="s">
        <v>696</v>
      </c>
      <c r="FB14" s="21" t="s">
        <v>865</v>
      </c>
      <c r="FC14" s="21" t="s">
        <v>677</v>
      </c>
      <c r="FD14" s="21" t="s">
        <v>656</v>
      </c>
      <c r="FF14" s="21">
        <v>545.0</v>
      </c>
      <c r="FH14" s="21" t="s">
        <v>656</v>
      </c>
      <c r="FI14" s="21" t="s">
        <v>656</v>
      </c>
      <c r="FL14" s="21" t="s">
        <v>656</v>
      </c>
      <c r="FO14" s="21">
        <v>0.0</v>
      </c>
      <c r="FP14" s="21">
        <v>159250.0</v>
      </c>
      <c r="FQ14" s="21">
        <v>0.0</v>
      </c>
      <c r="FR14" s="21">
        <v>775.0</v>
      </c>
      <c r="FS14" s="21">
        <v>690.0</v>
      </c>
      <c r="FT14" s="21">
        <v>0.0</v>
      </c>
      <c r="FV14" s="21">
        <v>3.25</v>
      </c>
      <c r="FW14" s="21">
        <v>160715.0</v>
      </c>
      <c r="FX14" s="21">
        <v>0.0</v>
      </c>
      <c r="FY14" s="21">
        <v>0.0</v>
      </c>
      <c r="FZ14" s="21">
        <v>0.0</v>
      </c>
      <c r="GA14" s="21">
        <v>0.0</v>
      </c>
      <c r="GB14" s="21" t="s">
        <v>656</v>
      </c>
      <c r="GF14" s="21">
        <v>886.0</v>
      </c>
      <c r="GG14" s="21">
        <v>750000.0</v>
      </c>
      <c r="GH14" s="21">
        <v>1000.0</v>
      </c>
      <c r="GI14" s="21" t="s">
        <v>719</v>
      </c>
      <c r="GK14" s="25">
        <v>26696.0</v>
      </c>
      <c r="GL14" s="21" t="s">
        <v>656</v>
      </c>
      <c r="GM14" s="21" t="s">
        <v>679</v>
      </c>
      <c r="GN14" s="21" t="s">
        <v>656</v>
      </c>
      <c r="GQ14" s="21" t="s">
        <v>656</v>
      </c>
      <c r="HK14" s="21" t="s">
        <v>721</v>
      </c>
      <c r="HL14" s="21" t="s">
        <v>659</v>
      </c>
      <c r="HM14" s="21" t="s">
        <v>659</v>
      </c>
      <c r="HN14" s="21" t="s">
        <v>659</v>
      </c>
      <c r="HO14" s="21" t="s">
        <v>659</v>
      </c>
      <c r="HP14" s="21" t="s">
        <v>659</v>
      </c>
      <c r="HQ14" s="21" t="s">
        <v>681</v>
      </c>
      <c r="HT14" s="21" t="s">
        <v>723</v>
      </c>
      <c r="HU14" s="21" t="s">
        <v>866</v>
      </c>
      <c r="IH14" s="21" t="s">
        <v>656</v>
      </c>
      <c r="II14" s="21" t="s">
        <v>656</v>
      </c>
      <c r="IN14" s="21" t="s">
        <v>867</v>
      </c>
      <c r="IO14" s="21" t="s">
        <v>868</v>
      </c>
      <c r="KP14" s="21" t="s">
        <v>868</v>
      </c>
      <c r="KT14" s="21" t="s">
        <v>869</v>
      </c>
      <c r="KV14" s="21" t="s">
        <v>659</v>
      </c>
      <c r="KZ14" s="21" t="s">
        <v>659</v>
      </c>
      <c r="LA14" s="21" t="s">
        <v>870</v>
      </c>
      <c r="VX14" s="21" t="s">
        <v>659</v>
      </c>
      <c r="WL14" s="21" t="s">
        <v>871</v>
      </c>
      <c r="WM14" s="21" t="s">
        <v>872</v>
      </c>
      <c r="WN14" s="21" t="s">
        <v>873</v>
      </c>
      <c r="WO14" s="21">
        <v>4.053807618E9</v>
      </c>
      <c r="WQ14" s="21" t="s">
        <v>871</v>
      </c>
      <c r="WR14" s="21" t="s">
        <v>873</v>
      </c>
      <c r="WS14" s="21">
        <v>4.053807618E9</v>
      </c>
      <c r="WT14" s="21" t="s">
        <v>854</v>
      </c>
      <c r="WU14" s="21" t="s">
        <v>874</v>
      </c>
      <c r="WV14" s="21">
        <v>4.05576823E9</v>
      </c>
      <c r="WW14" s="21" t="s">
        <v>857</v>
      </c>
      <c r="WX14" s="21" t="s">
        <v>875</v>
      </c>
    </row>
    <row r="15">
      <c r="A15" s="21">
        <v>59.0</v>
      </c>
      <c r="B15" s="22">
        <v>45804.0</v>
      </c>
      <c r="C15" s="21">
        <v>2025.0</v>
      </c>
      <c r="D15" s="21">
        <v>2.0250058E7</v>
      </c>
      <c r="E15" s="21">
        <v>40990.0</v>
      </c>
      <c r="F15" s="21" t="s">
        <v>778</v>
      </c>
      <c r="G15" s="21">
        <v>18152.0</v>
      </c>
      <c r="H15" s="21" t="s">
        <v>702</v>
      </c>
      <c r="I15" s="21" t="s">
        <v>652</v>
      </c>
      <c r="J15" s="21" t="s">
        <v>653</v>
      </c>
      <c r="K15" s="21" t="s">
        <v>654</v>
      </c>
      <c r="L15" s="21">
        <v>77002.0</v>
      </c>
      <c r="M15" s="23">
        <v>45670.506944444445</v>
      </c>
      <c r="N15" s="21" t="s">
        <v>655</v>
      </c>
      <c r="O15" s="21" t="s">
        <v>656</v>
      </c>
      <c r="P15" s="21">
        <v>28.243831</v>
      </c>
      <c r="Q15" s="21">
        <v>-91.710811</v>
      </c>
      <c r="R15" s="21">
        <v>1421007.0</v>
      </c>
      <c r="S15" s="24">
        <v>45670.54583333333</v>
      </c>
      <c r="T15" s="21" t="s">
        <v>876</v>
      </c>
      <c r="U15" s="21" t="s">
        <v>657</v>
      </c>
      <c r="W15" s="21">
        <v>793534.0</v>
      </c>
      <c r="X15" s="21">
        <v>0.0</v>
      </c>
      <c r="Y15" s="21">
        <v>0.0</v>
      </c>
      <c r="Z15" s="21" t="s">
        <v>656</v>
      </c>
      <c r="AF15" s="21">
        <v>0.0</v>
      </c>
      <c r="AG15" s="21" t="s">
        <v>656</v>
      </c>
      <c r="AM15" s="21">
        <v>0.0</v>
      </c>
      <c r="AN15" s="21" t="s">
        <v>658</v>
      </c>
      <c r="AO15" s="21" t="s">
        <v>659</v>
      </c>
      <c r="AQ15" s="24">
        <v>45670.5625</v>
      </c>
      <c r="AR15" s="24">
        <v>45791.59375</v>
      </c>
      <c r="AT15" s="21" t="s">
        <v>659</v>
      </c>
      <c r="AU15" s="21" t="s">
        <v>660</v>
      </c>
      <c r="AV15" s="24">
        <v>45670.54583333333</v>
      </c>
      <c r="AW15" s="21" t="s">
        <v>656</v>
      </c>
      <c r="BC15" s="21" t="s">
        <v>704</v>
      </c>
      <c r="BE15" s="24">
        <v>45670.55902777778</v>
      </c>
      <c r="BF15" s="21" t="s">
        <v>704</v>
      </c>
      <c r="BH15" s="24">
        <v>45670.5625</v>
      </c>
      <c r="BI15" s="21">
        <v>0.0</v>
      </c>
      <c r="BJ15" s="24">
        <v>45788.791666666664</v>
      </c>
      <c r="BK15" s="24">
        <v>45670.55902777778</v>
      </c>
      <c r="BL15" s="24">
        <v>45788.791666666664</v>
      </c>
      <c r="BM15" s="21" t="s">
        <v>705</v>
      </c>
      <c r="BT15" s="21" t="s">
        <v>706</v>
      </c>
      <c r="BU15" s="21" t="s">
        <v>707</v>
      </c>
      <c r="CP15" s="21">
        <v>260.0</v>
      </c>
      <c r="CQ15" s="21" t="s">
        <v>708</v>
      </c>
      <c r="CV15" s="21" t="s">
        <v>709</v>
      </c>
      <c r="CW15" s="21" t="s">
        <v>710</v>
      </c>
      <c r="CX15" s="21">
        <v>331.0</v>
      </c>
      <c r="CY15" s="21" t="s">
        <v>711</v>
      </c>
      <c r="CZ15" s="21" t="s">
        <v>712</v>
      </c>
      <c r="DA15" s="21" t="s">
        <v>713</v>
      </c>
      <c r="DB15" s="21" t="s">
        <v>714</v>
      </c>
      <c r="DC15" s="21" t="s">
        <v>715</v>
      </c>
      <c r="DD15" s="21">
        <v>8.625</v>
      </c>
      <c r="DE15" s="21" t="s">
        <v>656</v>
      </c>
      <c r="DF15" s="21">
        <v>0.41</v>
      </c>
      <c r="DG15" s="21">
        <v>24000.0</v>
      </c>
      <c r="DH15" s="21" t="s">
        <v>716</v>
      </c>
      <c r="DI15" s="21" t="s">
        <v>696</v>
      </c>
      <c r="DJ15" s="21" t="s">
        <v>684</v>
      </c>
      <c r="DK15" s="21" t="s">
        <v>684</v>
      </c>
      <c r="DL15" s="21" t="s">
        <v>696</v>
      </c>
      <c r="DM15" s="21" t="s">
        <v>877</v>
      </c>
      <c r="DN15" s="21" t="s">
        <v>659</v>
      </c>
      <c r="EO15" s="21">
        <v>1973.0</v>
      </c>
      <c r="EP15" s="21">
        <v>1973.0</v>
      </c>
      <c r="EQ15" s="21" t="s">
        <v>674</v>
      </c>
      <c r="ES15" s="21" t="s">
        <v>675</v>
      </c>
      <c r="EV15" s="21" t="s">
        <v>718</v>
      </c>
      <c r="FC15" s="21" t="s">
        <v>677</v>
      </c>
      <c r="FD15" s="21" t="s">
        <v>656</v>
      </c>
      <c r="FF15" s="21">
        <v>215.0</v>
      </c>
      <c r="FH15" s="21" t="s">
        <v>656</v>
      </c>
      <c r="FI15" s="21" t="s">
        <v>656</v>
      </c>
      <c r="FL15" s="21" t="s">
        <v>656</v>
      </c>
      <c r="FO15" s="21">
        <v>0.0</v>
      </c>
      <c r="FP15" s="21">
        <v>2848787.0</v>
      </c>
      <c r="FQ15" s="21">
        <v>0.0</v>
      </c>
      <c r="FR15" s="21">
        <v>350000.0</v>
      </c>
      <c r="FS15" s="21">
        <v>125000.0</v>
      </c>
      <c r="FT15" s="21">
        <v>0.0</v>
      </c>
      <c r="FV15" s="21">
        <v>3.59</v>
      </c>
      <c r="FW15" s="21">
        <v>3323787.0</v>
      </c>
      <c r="FX15" s="21">
        <v>0.0</v>
      </c>
      <c r="FY15" s="21">
        <v>0.0</v>
      </c>
      <c r="FZ15" s="21">
        <v>0.0</v>
      </c>
      <c r="GA15" s="21">
        <v>0.0</v>
      </c>
      <c r="GB15" s="21" t="s">
        <v>656</v>
      </c>
      <c r="GF15" s="21">
        <v>840.0</v>
      </c>
      <c r="GG15" s="21">
        <v>3000.0</v>
      </c>
      <c r="GH15" s="21">
        <v>1306.0</v>
      </c>
      <c r="GI15" s="21" t="s">
        <v>719</v>
      </c>
      <c r="GK15" s="25">
        <v>28126.0</v>
      </c>
      <c r="GL15" s="21" t="s">
        <v>656</v>
      </c>
      <c r="GM15" s="21" t="s">
        <v>679</v>
      </c>
      <c r="GN15" s="21" t="s">
        <v>656</v>
      </c>
      <c r="GQ15" s="21" t="s">
        <v>656</v>
      </c>
      <c r="GS15" s="21" t="s">
        <v>720</v>
      </c>
      <c r="GT15" s="21" t="s">
        <v>720</v>
      </c>
      <c r="GU15" s="21">
        <v>31680.0</v>
      </c>
      <c r="GV15" s="21" t="s">
        <v>656</v>
      </c>
      <c r="GY15" s="21" t="s">
        <v>659</v>
      </c>
      <c r="HD15" s="21" t="s">
        <v>659</v>
      </c>
      <c r="HG15" s="21" t="s">
        <v>659</v>
      </c>
      <c r="HK15" s="21" t="s">
        <v>721</v>
      </c>
      <c r="HL15" s="21" t="s">
        <v>659</v>
      </c>
      <c r="HM15" s="21" t="s">
        <v>659</v>
      </c>
      <c r="HN15" s="21" t="s">
        <v>659</v>
      </c>
      <c r="HO15" s="21" t="s">
        <v>656</v>
      </c>
      <c r="HP15" s="21" t="s">
        <v>656</v>
      </c>
      <c r="HQ15" s="21" t="s">
        <v>698</v>
      </c>
      <c r="HS15" s="21" t="s">
        <v>699</v>
      </c>
      <c r="HT15" s="21" t="s">
        <v>723</v>
      </c>
      <c r="HU15" s="21" t="s">
        <v>851</v>
      </c>
      <c r="IH15" s="21" t="s">
        <v>656</v>
      </c>
      <c r="II15" s="21" t="s">
        <v>656</v>
      </c>
      <c r="IN15" s="21" t="s">
        <v>725</v>
      </c>
      <c r="IO15" s="21" t="s">
        <v>726</v>
      </c>
      <c r="IP15" s="21" t="s">
        <v>726</v>
      </c>
      <c r="JT15" s="21" t="s">
        <v>727</v>
      </c>
      <c r="JV15" s="21" t="s">
        <v>659</v>
      </c>
      <c r="KB15" s="21" t="s">
        <v>659</v>
      </c>
      <c r="KF15" s="21" t="s">
        <v>659</v>
      </c>
      <c r="KL15" s="21" t="s">
        <v>656</v>
      </c>
      <c r="KM15" s="21" t="s">
        <v>656</v>
      </c>
      <c r="KN15" s="21" t="s">
        <v>656</v>
      </c>
      <c r="KO15" s="21" t="s">
        <v>659</v>
      </c>
      <c r="QW15" s="21" t="s">
        <v>656</v>
      </c>
      <c r="TI15" s="21" t="s">
        <v>656</v>
      </c>
      <c r="TL15" s="21" t="s">
        <v>656</v>
      </c>
      <c r="TZ15" s="21" t="s">
        <v>656</v>
      </c>
      <c r="WL15" s="21" t="s">
        <v>729</v>
      </c>
      <c r="WM15" s="21" t="s">
        <v>730</v>
      </c>
      <c r="WN15" s="21" t="s">
        <v>731</v>
      </c>
      <c r="WO15" s="21">
        <v>4.092023088E9</v>
      </c>
      <c r="WT15" s="21" t="s">
        <v>729</v>
      </c>
      <c r="WU15" s="21" t="s">
        <v>730</v>
      </c>
      <c r="WV15" s="21">
        <v>4.092023088E9</v>
      </c>
      <c r="WW15" s="21" t="s">
        <v>731</v>
      </c>
      <c r="WX15" s="21" t="s">
        <v>878</v>
      </c>
    </row>
    <row r="16">
      <c r="A16" s="21">
        <v>60.0</v>
      </c>
      <c r="B16" s="22">
        <v>45804.0</v>
      </c>
      <c r="C16" s="21">
        <v>2025.0</v>
      </c>
      <c r="D16" s="21">
        <v>2.0250059E7</v>
      </c>
      <c r="E16" s="21">
        <v>40989.0</v>
      </c>
      <c r="F16" s="21" t="s">
        <v>778</v>
      </c>
      <c r="G16" s="21">
        <v>18152.0</v>
      </c>
      <c r="H16" s="21" t="s">
        <v>702</v>
      </c>
      <c r="I16" s="21" t="s">
        <v>652</v>
      </c>
      <c r="J16" s="21" t="s">
        <v>653</v>
      </c>
      <c r="K16" s="21" t="s">
        <v>654</v>
      </c>
      <c r="L16" s="21">
        <v>77002.0</v>
      </c>
      <c r="M16" s="23">
        <v>45670.31458333333</v>
      </c>
      <c r="N16" s="21" t="s">
        <v>655</v>
      </c>
      <c r="O16" s="21" t="s">
        <v>659</v>
      </c>
      <c r="P16" s="21">
        <v>28.245759</v>
      </c>
      <c r="Q16" s="21">
        <v>-91.70579</v>
      </c>
      <c r="R16" s="21">
        <v>1420963.0</v>
      </c>
      <c r="S16" s="24">
        <v>45670.333333333336</v>
      </c>
      <c r="T16" s="21" t="s">
        <v>879</v>
      </c>
      <c r="U16" s="21" t="s">
        <v>657</v>
      </c>
      <c r="W16" s="21">
        <v>793534.0</v>
      </c>
      <c r="X16" s="21">
        <v>0.0</v>
      </c>
      <c r="Y16" s="21">
        <v>0.0</v>
      </c>
      <c r="Z16" s="21" t="s">
        <v>656</v>
      </c>
      <c r="AF16" s="21">
        <v>0.0</v>
      </c>
      <c r="AG16" s="21" t="s">
        <v>656</v>
      </c>
      <c r="AM16" s="21">
        <v>0.0</v>
      </c>
      <c r="AN16" s="21" t="s">
        <v>658</v>
      </c>
      <c r="AO16" s="21" t="s">
        <v>659</v>
      </c>
      <c r="AQ16" s="24">
        <v>45670.5625</v>
      </c>
      <c r="AR16" s="24">
        <v>45791.59375</v>
      </c>
      <c r="AT16" s="21" t="s">
        <v>659</v>
      </c>
      <c r="AU16" s="21" t="s">
        <v>660</v>
      </c>
      <c r="AV16" s="24">
        <v>45670.333333333336</v>
      </c>
      <c r="AW16" s="21" t="s">
        <v>656</v>
      </c>
      <c r="BC16" s="21" t="s">
        <v>704</v>
      </c>
      <c r="BE16" s="24">
        <v>45670.55902777778</v>
      </c>
      <c r="BF16" s="21" t="s">
        <v>704</v>
      </c>
      <c r="BH16" s="24">
        <v>45670.5625</v>
      </c>
      <c r="BI16" s="21">
        <v>0.0</v>
      </c>
      <c r="BJ16" s="24">
        <v>45790.54722222222</v>
      </c>
      <c r="BK16" s="24">
        <v>45670.55902777778</v>
      </c>
      <c r="BL16" s="24">
        <v>45790.54722222222</v>
      </c>
      <c r="BM16" s="21" t="s">
        <v>705</v>
      </c>
      <c r="BT16" s="21" t="s">
        <v>706</v>
      </c>
      <c r="BU16" s="21" t="s">
        <v>707</v>
      </c>
      <c r="CP16" s="21">
        <v>260.0</v>
      </c>
      <c r="CQ16" s="21" t="s">
        <v>708</v>
      </c>
      <c r="CV16" s="21" t="s">
        <v>709</v>
      </c>
      <c r="CW16" s="21" t="s">
        <v>710</v>
      </c>
      <c r="CX16" s="21">
        <v>330.0</v>
      </c>
      <c r="CY16" s="21" t="s">
        <v>711</v>
      </c>
      <c r="CZ16" s="21" t="s">
        <v>712</v>
      </c>
      <c r="DA16" s="21" t="s">
        <v>713</v>
      </c>
      <c r="DB16" s="21" t="s">
        <v>714</v>
      </c>
      <c r="DC16" s="21" t="s">
        <v>715</v>
      </c>
      <c r="DD16" s="21">
        <v>8.625</v>
      </c>
      <c r="DE16" s="21" t="s">
        <v>656</v>
      </c>
      <c r="DF16" s="21">
        <v>0.41</v>
      </c>
      <c r="DG16" s="21">
        <v>24000.0</v>
      </c>
      <c r="DH16" s="21" t="s">
        <v>716</v>
      </c>
      <c r="DI16" s="21" t="s">
        <v>696</v>
      </c>
      <c r="DJ16" s="21" t="s">
        <v>684</v>
      </c>
      <c r="DK16" s="21" t="s">
        <v>684</v>
      </c>
      <c r="DL16" s="21" t="s">
        <v>696</v>
      </c>
      <c r="DM16" s="21" t="s">
        <v>880</v>
      </c>
      <c r="DN16" s="21" t="s">
        <v>659</v>
      </c>
      <c r="EO16" s="21">
        <v>1973.0</v>
      </c>
      <c r="EP16" s="21">
        <v>1973.0</v>
      </c>
      <c r="EQ16" s="21" t="s">
        <v>674</v>
      </c>
      <c r="ES16" s="21" t="s">
        <v>675</v>
      </c>
      <c r="EV16" s="21" t="s">
        <v>718</v>
      </c>
      <c r="FC16" s="21" t="s">
        <v>677</v>
      </c>
      <c r="FD16" s="21" t="s">
        <v>656</v>
      </c>
      <c r="FF16" s="21">
        <v>215.0</v>
      </c>
      <c r="FH16" s="21" t="s">
        <v>656</v>
      </c>
      <c r="FI16" s="21" t="s">
        <v>656</v>
      </c>
      <c r="FL16" s="21" t="s">
        <v>656</v>
      </c>
      <c r="FO16" s="21">
        <v>0.0</v>
      </c>
      <c r="FP16" s="21">
        <v>2848787.0</v>
      </c>
      <c r="FQ16" s="21">
        <v>0.0</v>
      </c>
      <c r="FR16" s="21">
        <v>350000.0</v>
      </c>
      <c r="FS16" s="21">
        <v>125000.0</v>
      </c>
      <c r="FT16" s="21">
        <v>0.0</v>
      </c>
      <c r="FV16" s="21">
        <v>3.59</v>
      </c>
      <c r="FW16" s="21">
        <v>3323787.0</v>
      </c>
      <c r="FX16" s="21">
        <v>0.0</v>
      </c>
      <c r="FY16" s="21">
        <v>0.0</v>
      </c>
      <c r="FZ16" s="21">
        <v>0.0</v>
      </c>
      <c r="GA16" s="21">
        <v>0.0</v>
      </c>
      <c r="GB16" s="21" t="s">
        <v>656</v>
      </c>
      <c r="GF16" s="21">
        <v>840.0</v>
      </c>
      <c r="GG16" s="21">
        <v>3000.0</v>
      </c>
      <c r="GH16" s="21">
        <v>1306.0</v>
      </c>
      <c r="GI16" s="21" t="s">
        <v>719</v>
      </c>
      <c r="GK16" s="25">
        <v>28126.0</v>
      </c>
      <c r="GL16" s="21" t="s">
        <v>656</v>
      </c>
      <c r="GM16" s="21" t="s">
        <v>679</v>
      </c>
      <c r="GN16" s="21" t="s">
        <v>656</v>
      </c>
      <c r="GQ16" s="21" t="s">
        <v>656</v>
      </c>
      <c r="GS16" s="21" t="s">
        <v>720</v>
      </c>
      <c r="GT16" s="21" t="s">
        <v>720</v>
      </c>
      <c r="GU16" s="21">
        <v>31680.0</v>
      </c>
      <c r="GV16" s="21" t="s">
        <v>656</v>
      </c>
      <c r="GY16" s="21" t="s">
        <v>659</v>
      </c>
      <c r="HD16" s="21" t="s">
        <v>659</v>
      </c>
      <c r="HG16" s="21" t="s">
        <v>659</v>
      </c>
      <c r="HK16" s="21" t="s">
        <v>721</v>
      </c>
      <c r="HL16" s="21" t="s">
        <v>659</v>
      </c>
      <c r="HM16" s="21" t="s">
        <v>659</v>
      </c>
      <c r="HN16" s="21" t="s">
        <v>659</v>
      </c>
      <c r="HO16" s="21" t="s">
        <v>656</v>
      </c>
      <c r="HP16" s="21" t="s">
        <v>656</v>
      </c>
      <c r="HQ16" s="21" t="s">
        <v>696</v>
      </c>
      <c r="HR16" s="21" t="s">
        <v>722</v>
      </c>
      <c r="HT16" s="21" t="s">
        <v>723</v>
      </c>
      <c r="HU16" s="21" t="s">
        <v>851</v>
      </c>
      <c r="IH16" s="21" t="s">
        <v>656</v>
      </c>
      <c r="II16" s="21" t="s">
        <v>656</v>
      </c>
      <c r="IN16" s="21" t="s">
        <v>725</v>
      </c>
      <c r="IO16" s="21" t="s">
        <v>726</v>
      </c>
      <c r="IP16" s="21" t="s">
        <v>726</v>
      </c>
      <c r="JT16" s="21" t="s">
        <v>727</v>
      </c>
      <c r="JV16" s="21" t="s">
        <v>659</v>
      </c>
      <c r="KB16" s="21" t="s">
        <v>659</v>
      </c>
      <c r="KF16" s="21" t="s">
        <v>659</v>
      </c>
      <c r="KL16" s="21" t="s">
        <v>656</v>
      </c>
      <c r="KM16" s="21" t="s">
        <v>656</v>
      </c>
      <c r="KN16" s="21" t="s">
        <v>656</v>
      </c>
      <c r="KO16" s="21" t="s">
        <v>656</v>
      </c>
      <c r="QW16" s="21" t="s">
        <v>656</v>
      </c>
      <c r="TI16" s="21" t="s">
        <v>656</v>
      </c>
      <c r="TL16" s="21" t="s">
        <v>656</v>
      </c>
      <c r="TZ16" s="21" t="s">
        <v>656</v>
      </c>
      <c r="WL16" s="21" t="s">
        <v>729</v>
      </c>
      <c r="WM16" s="21" t="s">
        <v>730</v>
      </c>
      <c r="WN16" s="21" t="s">
        <v>731</v>
      </c>
      <c r="WO16" s="21">
        <v>4.092023088E9</v>
      </c>
      <c r="WT16" s="21" t="s">
        <v>729</v>
      </c>
      <c r="WU16" s="21" t="s">
        <v>730</v>
      </c>
      <c r="WV16" s="21">
        <v>4.092023088E9</v>
      </c>
      <c r="WW16" s="21" t="s">
        <v>731</v>
      </c>
      <c r="WX16" s="21" t="s">
        <v>881</v>
      </c>
    </row>
    <row r="17">
      <c r="A17" s="21">
        <v>65.0</v>
      </c>
      <c r="B17" s="22">
        <v>45681.0</v>
      </c>
      <c r="C17" s="21">
        <v>2024.0</v>
      </c>
      <c r="D17" s="21">
        <v>2.0250007E7</v>
      </c>
      <c r="E17" s="21">
        <v>40915.0</v>
      </c>
      <c r="F17" s="21" t="s">
        <v>778</v>
      </c>
      <c r="G17" s="21">
        <v>32099.0</v>
      </c>
      <c r="H17" s="21" t="s">
        <v>651</v>
      </c>
      <c r="I17" s="21" t="s">
        <v>652</v>
      </c>
      <c r="J17" s="21" t="s">
        <v>653</v>
      </c>
      <c r="K17" s="21" t="s">
        <v>654</v>
      </c>
      <c r="L17" s="21">
        <v>77002.0</v>
      </c>
      <c r="M17" s="23">
        <v>45651.28125</v>
      </c>
      <c r="N17" s="21" t="s">
        <v>655</v>
      </c>
      <c r="O17" s="21" t="s">
        <v>656</v>
      </c>
      <c r="P17" s="21">
        <v>32.32391</v>
      </c>
      <c r="Q17" s="21">
        <v>-101.45735</v>
      </c>
      <c r="R17" s="21">
        <v>1419818.0</v>
      </c>
      <c r="S17" s="24">
        <v>45651.4</v>
      </c>
      <c r="T17" s="21">
        <v>1419912.0</v>
      </c>
      <c r="U17" s="21" t="s">
        <v>657</v>
      </c>
      <c r="W17" s="21">
        <v>191.0</v>
      </c>
      <c r="X17" s="21">
        <v>0.0</v>
      </c>
      <c r="Y17" s="21">
        <v>0.0</v>
      </c>
      <c r="Z17" s="21" t="s">
        <v>656</v>
      </c>
      <c r="AF17" s="21">
        <v>0.0</v>
      </c>
      <c r="AG17" s="21" t="s">
        <v>656</v>
      </c>
      <c r="AM17" s="21">
        <v>0.0</v>
      </c>
      <c r="AN17" s="21" t="s">
        <v>658</v>
      </c>
      <c r="AO17" s="21" t="s">
        <v>659</v>
      </c>
      <c r="AQ17" s="24">
        <v>45651.25347222222</v>
      </c>
      <c r="AR17" s="24">
        <v>45651.541666666664</v>
      </c>
      <c r="AT17" s="21" t="s">
        <v>659</v>
      </c>
      <c r="AU17" s="21" t="s">
        <v>660</v>
      </c>
      <c r="AV17" s="24">
        <v>45651.274305555555</v>
      </c>
      <c r="AW17" s="21" t="s">
        <v>659</v>
      </c>
      <c r="AX17" s="24">
        <v>45651.25347222222</v>
      </c>
      <c r="AY17" s="21" t="s">
        <v>765</v>
      </c>
      <c r="BA17" s="21">
        <v>191.0</v>
      </c>
      <c r="BB17" s="21" t="s">
        <v>656</v>
      </c>
      <c r="BI17" s="21">
        <v>0.0</v>
      </c>
      <c r="BJ17" s="24">
        <v>45651.25347222222</v>
      </c>
      <c r="BK17" s="24">
        <v>45651.28125</v>
      </c>
      <c r="BL17" s="24">
        <v>45651.4</v>
      </c>
      <c r="BM17" s="21" t="s">
        <v>662</v>
      </c>
      <c r="BN17" s="21" t="s">
        <v>654</v>
      </c>
      <c r="BO17" s="21">
        <v>79720.0</v>
      </c>
      <c r="BP17" s="21" t="s">
        <v>882</v>
      </c>
      <c r="BQ17" s="21" t="s">
        <v>883</v>
      </c>
      <c r="BR17" s="21" t="s">
        <v>665</v>
      </c>
      <c r="BT17" s="21" t="s">
        <v>884</v>
      </c>
      <c r="BV17" s="21" t="s">
        <v>656</v>
      </c>
      <c r="BW17" s="21" t="s">
        <v>668</v>
      </c>
      <c r="BX17" s="21" t="s">
        <v>669</v>
      </c>
      <c r="BY17" s="21" t="s">
        <v>696</v>
      </c>
      <c r="BZ17" s="21" t="s">
        <v>673</v>
      </c>
      <c r="CC17" s="21" t="s">
        <v>656</v>
      </c>
      <c r="CZ17" s="21" t="s">
        <v>671</v>
      </c>
      <c r="DA17" s="21" t="s">
        <v>672</v>
      </c>
      <c r="DB17" s="21" t="s">
        <v>673</v>
      </c>
      <c r="EO17" s="21">
        <v>2022.0</v>
      </c>
      <c r="EP17" s="21">
        <v>2014.0</v>
      </c>
      <c r="EQ17" s="21" t="s">
        <v>674</v>
      </c>
      <c r="ES17" s="21" t="s">
        <v>675</v>
      </c>
      <c r="EV17" s="21" t="s">
        <v>676</v>
      </c>
      <c r="FC17" s="21" t="s">
        <v>677</v>
      </c>
      <c r="FD17" s="21" t="s">
        <v>656</v>
      </c>
      <c r="FF17" s="21">
        <v>75.0</v>
      </c>
      <c r="FH17" s="21" t="s">
        <v>656</v>
      </c>
      <c r="FI17" s="21" t="s">
        <v>656</v>
      </c>
      <c r="FL17" s="21" t="s">
        <v>656</v>
      </c>
      <c r="FO17" s="21">
        <v>0.0</v>
      </c>
      <c r="FP17" s="21">
        <v>754.0</v>
      </c>
      <c r="FQ17" s="21">
        <v>0.0</v>
      </c>
      <c r="FR17" s="21">
        <v>698000.0</v>
      </c>
      <c r="FS17" s="21">
        <v>2000.0</v>
      </c>
      <c r="FT17" s="21">
        <v>0.0</v>
      </c>
      <c r="FV17" s="21">
        <v>3.95</v>
      </c>
      <c r="FW17" s="21">
        <v>700754.0</v>
      </c>
      <c r="FX17" s="21">
        <v>0.0</v>
      </c>
      <c r="FY17" s="21">
        <v>0.0</v>
      </c>
      <c r="FZ17" s="21">
        <v>0.0</v>
      </c>
      <c r="GA17" s="21">
        <v>0.0</v>
      </c>
      <c r="GB17" s="21" t="s">
        <v>656</v>
      </c>
      <c r="GF17" s="21">
        <v>1281.0</v>
      </c>
      <c r="GG17" s="21">
        <v>1991.0</v>
      </c>
      <c r="GH17" s="21">
        <v>1440.0</v>
      </c>
      <c r="GI17" s="21" t="s">
        <v>719</v>
      </c>
      <c r="GK17" s="25">
        <v>41640.0</v>
      </c>
      <c r="GL17" s="21" t="s">
        <v>656</v>
      </c>
      <c r="GM17" s="21" t="s">
        <v>679</v>
      </c>
      <c r="GN17" s="21" t="s">
        <v>656</v>
      </c>
      <c r="GQ17" s="21" t="s">
        <v>656</v>
      </c>
      <c r="HK17" s="21" t="s">
        <v>680</v>
      </c>
      <c r="HL17" s="21" t="s">
        <v>659</v>
      </c>
      <c r="HM17" s="21" t="s">
        <v>659</v>
      </c>
      <c r="HN17" s="21" t="s">
        <v>659</v>
      </c>
      <c r="HO17" s="21" t="s">
        <v>659</v>
      </c>
      <c r="HP17" s="21" t="s">
        <v>659</v>
      </c>
      <c r="HQ17" s="21" t="s">
        <v>681</v>
      </c>
      <c r="HT17" s="21" t="s">
        <v>723</v>
      </c>
      <c r="HU17" s="21" t="s">
        <v>885</v>
      </c>
      <c r="IH17" s="21" t="s">
        <v>656</v>
      </c>
      <c r="II17" s="21" t="s">
        <v>656</v>
      </c>
      <c r="IN17" s="21" t="s">
        <v>761</v>
      </c>
      <c r="IO17" s="21" t="s">
        <v>886</v>
      </c>
      <c r="OU17" s="21" t="s">
        <v>886</v>
      </c>
      <c r="PI17" s="21" t="s">
        <v>887</v>
      </c>
      <c r="PP17" s="21" t="s">
        <v>659</v>
      </c>
      <c r="PR17" s="21" t="s">
        <v>659</v>
      </c>
      <c r="WL17" s="21" t="s">
        <v>746</v>
      </c>
      <c r="WM17" s="21" t="s">
        <v>747</v>
      </c>
      <c r="WN17" s="21" t="s">
        <v>748</v>
      </c>
      <c r="WO17" s="21" t="s">
        <v>888</v>
      </c>
      <c r="WQ17" s="21" t="s">
        <v>746</v>
      </c>
      <c r="WR17" s="21" t="s">
        <v>748</v>
      </c>
      <c r="WS17" s="21" t="s">
        <v>888</v>
      </c>
      <c r="WT17" s="21" t="s">
        <v>689</v>
      </c>
      <c r="WU17" s="21" t="s">
        <v>730</v>
      </c>
      <c r="WV17" s="21">
        <v>7.13882059E9</v>
      </c>
      <c r="WW17" s="21" t="s">
        <v>690</v>
      </c>
      <c r="WX17" s="21" t="s">
        <v>889</v>
      </c>
    </row>
    <row r="18">
      <c r="A18" s="21">
        <v>104.0</v>
      </c>
      <c r="B18" s="22">
        <v>45518.0</v>
      </c>
      <c r="C18" s="21">
        <v>2024.0</v>
      </c>
      <c r="D18" s="21">
        <v>2.0240102E7</v>
      </c>
      <c r="E18" s="21">
        <v>40038.0</v>
      </c>
      <c r="F18" s="21" t="s">
        <v>778</v>
      </c>
      <c r="G18" s="21">
        <v>32099.0</v>
      </c>
      <c r="H18" s="21" t="s">
        <v>651</v>
      </c>
      <c r="I18" s="21" t="s">
        <v>652</v>
      </c>
      <c r="J18" s="21" t="s">
        <v>653</v>
      </c>
      <c r="K18" s="21" t="s">
        <v>654</v>
      </c>
      <c r="L18" s="21">
        <v>77002.0</v>
      </c>
      <c r="M18" s="23">
        <v>45488.22222222222</v>
      </c>
      <c r="N18" s="21" t="s">
        <v>655</v>
      </c>
      <c r="O18" s="21" t="s">
        <v>659</v>
      </c>
      <c r="P18" s="21">
        <v>31.382919</v>
      </c>
      <c r="Q18" s="21">
        <v>-103.048516</v>
      </c>
      <c r="R18" s="21">
        <v>1404780.0</v>
      </c>
      <c r="S18" s="24">
        <v>45488.23402777778</v>
      </c>
      <c r="T18" s="21">
        <v>1404966.0</v>
      </c>
      <c r="U18" s="21" t="s">
        <v>657</v>
      </c>
      <c r="W18" s="21">
        <v>14550.0</v>
      </c>
      <c r="X18" s="21">
        <v>1880.0</v>
      </c>
      <c r="Y18" s="21">
        <v>0.0</v>
      </c>
      <c r="Z18" s="21" t="s">
        <v>656</v>
      </c>
      <c r="AF18" s="21">
        <v>0.0</v>
      </c>
      <c r="AG18" s="21" t="s">
        <v>656</v>
      </c>
      <c r="AM18" s="21">
        <v>0.0</v>
      </c>
      <c r="AN18" s="21" t="s">
        <v>658</v>
      </c>
      <c r="AO18" s="21" t="s">
        <v>659</v>
      </c>
      <c r="AQ18" s="24">
        <v>45488.22222222222</v>
      </c>
      <c r="AR18" s="24">
        <v>45538.416666666664</v>
      </c>
      <c r="AT18" s="21" t="s">
        <v>659</v>
      </c>
      <c r="AU18" s="21" t="s">
        <v>660</v>
      </c>
      <c r="AV18" s="24">
        <v>45488.197916666664</v>
      </c>
      <c r="AW18" s="21" t="s">
        <v>659</v>
      </c>
      <c r="AX18" s="24">
        <v>45488.145833333336</v>
      </c>
      <c r="AY18" s="21" t="s">
        <v>765</v>
      </c>
      <c r="BA18" s="21">
        <v>14550.0</v>
      </c>
      <c r="BB18" s="21" t="s">
        <v>656</v>
      </c>
      <c r="BC18" s="21" t="s">
        <v>704</v>
      </c>
      <c r="BE18" s="24">
        <v>45488.197916666664</v>
      </c>
      <c r="BF18" s="21" t="s">
        <v>704</v>
      </c>
      <c r="BH18" s="24">
        <v>45488.22222222222</v>
      </c>
      <c r="BI18" s="21">
        <v>0.0</v>
      </c>
      <c r="BJ18" s="24">
        <v>45488.145833333336</v>
      </c>
      <c r="BK18" s="24">
        <v>45488.194444444445</v>
      </c>
      <c r="BL18" s="24">
        <v>45488.22222222222</v>
      </c>
      <c r="BM18" s="21" t="s">
        <v>662</v>
      </c>
      <c r="BN18" s="21" t="s">
        <v>654</v>
      </c>
      <c r="BO18" s="21">
        <v>79730.0</v>
      </c>
      <c r="BP18" s="21" t="s">
        <v>890</v>
      </c>
      <c r="BQ18" s="21" t="s">
        <v>891</v>
      </c>
      <c r="BR18" s="21" t="s">
        <v>892</v>
      </c>
      <c r="BS18" s="21" t="s">
        <v>893</v>
      </c>
      <c r="BT18" s="21" t="s">
        <v>894</v>
      </c>
      <c r="BU18" s="21" t="s">
        <v>894</v>
      </c>
      <c r="BV18" s="21" t="s">
        <v>656</v>
      </c>
      <c r="BW18" s="21" t="s">
        <v>738</v>
      </c>
      <c r="BX18" s="21" t="s">
        <v>739</v>
      </c>
      <c r="BY18" s="21" t="s">
        <v>740</v>
      </c>
      <c r="CA18" s="21">
        <v>48.0</v>
      </c>
      <c r="CB18" s="21" t="s">
        <v>656</v>
      </c>
      <c r="CC18" s="21" t="s">
        <v>656</v>
      </c>
      <c r="CZ18" s="21" t="s">
        <v>671</v>
      </c>
      <c r="DA18" s="21" t="s">
        <v>741</v>
      </c>
      <c r="DB18" s="21" t="s">
        <v>714</v>
      </c>
      <c r="DC18" s="21" t="s">
        <v>715</v>
      </c>
      <c r="DD18" s="21">
        <v>24.0</v>
      </c>
      <c r="DE18" s="21" t="s">
        <v>656</v>
      </c>
      <c r="DF18" s="21">
        <v>0.281</v>
      </c>
      <c r="DG18" s="21">
        <v>60000.0</v>
      </c>
      <c r="DH18" s="21" t="s">
        <v>895</v>
      </c>
      <c r="DI18" s="21" t="s">
        <v>848</v>
      </c>
      <c r="DK18" s="21" t="s">
        <v>684</v>
      </c>
      <c r="DL18" s="21" t="s">
        <v>696</v>
      </c>
      <c r="DM18" s="21" t="s">
        <v>896</v>
      </c>
      <c r="DN18" s="21" t="s">
        <v>684</v>
      </c>
      <c r="EO18" s="21">
        <v>1965.0</v>
      </c>
      <c r="EP18" s="21" t="s">
        <v>684</v>
      </c>
      <c r="EQ18" s="21" t="s">
        <v>674</v>
      </c>
      <c r="ES18" s="21" t="s">
        <v>744</v>
      </c>
      <c r="EX18" s="21" t="s">
        <v>773</v>
      </c>
      <c r="EZ18" s="21">
        <v>600.0</v>
      </c>
      <c r="FA18" s="21">
        <v>24.0</v>
      </c>
      <c r="FC18" s="21" t="s">
        <v>677</v>
      </c>
      <c r="FD18" s="21" t="s">
        <v>656</v>
      </c>
      <c r="FF18" s="21">
        <v>561.0</v>
      </c>
      <c r="FH18" s="21" t="s">
        <v>656</v>
      </c>
      <c r="FI18" s="21" t="s">
        <v>656</v>
      </c>
      <c r="FL18" s="21" t="s">
        <v>656</v>
      </c>
      <c r="FO18" s="21">
        <v>0.0</v>
      </c>
      <c r="FP18" s="21">
        <v>31137.0</v>
      </c>
      <c r="FQ18" s="21">
        <v>4023.0</v>
      </c>
      <c r="FR18" s="21">
        <v>189500.0</v>
      </c>
      <c r="FS18" s="21">
        <v>5000.0</v>
      </c>
      <c r="FT18" s="21">
        <v>0.0</v>
      </c>
      <c r="FV18" s="21">
        <v>2.14</v>
      </c>
      <c r="FW18" s="21">
        <v>229660.0</v>
      </c>
      <c r="FX18" s="21">
        <v>0.0</v>
      </c>
      <c r="FY18" s="21">
        <v>0.0</v>
      </c>
      <c r="FZ18" s="21">
        <v>0.0</v>
      </c>
      <c r="GA18" s="21">
        <v>0.0</v>
      </c>
      <c r="GB18" s="21" t="s">
        <v>656</v>
      </c>
      <c r="GF18" s="21">
        <v>650.0</v>
      </c>
      <c r="GG18" s="21">
        <v>43.8</v>
      </c>
      <c r="GH18" s="21">
        <v>1024.0</v>
      </c>
      <c r="GI18" s="21" t="s">
        <v>897</v>
      </c>
      <c r="GK18" s="25">
        <v>41613.0</v>
      </c>
      <c r="GL18" s="21" t="s">
        <v>656</v>
      </c>
      <c r="GM18" s="21" t="s">
        <v>679</v>
      </c>
      <c r="GN18" s="21" t="s">
        <v>656</v>
      </c>
      <c r="GQ18" s="21" t="s">
        <v>656</v>
      </c>
      <c r="GS18" s="21" t="s">
        <v>720</v>
      </c>
      <c r="GT18" s="21" t="s">
        <v>720</v>
      </c>
      <c r="GU18" s="21">
        <v>122285.0</v>
      </c>
      <c r="GV18" s="21" t="s">
        <v>656</v>
      </c>
      <c r="HB18" s="21" t="s">
        <v>659</v>
      </c>
      <c r="HC18" s="21" t="s">
        <v>898</v>
      </c>
      <c r="HD18" s="21" t="s">
        <v>659</v>
      </c>
      <c r="HI18" s="21" t="s">
        <v>659</v>
      </c>
      <c r="HJ18" s="21" t="s">
        <v>898</v>
      </c>
      <c r="HK18" s="21" t="s">
        <v>680</v>
      </c>
      <c r="HL18" s="21" t="s">
        <v>659</v>
      </c>
      <c r="HM18" s="21" t="s">
        <v>659</v>
      </c>
      <c r="HN18" s="21" t="s">
        <v>659</v>
      </c>
      <c r="HO18" s="21" t="s">
        <v>659</v>
      </c>
      <c r="HP18" s="21" t="s">
        <v>656</v>
      </c>
      <c r="HQ18" s="21" t="s">
        <v>681</v>
      </c>
      <c r="HT18" s="21" t="s">
        <v>723</v>
      </c>
      <c r="HU18" s="21" t="s">
        <v>899</v>
      </c>
      <c r="IH18" s="21" t="s">
        <v>656</v>
      </c>
      <c r="II18" s="21" t="s">
        <v>656</v>
      </c>
      <c r="IN18" s="21" t="s">
        <v>725</v>
      </c>
      <c r="IO18" s="21" t="s">
        <v>900</v>
      </c>
      <c r="IP18" s="21" t="s">
        <v>900</v>
      </c>
      <c r="IQ18" s="21" t="s">
        <v>901</v>
      </c>
      <c r="IU18" s="21" t="s">
        <v>659</v>
      </c>
      <c r="IV18" s="21" t="s">
        <v>659</v>
      </c>
      <c r="IZ18" s="21" t="s">
        <v>902</v>
      </c>
      <c r="JA18" s="21" t="s">
        <v>903</v>
      </c>
      <c r="JC18" s="21" t="s">
        <v>659</v>
      </c>
      <c r="JF18" s="21" t="s">
        <v>659</v>
      </c>
      <c r="JG18" s="21" t="s">
        <v>659</v>
      </c>
      <c r="JH18" s="21">
        <v>1981.0</v>
      </c>
      <c r="JI18" s="21" t="s">
        <v>659</v>
      </c>
      <c r="JJ18" s="21" t="s">
        <v>656</v>
      </c>
      <c r="JS18" s="21" t="s">
        <v>656</v>
      </c>
      <c r="QW18" s="21" t="s">
        <v>656</v>
      </c>
      <c r="TI18" s="21" t="s">
        <v>659</v>
      </c>
      <c r="TJ18" s="21">
        <v>2024.0</v>
      </c>
      <c r="TK18" s="21">
        <v>1550.0</v>
      </c>
      <c r="TL18" s="21" t="s">
        <v>904</v>
      </c>
      <c r="TM18" s="21">
        <v>2024.0</v>
      </c>
      <c r="TO18" s="21">
        <v>2023.0</v>
      </c>
      <c r="TP18" s="21">
        <v>2023.0</v>
      </c>
      <c r="TU18" s="21" t="s">
        <v>659</v>
      </c>
      <c r="TV18" s="21" t="s">
        <v>659</v>
      </c>
      <c r="TZ18" s="21" t="s">
        <v>659</v>
      </c>
      <c r="UC18" s="21">
        <v>2023.0</v>
      </c>
      <c r="UJ18" s="21" t="s">
        <v>659</v>
      </c>
      <c r="WL18" s="21" t="s">
        <v>686</v>
      </c>
      <c r="WM18" s="21" t="s">
        <v>747</v>
      </c>
      <c r="WN18" s="21" t="s">
        <v>687</v>
      </c>
      <c r="WO18" s="21" t="s">
        <v>905</v>
      </c>
      <c r="WT18" s="21" t="s">
        <v>689</v>
      </c>
      <c r="WU18" s="21" t="s">
        <v>730</v>
      </c>
      <c r="WV18" s="21" t="s">
        <v>906</v>
      </c>
      <c r="WW18" s="21" t="s">
        <v>690</v>
      </c>
      <c r="WX18" s="21" t="s">
        <v>907</v>
      </c>
    </row>
    <row r="19">
      <c r="A19" s="21">
        <v>110.0</v>
      </c>
      <c r="B19" s="22">
        <v>45505.0</v>
      </c>
      <c r="C19" s="21">
        <v>2024.0</v>
      </c>
      <c r="D19" s="21">
        <v>2.0240096E7</v>
      </c>
      <c r="E19" s="21">
        <v>40324.0</v>
      </c>
      <c r="F19" s="21" t="s">
        <v>778</v>
      </c>
      <c r="G19" s="21">
        <v>32099.0</v>
      </c>
      <c r="H19" s="21" t="s">
        <v>651</v>
      </c>
      <c r="I19" s="21" t="s">
        <v>652</v>
      </c>
      <c r="J19" s="21" t="s">
        <v>653</v>
      </c>
      <c r="K19" s="21" t="s">
        <v>654</v>
      </c>
      <c r="L19" s="21">
        <v>77002.0</v>
      </c>
      <c r="M19" s="23">
        <v>45475.23819444444</v>
      </c>
      <c r="N19" s="21" t="s">
        <v>655</v>
      </c>
      <c r="O19" s="21" t="s">
        <v>659</v>
      </c>
      <c r="P19" s="21">
        <v>31.274113</v>
      </c>
      <c r="Q19" s="21">
        <v>-103.071553</v>
      </c>
      <c r="R19" s="21">
        <v>1403567.0</v>
      </c>
      <c r="S19" s="24">
        <v>45475.25555555556</v>
      </c>
      <c r="T19" s="21">
        <v>1403750.0</v>
      </c>
      <c r="U19" s="21" t="s">
        <v>657</v>
      </c>
      <c r="W19" s="21">
        <v>132.0</v>
      </c>
      <c r="X19" s="21">
        <v>0.0</v>
      </c>
      <c r="Y19" s="21">
        <v>0.0</v>
      </c>
      <c r="Z19" s="21" t="s">
        <v>656</v>
      </c>
      <c r="AF19" s="21">
        <v>0.0</v>
      </c>
      <c r="AG19" s="21" t="s">
        <v>656</v>
      </c>
      <c r="AM19" s="21">
        <v>0.0</v>
      </c>
      <c r="AN19" s="21" t="s">
        <v>658</v>
      </c>
      <c r="AO19" s="21" t="s">
        <v>659</v>
      </c>
      <c r="AQ19" s="24">
        <v>45475.22222222222</v>
      </c>
      <c r="AR19" s="24">
        <v>45478.4375</v>
      </c>
      <c r="AT19" s="21" t="s">
        <v>659</v>
      </c>
      <c r="AU19" s="21" t="s">
        <v>660</v>
      </c>
      <c r="AV19" s="24">
        <v>45475.22222222222</v>
      </c>
      <c r="AW19" s="21" t="s">
        <v>659</v>
      </c>
      <c r="AX19" s="24">
        <v>45475.22222222222</v>
      </c>
      <c r="AY19" s="21" t="s">
        <v>661</v>
      </c>
      <c r="BA19" s="21">
        <v>132.0</v>
      </c>
      <c r="BB19" s="21" t="s">
        <v>656</v>
      </c>
      <c r="BI19" s="21">
        <v>0.0</v>
      </c>
      <c r="BJ19" s="24">
        <v>45475.22222222222</v>
      </c>
      <c r="BK19" s="24">
        <v>45475.243055555555</v>
      </c>
      <c r="BL19" s="24">
        <v>45475.22222222222</v>
      </c>
      <c r="BM19" s="21" t="s">
        <v>662</v>
      </c>
      <c r="BN19" s="21" t="s">
        <v>654</v>
      </c>
      <c r="BO19" s="21">
        <v>79730.0</v>
      </c>
      <c r="BP19" s="21" t="s">
        <v>890</v>
      </c>
      <c r="BQ19" s="21" t="s">
        <v>891</v>
      </c>
      <c r="BR19" s="21" t="s">
        <v>665</v>
      </c>
      <c r="BT19" s="21" t="s">
        <v>908</v>
      </c>
      <c r="BU19" s="21" t="s">
        <v>908</v>
      </c>
      <c r="BV19" s="21" t="s">
        <v>656</v>
      </c>
      <c r="BW19" s="21" t="s">
        <v>668</v>
      </c>
      <c r="BX19" s="21" t="s">
        <v>669</v>
      </c>
      <c r="BY19" s="21" t="s">
        <v>696</v>
      </c>
      <c r="BZ19" s="21" t="s">
        <v>909</v>
      </c>
      <c r="CC19" s="21" t="s">
        <v>656</v>
      </c>
      <c r="CZ19" s="21" t="s">
        <v>671</v>
      </c>
      <c r="DA19" s="21" t="s">
        <v>672</v>
      </c>
      <c r="DB19" s="21" t="s">
        <v>673</v>
      </c>
      <c r="EO19" s="21">
        <v>1962.0</v>
      </c>
      <c r="EP19" s="21">
        <v>1962.0</v>
      </c>
      <c r="EQ19" s="21" t="s">
        <v>674</v>
      </c>
      <c r="ES19" s="21" t="s">
        <v>696</v>
      </c>
      <c r="FB19" s="21" t="s">
        <v>910</v>
      </c>
      <c r="FC19" s="21" t="s">
        <v>677</v>
      </c>
      <c r="FD19" s="21" t="s">
        <v>656</v>
      </c>
      <c r="FF19" s="21">
        <v>75.0</v>
      </c>
      <c r="FH19" s="21" t="s">
        <v>656</v>
      </c>
      <c r="FI19" s="21" t="s">
        <v>656</v>
      </c>
      <c r="FL19" s="21" t="s">
        <v>656</v>
      </c>
      <c r="FO19" s="21">
        <v>0.0</v>
      </c>
      <c r="FP19" s="21">
        <v>306.0</v>
      </c>
      <c r="FQ19" s="21">
        <v>0.0</v>
      </c>
      <c r="FR19" s="21">
        <v>1495000.0</v>
      </c>
      <c r="FS19" s="21">
        <v>5000.0</v>
      </c>
      <c r="FT19" s="21">
        <v>0.0</v>
      </c>
      <c r="FV19" s="21">
        <v>2.32</v>
      </c>
      <c r="FW19" s="21">
        <v>1500306.0</v>
      </c>
      <c r="FX19" s="21">
        <v>0.0</v>
      </c>
      <c r="FY19" s="21">
        <v>0.0</v>
      </c>
      <c r="FZ19" s="21">
        <v>0.0</v>
      </c>
      <c r="GA19" s="21">
        <v>0.0</v>
      </c>
      <c r="GB19" s="21" t="s">
        <v>656</v>
      </c>
      <c r="GF19" s="21">
        <v>1026.0</v>
      </c>
      <c r="GG19" s="21">
        <v>512.0</v>
      </c>
      <c r="GH19" s="21">
        <v>1050.0</v>
      </c>
      <c r="GI19" s="21" t="s">
        <v>719</v>
      </c>
      <c r="GK19" s="25">
        <v>22647.0</v>
      </c>
      <c r="GL19" s="21" t="s">
        <v>656</v>
      </c>
      <c r="GM19" s="21" t="s">
        <v>679</v>
      </c>
      <c r="GN19" s="21" t="s">
        <v>656</v>
      </c>
      <c r="GQ19" s="21" t="s">
        <v>656</v>
      </c>
      <c r="HK19" s="21" t="s">
        <v>721</v>
      </c>
      <c r="HL19" s="21" t="s">
        <v>659</v>
      </c>
      <c r="HM19" s="21" t="s">
        <v>659</v>
      </c>
      <c r="HN19" s="21" t="s">
        <v>659</v>
      </c>
      <c r="HO19" s="21" t="s">
        <v>659</v>
      </c>
      <c r="HP19" s="21" t="s">
        <v>659</v>
      </c>
      <c r="HQ19" s="21" t="s">
        <v>681</v>
      </c>
      <c r="HT19" s="21" t="s">
        <v>723</v>
      </c>
      <c r="HU19" s="21" t="s">
        <v>885</v>
      </c>
      <c r="IH19" s="21" t="s">
        <v>656</v>
      </c>
      <c r="II19" s="21" t="s">
        <v>656</v>
      </c>
      <c r="IN19" s="21" t="s">
        <v>761</v>
      </c>
      <c r="IO19" s="21" t="s">
        <v>886</v>
      </c>
      <c r="OU19" s="21" t="s">
        <v>886</v>
      </c>
      <c r="PI19" s="21" t="s">
        <v>696</v>
      </c>
      <c r="PJ19" s="21" t="s">
        <v>911</v>
      </c>
      <c r="QE19" s="21" t="s">
        <v>659</v>
      </c>
      <c r="QF19" s="21" t="s">
        <v>912</v>
      </c>
      <c r="WL19" s="21" t="s">
        <v>746</v>
      </c>
      <c r="WM19" s="21" t="s">
        <v>747</v>
      </c>
      <c r="WN19" s="21" t="s">
        <v>748</v>
      </c>
      <c r="WO19" s="21" t="s">
        <v>888</v>
      </c>
      <c r="WT19" s="21" t="s">
        <v>689</v>
      </c>
      <c r="WU19" s="21" t="s">
        <v>730</v>
      </c>
      <c r="WV19" s="21" t="s">
        <v>913</v>
      </c>
      <c r="WW19" s="21" t="s">
        <v>690</v>
      </c>
      <c r="WX19" s="21" t="s">
        <v>914</v>
      </c>
    </row>
    <row r="20">
      <c r="A20" s="21">
        <v>114.0</v>
      </c>
      <c r="B20" s="22">
        <v>45488.0</v>
      </c>
      <c r="C20" s="21">
        <v>2024.0</v>
      </c>
      <c r="D20" s="21">
        <v>2.024009E7</v>
      </c>
      <c r="E20" s="21">
        <v>39834.0</v>
      </c>
      <c r="F20" s="21" t="s">
        <v>778</v>
      </c>
      <c r="G20" s="21">
        <v>32099.0</v>
      </c>
      <c r="H20" s="21" t="s">
        <v>651</v>
      </c>
      <c r="I20" s="21" t="s">
        <v>652</v>
      </c>
      <c r="J20" s="21" t="s">
        <v>653</v>
      </c>
      <c r="K20" s="21" t="s">
        <v>654</v>
      </c>
      <c r="L20" s="21">
        <v>77002.0</v>
      </c>
      <c r="M20" s="23">
        <v>45459.083333333336</v>
      </c>
      <c r="N20" s="21" t="s">
        <v>655</v>
      </c>
      <c r="O20" s="21" t="s">
        <v>659</v>
      </c>
      <c r="P20" s="21">
        <v>29.441306</v>
      </c>
      <c r="Q20" s="21">
        <v>-95.292957</v>
      </c>
      <c r="R20" s="21">
        <v>1402033.0</v>
      </c>
      <c r="S20" s="24">
        <v>45459.336805555555</v>
      </c>
      <c r="T20" s="21" t="s">
        <v>915</v>
      </c>
      <c r="U20" s="21" t="s">
        <v>657</v>
      </c>
      <c r="W20" s="21">
        <v>3432.0</v>
      </c>
      <c r="X20" s="21">
        <v>3194.0</v>
      </c>
      <c r="Y20" s="21">
        <v>0.0</v>
      </c>
      <c r="Z20" s="21" t="s">
        <v>656</v>
      </c>
      <c r="AF20" s="21">
        <v>0.0</v>
      </c>
      <c r="AG20" s="21" t="s">
        <v>656</v>
      </c>
      <c r="AM20" s="21">
        <v>0.0</v>
      </c>
      <c r="AN20" s="21" t="s">
        <v>658</v>
      </c>
      <c r="AO20" s="21" t="s">
        <v>659</v>
      </c>
      <c r="AQ20" s="24">
        <v>45459.544444444444</v>
      </c>
      <c r="AR20" s="24">
        <v>45459.92013888889</v>
      </c>
      <c r="AT20" s="21" t="s">
        <v>659</v>
      </c>
      <c r="AU20" s="21" t="s">
        <v>660</v>
      </c>
      <c r="AV20" s="24">
        <v>45459.27569444444</v>
      </c>
      <c r="AW20" s="21" t="s">
        <v>656</v>
      </c>
      <c r="BI20" s="21">
        <v>4.0</v>
      </c>
      <c r="BJ20" s="24">
        <v>45459.28472222222</v>
      </c>
      <c r="BK20" s="24">
        <v>45459.28472222222</v>
      </c>
      <c r="BL20" s="24">
        <v>45459.395833333336</v>
      </c>
      <c r="BM20" s="21" t="s">
        <v>662</v>
      </c>
      <c r="BN20" s="21" t="s">
        <v>654</v>
      </c>
      <c r="BO20" s="21">
        <v>77511.0</v>
      </c>
      <c r="BP20" s="21" t="s">
        <v>916</v>
      </c>
      <c r="BQ20" s="21" t="s">
        <v>917</v>
      </c>
      <c r="BR20" s="21" t="s">
        <v>665</v>
      </c>
      <c r="BT20" s="21" t="s">
        <v>918</v>
      </c>
      <c r="BU20" s="21" t="s">
        <v>919</v>
      </c>
      <c r="BV20" s="21" t="s">
        <v>656</v>
      </c>
      <c r="BW20" s="21" t="s">
        <v>738</v>
      </c>
      <c r="BX20" s="21" t="s">
        <v>669</v>
      </c>
      <c r="BY20" s="21" t="s">
        <v>670</v>
      </c>
      <c r="CC20" s="21" t="s">
        <v>656</v>
      </c>
      <c r="CZ20" s="21" t="s">
        <v>671</v>
      </c>
      <c r="DA20" s="21" t="s">
        <v>920</v>
      </c>
      <c r="DB20" s="21" t="s">
        <v>714</v>
      </c>
      <c r="DC20" s="21" t="s">
        <v>715</v>
      </c>
      <c r="DD20" s="21">
        <v>2.0</v>
      </c>
      <c r="DE20" s="21" t="s">
        <v>656</v>
      </c>
      <c r="DF20" s="21">
        <v>0.218</v>
      </c>
      <c r="DG20" s="21">
        <v>35000.0</v>
      </c>
      <c r="DH20" s="21" t="s">
        <v>684</v>
      </c>
      <c r="DI20" s="21" t="s">
        <v>921</v>
      </c>
      <c r="DK20" s="21" t="s">
        <v>684</v>
      </c>
      <c r="DL20" s="21" t="s">
        <v>743</v>
      </c>
      <c r="DN20" s="21" t="s">
        <v>684</v>
      </c>
      <c r="EO20" s="21">
        <v>1952.0</v>
      </c>
      <c r="EP20" s="21" t="s">
        <v>684</v>
      </c>
      <c r="EQ20" s="21" t="s">
        <v>674</v>
      </c>
      <c r="ES20" s="21" t="s">
        <v>696</v>
      </c>
      <c r="FB20" s="21" t="s">
        <v>922</v>
      </c>
      <c r="FC20" s="21" t="s">
        <v>677</v>
      </c>
      <c r="FD20" s="21" t="s">
        <v>656</v>
      </c>
      <c r="FF20" s="21">
        <v>307.0</v>
      </c>
      <c r="FH20" s="21" t="s">
        <v>656</v>
      </c>
      <c r="FI20" s="21" t="s">
        <v>656</v>
      </c>
      <c r="FL20" s="21" t="s">
        <v>656</v>
      </c>
      <c r="FO20" s="21">
        <v>1000.0</v>
      </c>
      <c r="FP20" s="21">
        <v>7894.0</v>
      </c>
      <c r="FQ20" s="21">
        <v>7346.0</v>
      </c>
      <c r="FR20" s="21">
        <v>89000.0</v>
      </c>
      <c r="FS20" s="21">
        <v>19500.0</v>
      </c>
      <c r="FT20" s="21">
        <v>0.0</v>
      </c>
      <c r="FV20" s="21">
        <v>2.3</v>
      </c>
      <c r="FW20" s="21">
        <v>124740.0</v>
      </c>
      <c r="FX20" s="21">
        <v>0.0</v>
      </c>
      <c r="FY20" s="21">
        <v>0.0</v>
      </c>
      <c r="FZ20" s="21">
        <v>0.0</v>
      </c>
      <c r="GA20" s="21">
        <v>0.0</v>
      </c>
      <c r="GB20" s="21" t="s">
        <v>656</v>
      </c>
      <c r="GF20" s="21">
        <v>532.0</v>
      </c>
      <c r="GG20" s="21">
        <v>10.0</v>
      </c>
      <c r="GH20" s="21">
        <v>545.0</v>
      </c>
      <c r="GI20" s="21" t="s">
        <v>719</v>
      </c>
      <c r="GK20" s="25">
        <v>42145.0</v>
      </c>
      <c r="GL20" s="21" t="s">
        <v>656</v>
      </c>
      <c r="GM20" s="21" t="s">
        <v>679</v>
      </c>
      <c r="GN20" s="21" t="s">
        <v>656</v>
      </c>
      <c r="GQ20" s="21" t="s">
        <v>656</v>
      </c>
      <c r="HK20" s="21" t="s">
        <v>721</v>
      </c>
      <c r="HL20" s="21" t="s">
        <v>659</v>
      </c>
      <c r="HM20" s="21" t="s">
        <v>659</v>
      </c>
      <c r="HN20" s="21" t="s">
        <v>659</v>
      </c>
      <c r="HO20" s="21" t="s">
        <v>656</v>
      </c>
      <c r="HP20" s="21" t="s">
        <v>656</v>
      </c>
      <c r="HQ20" s="21" t="s">
        <v>696</v>
      </c>
      <c r="HR20" s="21" t="s">
        <v>923</v>
      </c>
      <c r="HT20" s="21" t="s">
        <v>723</v>
      </c>
      <c r="HU20" s="21" t="s">
        <v>924</v>
      </c>
      <c r="IH20" s="21" t="s">
        <v>656</v>
      </c>
      <c r="II20" s="21" t="s">
        <v>656</v>
      </c>
      <c r="IN20" s="21" t="s">
        <v>925</v>
      </c>
      <c r="IO20" s="21" t="s">
        <v>926</v>
      </c>
      <c r="MP20" s="21" t="s">
        <v>926</v>
      </c>
      <c r="MQ20" s="21" t="s">
        <v>927</v>
      </c>
      <c r="NA20" s="21" t="s">
        <v>684</v>
      </c>
      <c r="NG20" s="21" t="s">
        <v>656</v>
      </c>
      <c r="NI20" s="21" t="s">
        <v>659</v>
      </c>
      <c r="NJ20" s="21" t="s">
        <v>928</v>
      </c>
      <c r="NK20" s="21" t="s">
        <v>929</v>
      </c>
      <c r="NL20" s="21">
        <v>20.0</v>
      </c>
      <c r="NM20" s="21" t="s">
        <v>659</v>
      </c>
      <c r="NN20" s="21" t="s">
        <v>659</v>
      </c>
      <c r="WL20" s="21" t="s">
        <v>775</v>
      </c>
      <c r="WM20" s="21" t="s">
        <v>747</v>
      </c>
      <c r="WN20" s="21" t="s">
        <v>776</v>
      </c>
      <c r="WO20" s="21" t="s">
        <v>930</v>
      </c>
      <c r="WT20" s="21" t="s">
        <v>689</v>
      </c>
      <c r="WU20" s="21" t="s">
        <v>730</v>
      </c>
      <c r="WV20" s="21">
        <v>7.13882059E9</v>
      </c>
      <c r="WW20" s="21" t="s">
        <v>690</v>
      </c>
      <c r="WX20" s="21" t="s">
        <v>931</v>
      </c>
    </row>
    <row r="21">
      <c r="A21" s="21">
        <v>120.0</v>
      </c>
      <c r="B21" s="22">
        <v>45464.0</v>
      </c>
      <c r="C21" s="21">
        <v>2024.0</v>
      </c>
      <c r="D21" s="21">
        <v>2.0240083E7</v>
      </c>
      <c r="E21" s="21">
        <v>39707.0</v>
      </c>
      <c r="F21" s="21" t="s">
        <v>701</v>
      </c>
      <c r="G21" s="21">
        <v>5304.0</v>
      </c>
      <c r="H21" s="21" t="s">
        <v>932</v>
      </c>
      <c r="I21" s="21" t="s">
        <v>652</v>
      </c>
      <c r="J21" s="21" t="s">
        <v>653</v>
      </c>
      <c r="K21" s="21" t="s">
        <v>654</v>
      </c>
      <c r="L21" s="21">
        <v>77002.0</v>
      </c>
      <c r="M21" s="23">
        <v>45443.75833333333</v>
      </c>
      <c r="N21" s="21" t="s">
        <v>933</v>
      </c>
      <c r="O21" s="21" t="s">
        <v>659</v>
      </c>
      <c r="P21" s="21">
        <v>28.04385</v>
      </c>
      <c r="Q21" s="21">
        <v>-82.30102</v>
      </c>
      <c r="R21" s="21">
        <v>1400505.0</v>
      </c>
      <c r="S21" s="24">
        <v>45443.84166666667</v>
      </c>
      <c r="T21" s="21">
        <v>1400709.0</v>
      </c>
      <c r="U21" s="21" t="s">
        <v>657</v>
      </c>
      <c r="W21" s="21">
        <v>56734.0</v>
      </c>
      <c r="X21" s="21">
        <v>0.0</v>
      </c>
      <c r="Y21" s="21">
        <v>0.0</v>
      </c>
      <c r="Z21" s="21" t="s">
        <v>656</v>
      </c>
      <c r="AF21" s="21">
        <v>0.0</v>
      </c>
      <c r="AG21" s="21" t="s">
        <v>656</v>
      </c>
      <c r="AM21" s="21">
        <v>0.0</v>
      </c>
      <c r="AN21" s="21" t="s">
        <v>658</v>
      </c>
      <c r="AO21" s="21" t="s">
        <v>659</v>
      </c>
      <c r="AQ21" s="24">
        <v>45443.75833333333</v>
      </c>
      <c r="AR21" s="24">
        <v>45443.84722222222</v>
      </c>
      <c r="AW21" s="21" t="s">
        <v>656</v>
      </c>
      <c r="BI21" s="21">
        <v>0.0</v>
      </c>
      <c r="BJ21" s="24">
        <v>45443.77777777778</v>
      </c>
      <c r="BK21" s="24">
        <v>45443.813888888886</v>
      </c>
      <c r="BL21" s="24">
        <v>45443.813888888886</v>
      </c>
      <c r="BM21" s="21" t="s">
        <v>662</v>
      </c>
      <c r="BN21" s="21" t="s">
        <v>934</v>
      </c>
      <c r="BO21" s="21">
        <v>33592.0</v>
      </c>
      <c r="BP21" s="21" t="s">
        <v>935</v>
      </c>
      <c r="BQ21" s="21" t="s">
        <v>936</v>
      </c>
      <c r="BR21" s="21" t="s">
        <v>665</v>
      </c>
      <c r="BT21" s="21" t="s">
        <v>937</v>
      </c>
      <c r="BU21" s="21" t="s">
        <v>938</v>
      </c>
      <c r="BV21" s="21" t="s">
        <v>656</v>
      </c>
      <c r="BW21" s="21" t="s">
        <v>668</v>
      </c>
      <c r="BX21" s="21" t="s">
        <v>669</v>
      </c>
      <c r="BY21" s="21" t="s">
        <v>670</v>
      </c>
      <c r="CC21" s="21" t="s">
        <v>656</v>
      </c>
      <c r="CZ21" s="21" t="s">
        <v>712</v>
      </c>
      <c r="DA21" s="21" t="s">
        <v>672</v>
      </c>
      <c r="DB21" s="21" t="s">
        <v>756</v>
      </c>
      <c r="EH21" s="21" t="s">
        <v>939</v>
      </c>
      <c r="EO21" s="21">
        <v>2011.0</v>
      </c>
      <c r="EP21" s="21">
        <v>2011.0</v>
      </c>
      <c r="EQ21" s="21" t="s">
        <v>674</v>
      </c>
      <c r="ES21" s="21" t="s">
        <v>696</v>
      </c>
      <c r="FB21" s="21" t="s">
        <v>940</v>
      </c>
      <c r="FC21" s="21" t="s">
        <v>677</v>
      </c>
      <c r="FD21" s="21" t="s">
        <v>656</v>
      </c>
      <c r="FF21" s="21">
        <v>1065.0</v>
      </c>
      <c r="FH21" s="21" t="s">
        <v>656</v>
      </c>
      <c r="FI21" s="21" t="s">
        <v>656</v>
      </c>
      <c r="FL21" s="21" t="s">
        <v>656</v>
      </c>
      <c r="FO21" s="21">
        <v>0.0</v>
      </c>
      <c r="FP21" s="21">
        <v>156019.0</v>
      </c>
      <c r="FQ21" s="21">
        <v>0.0</v>
      </c>
      <c r="FR21" s="21">
        <v>200.0</v>
      </c>
      <c r="FS21" s="21">
        <v>0.0</v>
      </c>
      <c r="FT21" s="21">
        <v>0.0</v>
      </c>
      <c r="FV21" s="21">
        <v>2.75</v>
      </c>
      <c r="FW21" s="21">
        <v>156219.0</v>
      </c>
      <c r="FX21" s="21">
        <v>0.0</v>
      </c>
      <c r="FY21" s="21">
        <v>0.0</v>
      </c>
      <c r="FZ21" s="21">
        <v>0.0</v>
      </c>
      <c r="GA21" s="21">
        <v>0.0</v>
      </c>
      <c r="GB21" s="21" t="s">
        <v>656</v>
      </c>
      <c r="GF21" s="21">
        <v>1100.0</v>
      </c>
      <c r="GG21" s="21">
        <v>940000.0</v>
      </c>
      <c r="GH21" s="21">
        <v>1333.0</v>
      </c>
      <c r="GI21" s="21" t="s">
        <v>774</v>
      </c>
      <c r="GK21" s="25">
        <v>40634.0</v>
      </c>
      <c r="GL21" s="21" t="s">
        <v>656</v>
      </c>
      <c r="GM21" s="21" t="s">
        <v>679</v>
      </c>
      <c r="GN21" s="21" t="s">
        <v>656</v>
      </c>
      <c r="GQ21" s="21" t="s">
        <v>659</v>
      </c>
      <c r="GR21" s="21" t="s">
        <v>659</v>
      </c>
      <c r="HK21" s="21" t="s">
        <v>721</v>
      </c>
      <c r="HL21" s="21" t="s">
        <v>659</v>
      </c>
      <c r="HM21" s="21" t="s">
        <v>659</v>
      </c>
      <c r="HN21" s="21" t="s">
        <v>659</v>
      </c>
      <c r="HO21" s="21" t="s">
        <v>656</v>
      </c>
      <c r="HP21" s="21" t="s">
        <v>656</v>
      </c>
      <c r="HQ21" s="21" t="s">
        <v>941</v>
      </c>
      <c r="HT21" s="21" t="s">
        <v>723</v>
      </c>
      <c r="HU21" s="21" t="s">
        <v>942</v>
      </c>
      <c r="IH21" s="21" t="s">
        <v>656</v>
      </c>
      <c r="II21" s="21" t="s">
        <v>656</v>
      </c>
      <c r="IN21" s="21" t="s">
        <v>786</v>
      </c>
      <c r="IO21" s="21" t="s">
        <v>943</v>
      </c>
      <c r="QG21" s="21" t="s">
        <v>943</v>
      </c>
      <c r="QN21" s="21" t="s">
        <v>659</v>
      </c>
      <c r="QO21" s="21" t="s">
        <v>944</v>
      </c>
      <c r="QP21" s="21" t="s">
        <v>789</v>
      </c>
      <c r="QQ21" s="21" t="s">
        <v>659</v>
      </c>
      <c r="QR21" s="21" t="s">
        <v>790</v>
      </c>
      <c r="WL21" s="21" t="s">
        <v>945</v>
      </c>
      <c r="WM21" s="21" t="s">
        <v>946</v>
      </c>
      <c r="WN21" s="21" t="s">
        <v>947</v>
      </c>
      <c r="WO21" s="21" t="s">
        <v>948</v>
      </c>
      <c r="WT21" s="21" t="s">
        <v>945</v>
      </c>
      <c r="WU21" s="21" t="s">
        <v>946</v>
      </c>
      <c r="WV21" s="21" t="s">
        <v>948</v>
      </c>
      <c r="WW21" s="21" t="s">
        <v>947</v>
      </c>
      <c r="WX21" s="21" t="s">
        <v>949</v>
      </c>
    </row>
    <row r="22">
      <c r="A22" s="21">
        <v>125.0</v>
      </c>
      <c r="B22" s="22">
        <v>45446.0</v>
      </c>
      <c r="C22" s="21">
        <v>2024.0</v>
      </c>
      <c r="D22" s="21">
        <v>2.0240072E7</v>
      </c>
      <c r="E22" s="21">
        <v>39630.0</v>
      </c>
      <c r="F22" s="21" t="s">
        <v>701</v>
      </c>
      <c r="G22" s="21">
        <v>26330.0</v>
      </c>
      <c r="H22" s="21" t="s">
        <v>950</v>
      </c>
      <c r="I22" s="21" t="s">
        <v>652</v>
      </c>
      <c r="J22" s="21" t="s">
        <v>653</v>
      </c>
      <c r="K22" s="21" t="s">
        <v>654</v>
      </c>
      <c r="L22" s="21">
        <v>77002.0</v>
      </c>
      <c r="M22" s="23">
        <v>45431.62152777778</v>
      </c>
      <c r="N22" s="21" t="s">
        <v>655</v>
      </c>
      <c r="O22" s="21" t="s">
        <v>659</v>
      </c>
      <c r="P22" s="21">
        <v>36.282556</v>
      </c>
      <c r="Q22" s="21">
        <v>-95.661771</v>
      </c>
      <c r="R22" s="21">
        <v>1399401.0</v>
      </c>
      <c r="S22" s="24">
        <v>45431.64097222222</v>
      </c>
      <c r="T22" s="21">
        <v>1399561.0</v>
      </c>
      <c r="U22" s="21" t="s">
        <v>657</v>
      </c>
      <c r="W22" s="21">
        <v>8475.0</v>
      </c>
      <c r="X22" s="21">
        <v>0.0</v>
      </c>
      <c r="Y22" s="21">
        <v>0.0</v>
      </c>
      <c r="Z22" s="21" t="s">
        <v>656</v>
      </c>
      <c r="AF22" s="21">
        <v>0.0</v>
      </c>
      <c r="AG22" s="21" t="s">
        <v>656</v>
      </c>
      <c r="AM22" s="21">
        <v>0.0</v>
      </c>
      <c r="AN22" s="21" t="s">
        <v>658</v>
      </c>
      <c r="AO22" s="21" t="s">
        <v>656</v>
      </c>
      <c r="AP22" s="21" t="s">
        <v>951</v>
      </c>
      <c r="AT22" s="21" t="s">
        <v>656</v>
      </c>
      <c r="AW22" s="21" t="s">
        <v>656</v>
      </c>
      <c r="BI22" s="21">
        <v>0.0</v>
      </c>
      <c r="BJ22" s="24">
        <v>45431.569444444445</v>
      </c>
      <c r="BK22" s="24">
        <v>45431.569444444445</v>
      </c>
      <c r="BL22" s="24">
        <v>45431.62152777778</v>
      </c>
      <c r="BM22" s="21" t="s">
        <v>662</v>
      </c>
      <c r="BN22" s="21" t="s">
        <v>860</v>
      </c>
      <c r="BO22" s="21">
        <v>74019.0</v>
      </c>
      <c r="BP22" s="21" t="s">
        <v>952</v>
      </c>
      <c r="BQ22" s="21" t="s">
        <v>953</v>
      </c>
      <c r="BR22" s="21" t="s">
        <v>665</v>
      </c>
      <c r="BT22" s="21" t="s">
        <v>954</v>
      </c>
      <c r="BU22" s="21" t="s">
        <v>955</v>
      </c>
      <c r="BV22" s="21" t="s">
        <v>656</v>
      </c>
      <c r="BW22" s="21" t="s">
        <v>668</v>
      </c>
      <c r="BX22" s="21" t="s">
        <v>669</v>
      </c>
      <c r="BY22" s="21" t="s">
        <v>670</v>
      </c>
      <c r="CC22" s="21" t="s">
        <v>656</v>
      </c>
      <c r="CZ22" s="21" t="s">
        <v>671</v>
      </c>
      <c r="DA22" s="21" t="s">
        <v>672</v>
      </c>
      <c r="DB22" s="21" t="s">
        <v>673</v>
      </c>
      <c r="EO22" s="21" t="s">
        <v>684</v>
      </c>
      <c r="EP22" s="21" t="s">
        <v>684</v>
      </c>
      <c r="EQ22" s="21" t="s">
        <v>674</v>
      </c>
      <c r="ES22" s="21" t="s">
        <v>696</v>
      </c>
      <c r="FB22" s="21" t="s">
        <v>956</v>
      </c>
      <c r="FC22" s="21" t="s">
        <v>677</v>
      </c>
      <c r="FD22" s="21" t="s">
        <v>656</v>
      </c>
      <c r="FF22" s="21">
        <v>431.0</v>
      </c>
      <c r="FH22" s="21" t="s">
        <v>656</v>
      </c>
      <c r="FI22" s="21" t="s">
        <v>656</v>
      </c>
      <c r="FL22" s="21" t="s">
        <v>656</v>
      </c>
      <c r="FO22" s="21">
        <v>0.0</v>
      </c>
      <c r="FP22" s="21">
        <v>22035.0</v>
      </c>
      <c r="FQ22" s="21">
        <v>0.0</v>
      </c>
      <c r="FR22" s="21">
        <v>220.0</v>
      </c>
      <c r="FS22" s="21">
        <v>0.0</v>
      </c>
      <c r="FT22" s="21">
        <v>0.0</v>
      </c>
      <c r="FV22" s="21">
        <v>2.6</v>
      </c>
      <c r="FW22" s="21">
        <v>22255.0</v>
      </c>
      <c r="FX22" s="21">
        <v>0.0</v>
      </c>
      <c r="FY22" s="21">
        <v>0.0</v>
      </c>
      <c r="FZ22" s="21">
        <v>0.0</v>
      </c>
      <c r="GA22" s="21">
        <v>0.0</v>
      </c>
      <c r="GB22" s="21" t="s">
        <v>656</v>
      </c>
      <c r="GF22" s="21">
        <v>400.0</v>
      </c>
      <c r="GG22" s="21">
        <v>150000.0</v>
      </c>
      <c r="GH22" s="21">
        <v>1000.0</v>
      </c>
      <c r="GI22" s="21" t="s">
        <v>774</v>
      </c>
      <c r="GK22" s="25">
        <v>35916.0</v>
      </c>
      <c r="GL22" s="21" t="s">
        <v>957</v>
      </c>
      <c r="GM22" s="21" t="s">
        <v>679</v>
      </c>
      <c r="GN22" s="21" t="s">
        <v>656</v>
      </c>
      <c r="GQ22" s="21" t="s">
        <v>659</v>
      </c>
      <c r="GR22" s="21" t="s">
        <v>659</v>
      </c>
      <c r="HK22" s="21" t="s">
        <v>721</v>
      </c>
      <c r="HL22" s="21" t="s">
        <v>656</v>
      </c>
      <c r="HQ22" s="21" t="s">
        <v>806</v>
      </c>
      <c r="HT22" s="21" t="s">
        <v>723</v>
      </c>
      <c r="HU22" s="21" t="s">
        <v>958</v>
      </c>
      <c r="IH22" s="21" t="s">
        <v>656</v>
      </c>
      <c r="II22" s="21" t="s">
        <v>656</v>
      </c>
      <c r="IN22" s="21" t="s">
        <v>761</v>
      </c>
      <c r="IO22" s="21" t="s">
        <v>959</v>
      </c>
      <c r="OU22" s="21" t="s">
        <v>959</v>
      </c>
      <c r="PP22" s="21" t="s">
        <v>659</v>
      </c>
      <c r="WB22" s="21" t="s">
        <v>659</v>
      </c>
      <c r="WL22" s="21" t="s">
        <v>871</v>
      </c>
      <c r="WM22" s="21" t="s">
        <v>872</v>
      </c>
      <c r="WN22" s="21" t="s">
        <v>873</v>
      </c>
      <c r="WO22" s="21">
        <v>4.053807618E9</v>
      </c>
      <c r="WP22" s="21">
        <v>4.053797281E9</v>
      </c>
      <c r="WQ22" s="21" t="s">
        <v>871</v>
      </c>
      <c r="WR22" s="21" t="s">
        <v>873</v>
      </c>
      <c r="WS22" s="21">
        <v>4.053807618E9</v>
      </c>
      <c r="WT22" s="21" t="s">
        <v>854</v>
      </c>
      <c r="WU22" s="21" t="s">
        <v>874</v>
      </c>
      <c r="WV22" s="21">
        <v>4.055576823E9</v>
      </c>
      <c r="WW22" s="21" t="s">
        <v>857</v>
      </c>
      <c r="WX22" s="21" t="s">
        <v>960</v>
      </c>
    </row>
    <row r="23">
      <c r="A23" s="21">
        <v>129.0</v>
      </c>
      <c r="B23" s="22">
        <v>45449.0</v>
      </c>
      <c r="C23" s="21">
        <v>2024.0</v>
      </c>
      <c r="D23" s="21">
        <v>2.0240079E7</v>
      </c>
      <c r="E23" s="21">
        <v>39651.0</v>
      </c>
      <c r="F23" s="21" t="s">
        <v>701</v>
      </c>
      <c r="G23" s="21">
        <v>602.0</v>
      </c>
      <c r="H23" s="21" t="s">
        <v>859</v>
      </c>
      <c r="I23" s="21" t="s">
        <v>652</v>
      </c>
      <c r="J23" s="21" t="s">
        <v>653</v>
      </c>
      <c r="K23" s="21" t="s">
        <v>654</v>
      </c>
      <c r="L23" s="21">
        <v>77002.0</v>
      </c>
      <c r="M23" s="23">
        <v>45421.56805555556</v>
      </c>
      <c r="N23" s="21" t="s">
        <v>655</v>
      </c>
      <c r="O23" s="21" t="s">
        <v>659</v>
      </c>
      <c r="P23" s="21">
        <v>33.49613</v>
      </c>
      <c r="Q23" s="21">
        <v>-92.91935</v>
      </c>
      <c r="R23" s="21">
        <v>1398499.0</v>
      </c>
      <c r="S23" s="24">
        <v>45421.58263888889</v>
      </c>
      <c r="T23" s="21">
        <v>1398644.0</v>
      </c>
      <c r="U23" s="21" t="s">
        <v>657</v>
      </c>
      <c r="W23" s="21">
        <v>13000.0</v>
      </c>
      <c r="X23" s="21">
        <v>1758.0</v>
      </c>
      <c r="Y23" s="21">
        <v>0.0</v>
      </c>
      <c r="Z23" s="21" t="s">
        <v>656</v>
      </c>
      <c r="AF23" s="21">
        <v>0.0</v>
      </c>
      <c r="AG23" s="21" t="s">
        <v>656</v>
      </c>
      <c r="AM23" s="21">
        <v>0.0</v>
      </c>
      <c r="AN23" s="21" t="s">
        <v>658</v>
      </c>
      <c r="AO23" s="21" t="s">
        <v>659</v>
      </c>
      <c r="AQ23" s="24">
        <v>45422.01666666667</v>
      </c>
      <c r="AR23" s="24">
        <v>45422.69583333333</v>
      </c>
      <c r="AT23" s="21" t="s">
        <v>656</v>
      </c>
      <c r="AW23" s="21" t="s">
        <v>656</v>
      </c>
      <c r="BC23" s="21" t="s">
        <v>704</v>
      </c>
      <c r="BE23" s="24">
        <v>45422.020833333336</v>
      </c>
      <c r="BF23" s="21" t="s">
        <v>704</v>
      </c>
      <c r="BH23" s="24">
        <v>45422.02222222222</v>
      </c>
      <c r="BI23" s="21">
        <v>0.0</v>
      </c>
      <c r="BJ23" s="24">
        <v>45421.56805555556</v>
      </c>
      <c r="BK23" s="24">
        <v>45421.56805555556</v>
      </c>
      <c r="BL23" s="24">
        <v>45421.56805555556</v>
      </c>
      <c r="BM23" s="21" t="s">
        <v>662</v>
      </c>
      <c r="BN23" s="21" t="s">
        <v>961</v>
      </c>
      <c r="BO23" s="21">
        <v>71701.0</v>
      </c>
      <c r="BP23" s="21" t="s">
        <v>663</v>
      </c>
      <c r="BQ23" s="21" t="s">
        <v>962</v>
      </c>
      <c r="BR23" s="21" t="s">
        <v>665</v>
      </c>
      <c r="BT23" s="21" t="s">
        <v>963</v>
      </c>
      <c r="BU23" s="21" t="s">
        <v>963</v>
      </c>
      <c r="BV23" s="21" t="s">
        <v>656</v>
      </c>
      <c r="BW23" s="21" t="s">
        <v>738</v>
      </c>
      <c r="BX23" s="21" t="s">
        <v>739</v>
      </c>
      <c r="BY23" s="21" t="s">
        <v>740</v>
      </c>
      <c r="CA23" s="21">
        <v>36.0</v>
      </c>
      <c r="CB23" s="21" t="s">
        <v>656</v>
      </c>
      <c r="CC23" s="21" t="s">
        <v>656</v>
      </c>
      <c r="CZ23" s="21" t="s">
        <v>712</v>
      </c>
      <c r="DA23" s="21" t="s">
        <v>741</v>
      </c>
      <c r="DB23" s="21" t="s">
        <v>714</v>
      </c>
      <c r="DC23" s="21" t="s">
        <v>715</v>
      </c>
      <c r="DD23" s="21">
        <v>20.0</v>
      </c>
      <c r="DE23" s="21" t="s">
        <v>656</v>
      </c>
      <c r="DF23" s="21">
        <v>0.25</v>
      </c>
      <c r="DG23" s="21">
        <v>46000.0</v>
      </c>
      <c r="DH23" s="21" t="s">
        <v>964</v>
      </c>
      <c r="DI23" s="21" t="s">
        <v>742</v>
      </c>
      <c r="DK23" s="21" t="s">
        <v>684</v>
      </c>
      <c r="DL23" s="21" t="s">
        <v>743</v>
      </c>
      <c r="DN23" s="21" t="s">
        <v>656</v>
      </c>
      <c r="EO23" s="21">
        <v>1967.0</v>
      </c>
      <c r="EP23" s="21" t="s">
        <v>684</v>
      </c>
      <c r="EQ23" s="21" t="s">
        <v>674</v>
      </c>
      <c r="ES23" s="21" t="s">
        <v>965</v>
      </c>
      <c r="ET23" s="21">
        <v>3.6</v>
      </c>
      <c r="EU23" s="21">
        <v>1.2</v>
      </c>
      <c r="FC23" s="21" t="s">
        <v>677</v>
      </c>
      <c r="FD23" s="21" t="s">
        <v>656</v>
      </c>
      <c r="FF23" s="21">
        <v>390.0</v>
      </c>
      <c r="FH23" s="21" t="s">
        <v>656</v>
      </c>
      <c r="FI23" s="21" t="s">
        <v>656</v>
      </c>
      <c r="FL23" s="21" t="s">
        <v>656</v>
      </c>
      <c r="FO23" s="21">
        <v>0.0</v>
      </c>
      <c r="FP23" s="21">
        <v>26390.0</v>
      </c>
      <c r="FQ23" s="21">
        <v>3569.0</v>
      </c>
      <c r="FR23" s="21">
        <v>95055.0</v>
      </c>
      <c r="FS23" s="21">
        <v>20353.0</v>
      </c>
      <c r="FT23" s="21">
        <v>0.0</v>
      </c>
      <c r="FV23" s="21">
        <v>2.03</v>
      </c>
      <c r="FW23" s="21">
        <v>145367.0</v>
      </c>
      <c r="FX23" s="21">
        <v>0.0</v>
      </c>
      <c r="FY23" s="21">
        <v>0.0</v>
      </c>
      <c r="FZ23" s="21">
        <v>0.0</v>
      </c>
      <c r="GA23" s="21">
        <v>0.0</v>
      </c>
      <c r="GB23" s="21" t="s">
        <v>656</v>
      </c>
      <c r="GF23" s="21">
        <v>550.0</v>
      </c>
      <c r="GG23" s="21">
        <v>10.0</v>
      </c>
      <c r="GH23" s="21">
        <v>800.0</v>
      </c>
      <c r="GI23" s="21" t="s">
        <v>774</v>
      </c>
      <c r="GK23" s="25">
        <v>24473.0</v>
      </c>
      <c r="GL23" s="21" t="s">
        <v>656</v>
      </c>
      <c r="GM23" s="21" t="s">
        <v>679</v>
      </c>
      <c r="GN23" s="21" t="s">
        <v>656</v>
      </c>
      <c r="GQ23" s="21" t="s">
        <v>659</v>
      </c>
      <c r="GR23" s="21" t="s">
        <v>659</v>
      </c>
      <c r="GS23" s="21" t="s">
        <v>720</v>
      </c>
      <c r="GT23" s="21" t="s">
        <v>720</v>
      </c>
      <c r="GU23" s="21">
        <v>32736.0</v>
      </c>
      <c r="GV23" s="21" t="s">
        <v>659</v>
      </c>
      <c r="HD23" s="21" t="s">
        <v>656</v>
      </c>
      <c r="HK23" s="21" t="s">
        <v>721</v>
      </c>
      <c r="HL23" s="21" t="s">
        <v>656</v>
      </c>
      <c r="HQ23" s="21" t="s">
        <v>966</v>
      </c>
      <c r="HT23" s="21" t="s">
        <v>723</v>
      </c>
      <c r="HU23" s="21" t="s">
        <v>967</v>
      </c>
      <c r="IH23" s="21" t="s">
        <v>656</v>
      </c>
      <c r="II23" s="21" t="s">
        <v>656</v>
      </c>
      <c r="IN23" s="21" t="s">
        <v>968</v>
      </c>
      <c r="IO23" s="21" t="s">
        <v>969</v>
      </c>
      <c r="LB23" s="21" t="s">
        <v>969</v>
      </c>
      <c r="LC23" s="21" t="s">
        <v>656</v>
      </c>
      <c r="LH23" s="21" t="s">
        <v>656</v>
      </c>
      <c r="LM23" s="21" t="s">
        <v>659</v>
      </c>
      <c r="LR23" s="21" t="s">
        <v>659</v>
      </c>
      <c r="LX23" s="21" t="s">
        <v>656</v>
      </c>
      <c r="LY23" s="21" t="s">
        <v>656</v>
      </c>
      <c r="LZ23" s="21" t="s">
        <v>970</v>
      </c>
      <c r="MB23" s="21" t="s">
        <v>971</v>
      </c>
      <c r="MC23" s="21" t="s">
        <v>972</v>
      </c>
      <c r="MD23" s="21" t="s">
        <v>973</v>
      </c>
      <c r="ME23" s="21" t="s">
        <v>656</v>
      </c>
      <c r="MI23" s="21" t="s">
        <v>974</v>
      </c>
      <c r="MJ23" s="21" t="s">
        <v>656</v>
      </c>
      <c r="MK23" s="21" t="s">
        <v>659</v>
      </c>
      <c r="ML23" s="21">
        <v>24.0</v>
      </c>
      <c r="MM23" s="21" t="s">
        <v>975</v>
      </c>
      <c r="MN23" s="21" t="s">
        <v>976</v>
      </c>
      <c r="WL23" s="21" t="s">
        <v>977</v>
      </c>
      <c r="WM23" s="21" t="s">
        <v>978</v>
      </c>
      <c r="WN23" s="21" t="s">
        <v>979</v>
      </c>
      <c r="WO23" s="21" t="s">
        <v>980</v>
      </c>
      <c r="WQ23" s="21" t="s">
        <v>981</v>
      </c>
      <c r="WR23" s="21" t="s">
        <v>982</v>
      </c>
      <c r="WS23" s="21" t="s">
        <v>983</v>
      </c>
      <c r="WT23" s="21" t="s">
        <v>819</v>
      </c>
      <c r="WU23" s="21" t="s">
        <v>984</v>
      </c>
      <c r="WV23" s="21" t="s">
        <v>843</v>
      </c>
      <c r="WW23" s="21" t="s">
        <v>820</v>
      </c>
      <c r="WX23" s="21" t="s">
        <v>985</v>
      </c>
    </row>
    <row r="24">
      <c r="A24" s="21">
        <v>135.0</v>
      </c>
      <c r="B24" s="22">
        <v>45441.0</v>
      </c>
      <c r="C24" s="21">
        <v>2024.0</v>
      </c>
      <c r="D24" s="21">
        <v>2.024007E7</v>
      </c>
      <c r="E24" s="21">
        <v>39996.0</v>
      </c>
      <c r="F24" s="21" t="s">
        <v>778</v>
      </c>
      <c r="G24" s="21">
        <v>19730.0</v>
      </c>
      <c r="H24" s="21" t="s">
        <v>750</v>
      </c>
      <c r="I24" s="21" t="s">
        <v>652</v>
      </c>
      <c r="J24" s="21" t="s">
        <v>653</v>
      </c>
      <c r="K24" s="21" t="s">
        <v>654</v>
      </c>
      <c r="L24" s="21">
        <v>77002.0</v>
      </c>
      <c r="M24" s="23">
        <v>45412.74444444444</v>
      </c>
      <c r="N24" s="21" t="s">
        <v>655</v>
      </c>
      <c r="O24" s="21" t="s">
        <v>659</v>
      </c>
      <c r="P24" s="21">
        <v>30.59601</v>
      </c>
      <c r="Q24" s="21">
        <v>-93.227044</v>
      </c>
      <c r="R24" s="21">
        <v>1397797.0</v>
      </c>
      <c r="S24" s="24">
        <v>45413.68680555555</v>
      </c>
      <c r="T24" s="21">
        <v>1397850.0</v>
      </c>
      <c r="U24" s="21" t="s">
        <v>657</v>
      </c>
      <c r="W24" s="21">
        <v>67680.0</v>
      </c>
      <c r="X24" s="21">
        <v>0.0</v>
      </c>
      <c r="Y24" s="21">
        <v>0.0</v>
      </c>
      <c r="Z24" s="21" t="s">
        <v>656</v>
      </c>
      <c r="AF24" s="21">
        <v>0.0</v>
      </c>
      <c r="AG24" s="21" t="s">
        <v>656</v>
      </c>
      <c r="AM24" s="21">
        <v>0.0</v>
      </c>
      <c r="AN24" s="21" t="s">
        <v>658</v>
      </c>
      <c r="AO24" s="21" t="s">
        <v>659</v>
      </c>
      <c r="AQ24" s="24">
        <v>45412.774305555555</v>
      </c>
      <c r="AR24" s="24">
        <v>45412.916666666664</v>
      </c>
      <c r="AT24" s="21" t="s">
        <v>659</v>
      </c>
      <c r="AU24" s="21" t="s">
        <v>660</v>
      </c>
      <c r="AV24" s="24">
        <v>45412.770833333336</v>
      </c>
      <c r="AW24" s="21" t="s">
        <v>656</v>
      </c>
      <c r="BI24" s="21">
        <v>0.0</v>
      </c>
      <c r="BJ24" s="24">
        <v>45412.74444444444</v>
      </c>
      <c r="BK24" s="24">
        <v>45412.75277777778</v>
      </c>
      <c r="BL24" s="24">
        <v>45412.75277777778</v>
      </c>
      <c r="BM24" s="21" t="s">
        <v>662</v>
      </c>
      <c r="BN24" s="21" t="s">
        <v>751</v>
      </c>
      <c r="BO24" s="21">
        <v>70652.0</v>
      </c>
      <c r="BP24" s="21" t="s">
        <v>752</v>
      </c>
      <c r="BQ24" s="21" t="s">
        <v>753</v>
      </c>
      <c r="BR24" s="21" t="s">
        <v>665</v>
      </c>
      <c r="BT24" s="21" t="s">
        <v>754</v>
      </c>
      <c r="BU24" s="21" t="s">
        <v>986</v>
      </c>
      <c r="BV24" s="21" t="s">
        <v>656</v>
      </c>
      <c r="BW24" s="21" t="s">
        <v>668</v>
      </c>
      <c r="BX24" s="21" t="s">
        <v>669</v>
      </c>
      <c r="BY24" s="21" t="s">
        <v>670</v>
      </c>
      <c r="CC24" s="21" t="s">
        <v>656</v>
      </c>
      <c r="CZ24" s="21" t="s">
        <v>712</v>
      </c>
      <c r="DA24" s="21" t="s">
        <v>672</v>
      </c>
      <c r="DB24" s="21" t="s">
        <v>756</v>
      </c>
      <c r="EH24" s="21" t="s">
        <v>757</v>
      </c>
      <c r="EI24" s="21" t="s">
        <v>758</v>
      </c>
      <c r="EK24" s="21" t="s">
        <v>684</v>
      </c>
      <c r="EO24" s="21" t="s">
        <v>684</v>
      </c>
      <c r="EP24" s="21" t="s">
        <v>684</v>
      </c>
      <c r="EQ24" s="21" t="s">
        <v>674</v>
      </c>
      <c r="ES24" s="21" t="s">
        <v>696</v>
      </c>
      <c r="FB24" s="21" t="s">
        <v>987</v>
      </c>
      <c r="FC24" s="21" t="s">
        <v>677</v>
      </c>
      <c r="FD24" s="21" t="s">
        <v>656</v>
      </c>
      <c r="FF24" s="21">
        <v>805.0</v>
      </c>
      <c r="FH24" s="21" t="s">
        <v>656</v>
      </c>
      <c r="FI24" s="21" t="s">
        <v>656</v>
      </c>
      <c r="FL24" s="21" t="s">
        <v>656</v>
      </c>
      <c r="FO24" s="21">
        <v>0.0</v>
      </c>
      <c r="FP24" s="21">
        <v>98813.0</v>
      </c>
      <c r="FQ24" s="21">
        <v>0.0</v>
      </c>
      <c r="FR24" s="21">
        <v>1000.0</v>
      </c>
      <c r="FS24" s="21">
        <v>0.0</v>
      </c>
      <c r="FT24" s="21">
        <v>0.0</v>
      </c>
      <c r="FV24" s="21">
        <v>1.46</v>
      </c>
      <c r="FW24" s="21">
        <v>99813.0</v>
      </c>
      <c r="FX24" s="21">
        <v>0.0</v>
      </c>
      <c r="FY24" s="21">
        <v>0.0</v>
      </c>
      <c r="FZ24" s="21">
        <v>0.0</v>
      </c>
      <c r="GA24" s="21">
        <v>0.0</v>
      </c>
      <c r="GB24" s="21" t="s">
        <v>656</v>
      </c>
      <c r="GF24" s="21">
        <v>785.0</v>
      </c>
      <c r="GG24" s="21">
        <v>1200000.0</v>
      </c>
      <c r="GH24" s="21">
        <v>1050.0</v>
      </c>
      <c r="GI24" s="21" t="s">
        <v>719</v>
      </c>
      <c r="GK24" s="25">
        <v>39363.0</v>
      </c>
      <c r="GL24" s="21" t="s">
        <v>656</v>
      </c>
      <c r="GM24" s="21" t="s">
        <v>679</v>
      </c>
      <c r="GN24" s="21" t="s">
        <v>656</v>
      </c>
      <c r="GQ24" s="21" t="s">
        <v>656</v>
      </c>
      <c r="HK24" s="21" t="s">
        <v>721</v>
      </c>
      <c r="HL24" s="21" t="s">
        <v>659</v>
      </c>
      <c r="HM24" s="21" t="s">
        <v>659</v>
      </c>
      <c r="HN24" s="21" t="s">
        <v>659</v>
      </c>
      <c r="HO24" s="21" t="s">
        <v>659</v>
      </c>
      <c r="HP24" s="21" t="s">
        <v>659</v>
      </c>
      <c r="HQ24" s="21" t="s">
        <v>681</v>
      </c>
      <c r="HT24" s="21" t="s">
        <v>760</v>
      </c>
      <c r="HZ24" s="21" t="s">
        <v>659</v>
      </c>
      <c r="IH24" s="21" t="s">
        <v>656</v>
      </c>
      <c r="II24" s="21" t="s">
        <v>656</v>
      </c>
      <c r="IN24" s="21" t="s">
        <v>761</v>
      </c>
      <c r="IO24" s="21" t="s">
        <v>762</v>
      </c>
      <c r="OU24" s="21" t="s">
        <v>762</v>
      </c>
      <c r="OZ24" s="21" t="s">
        <v>659</v>
      </c>
      <c r="QE24" s="21" t="s">
        <v>659</v>
      </c>
      <c r="QF24" s="21" t="s">
        <v>988</v>
      </c>
      <c r="WL24" s="21" t="s">
        <v>729</v>
      </c>
      <c r="WM24" s="21" t="s">
        <v>989</v>
      </c>
      <c r="WN24" s="21" t="s">
        <v>731</v>
      </c>
      <c r="WO24" s="21" t="s">
        <v>990</v>
      </c>
      <c r="WT24" s="21" t="s">
        <v>689</v>
      </c>
      <c r="WU24" s="21" t="s">
        <v>991</v>
      </c>
      <c r="WV24" s="21" t="s">
        <v>906</v>
      </c>
      <c r="WW24" s="21" t="s">
        <v>690</v>
      </c>
      <c r="WX24" s="21" t="s">
        <v>992</v>
      </c>
    </row>
    <row r="25">
      <c r="A25" s="21">
        <v>142.0</v>
      </c>
      <c r="B25" s="22">
        <v>45428.0</v>
      </c>
      <c r="C25" s="21">
        <v>2024.0</v>
      </c>
      <c r="D25" s="21">
        <v>2.0240058E7</v>
      </c>
      <c r="E25" s="21">
        <v>39560.0</v>
      </c>
      <c r="F25" s="21" t="s">
        <v>650</v>
      </c>
      <c r="G25" s="21">
        <v>40069.0</v>
      </c>
      <c r="H25" s="21" t="s">
        <v>993</v>
      </c>
      <c r="I25" s="21" t="s">
        <v>652</v>
      </c>
      <c r="J25" s="21" t="s">
        <v>653</v>
      </c>
      <c r="K25" s="21" t="s">
        <v>654</v>
      </c>
      <c r="L25" s="21">
        <v>77002.0</v>
      </c>
      <c r="M25" s="23">
        <v>45402.645833333336</v>
      </c>
      <c r="N25" s="21" t="s">
        <v>655</v>
      </c>
      <c r="O25" s="21" t="s">
        <v>659</v>
      </c>
      <c r="P25" s="21">
        <v>28.3213889</v>
      </c>
      <c r="Q25" s="21">
        <v>-93.2536111</v>
      </c>
      <c r="R25" s="21">
        <v>1396923.0</v>
      </c>
      <c r="S25" s="24">
        <v>45402.68194444444</v>
      </c>
      <c r="T25" s="21">
        <v>1397013.0</v>
      </c>
      <c r="U25" s="21" t="s">
        <v>657</v>
      </c>
      <c r="W25" s="21">
        <v>0.0</v>
      </c>
      <c r="X25" s="21">
        <v>1290.0</v>
      </c>
      <c r="Y25" s="21">
        <v>0.0</v>
      </c>
      <c r="Z25" s="21" t="s">
        <v>656</v>
      </c>
      <c r="AF25" s="21">
        <v>0.0</v>
      </c>
      <c r="AG25" s="21" t="s">
        <v>656</v>
      </c>
      <c r="AM25" s="21">
        <v>0.0</v>
      </c>
      <c r="AN25" s="21" t="s">
        <v>994</v>
      </c>
      <c r="AT25" s="21" t="s">
        <v>659</v>
      </c>
      <c r="AU25" s="21" t="s">
        <v>660</v>
      </c>
      <c r="AV25" s="24">
        <v>45402.645833333336</v>
      </c>
      <c r="AW25" s="21" t="s">
        <v>656</v>
      </c>
      <c r="BC25" s="21" t="s">
        <v>704</v>
      </c>
      <c r="BE25" s="24">
        <v>44619.708333333336</v>
      </c>
      <c r="BF25" s="21" t="s">
        <v>704</v>
      </c>
      <c r="BH25" s="24">
        <v>44790.364583333336</v>
      </c>
      <c r="BI25" s="21">
        <v>0.0</v>
      </c>
      <c r="BJ25" s="24">
        <v>45402.645833333336</v>
      </c>
      <c r="BK25" s="24">
        <v>45402.645833333336</v>
      </c>
      <c r="BL25" s="24">
        <v>45402.645833333336</v>
      </c>
      <c r="BM25" s="21" t="s">
        <v>705</v>
      </c>
      <c r="BT25" s="21" t="s">
        <v>995</v>
      </c>
      <c r="BU25" s="21" t="s">
        <v>996</v>
      </c>
      <c r="CP25" s="21">
        <v>185.0</v>
      </c>
      <c r="CQ25" s="21" t="s">
        <v>708</v>
      </c>
      <c r="CV25" s="21" t="s">
        <v>997</v>
      </c>
      <c r="CW25" s="21" t="s">
        <v>998</v>
      </c>
      <c r="CX25" s="21">
        <v>538.0</v>
      </c>
      <c r="CY25" s="21" t="s">
        <v>711</v>
      </c>
      <c r="CZ25" s="21" t="s">
        <v>712</v>
      </c>
      <c r="DA25" s="21" t="s">
        <v>713</v>
      </c>
      <c r="DB25" s="21" t="s">
        <v>714</v>
      </c>
      <c r="DC25" s="21" t="s">
        <v>715</v>
      </c>
      <c r="DD25" s="21">
        <v>30.0</v>
      </c>
      <c r="DE25" s="21" t="s">
        <v>656</v>
      </c>
      <c r="DF25" s="21">
        <v>0.562</v>
      </c>
      <c r="DG25" s="21">
        <v>60000.0</v>
      </c>
      <c r="DH25" s="21" t="s">
        <v>895</v>
      </c>
      <c r="DI25" s="21" t="s">
        <v>848</v>
      </c>
      <c r="DK25" s="21" t="s">
        <v>999</v>
      </c>
      <c r="DL25" s="21" t="s">
        <v>696</v>
      </c>
      <c r="DM25" s="21" t="s">
        <v>1000</v>
      </c>
      <c r="DN25" s="21" t="s">
        <v>684</v>
      </c>
      <c r="EO25" s="21">
        <v>1975.0</v>
      </c>
      <c r="EP25" s="21">
        <v>1975.0</v>
      </c>
      <c r="EQ25" s="21" t="s">
        <v>674</v>
      </c>
      <c r="ES25" s="21" t="s">
        <v>675</v>
      </c>
      <c r="EV25" s="21" t="s">
        <v>718</v>
      </c>
      <c r="FC25" s="21" t="s">
        <v>677</v>
      </c>
      <c r="FD25" s="21" t="s">
        <v>656</v>
      </c>
      <c r="FF25" s="21">
        <v>717.0</v>
      </c>
      <c r="FH25" s="21" t="s">
        <v>656</v>
      </c>
      <c r="FI25" s="21" t="s">
        <v>656</v>
      </c>
      <c r="FL25" s="21" t="s">
        <v>656</v>
      </c>
      <c r="FO25" s="21">
        <v>0.0</v>
      </c>
      <c r="FP25" s="21">
        <v>0.0</v>
      </c>
      <c r="FQ25" s="21">
        <v>1871.0</v>
      </c>
      <c r="FR25" s="21">
        <v>750000.0</v>
      </c>
      <c r="FS25" s="21">
        <v>0.0</v>
      </c>
      <c r="FT25" s="21">
        <v>0.0</v>
      </c>
      <c r="FV25" s="21">
        <v>1.45</v>
      </c>
      <c r="FW25" s="21">
        <v>751871.0</v>
      </c>
      <c r="FX25" s="21">
        <v>0.0</v>
      </c>
      <c r="FY25" s="21">
        <v>0.0</v>
      </c>
      <c r="FZ25" s="21">
        <v>0.0</v>
      </c>
      <c r="GA25" s="21">
        <v>0.0</v>
      </c>
      <c r="GB25" s="21" t="s">
        <v>656</v>
      </c>
      <c r="GF25" s="21">
        <v>155.0</v>
      </c>
      <c r="GG25" s="21">
        <v>0.0</v>
      </c>
      <c r="GH25" s="21">
        <v>1200.0</v>
      </c>
      <c r="GI25" s="21" t="s">
        <v>719</v>
      </c>
      <c r="GK25" s="25">
        <v>27456.0</v>
      </c>
      <c r="GL25" s="21" t="s">
        <v>656</v>
      </c>
      <c r="GM25" s="21" t="s">
        <v>679</v>
      </c>
      <c r="GN25" s="21" t="s">
        <v>656</v>
      </c>
      <c r="GQ25" s="21" t="s">
        <v>656</v>
      </c>
      <c r="GS25" s="21" t="s">
        <v>720</v>
      </c>
      <c r="GT25" s="21" t="s">
        <v>720</v>
      </c>
      <c r="GU25" s="21">
        <v>318991.0</v>
      </c>
      <c r="GV25" s="21" t="s">
        <v>659</v>
      </c>
      <c r="HD25" s="21" t="s">
        <v>659</v>
      </c>
      <c r="HI25" s="21" t="s">
        <v>659</v>
      </c>
      <c r="HJ25" s="21" t="s">
        <v>1001</v>
      </c>
      <c r="HK25" s="21" t="s">
        <v>1002</v>
      </c>
      <c r="HL25" s="21" t="s">
        <v>659</v>
      </c>
      <c r="HM25" s="21" t="s">
        <v>659</v>
      </c>
      <c r="HN25" s="21" t="s">
        <v>659</v>
      </c>
      <c r="HO25" s="21" t="s">
        <v>656</v>
      </c>
      <c r="HP25" s="21" t="s">
        <v>656</v>
      </c>
      <c r="HQ25" s="21" t="s">
        <v>698</v>
      </c>
      <c r="HS25" s="21" t="s">
        <v>1003</v>
      </c>
      <c r="HT25" s="21" t="s">
        <v>723</v>
      </c>
      <c r="HU25" s="21" t="s">
        <v>1004</v>
      </c>
      <c r="IH25" s="21" t="s">
        <v>656</v>
      </c>
      <c r="II25" s="21" t="s">
        <v>656</v>
      </c>
      <c r="IN25" s="21" t="s">
        <v>683</v>
      </c>
      <c r="IO25" s="21" t="s">
        <v>684</v>
      </c>
      <c r="QS25" s="21" t="s">
        <v>684</v>
      </c>
      <c r="QU25" s="21" t="s">
        <v>685</v>
      </c>
      <c r="WL25" s="21" t="s">
        <v>729</v>
      </c>
      <c r="WM25" s="21" t="s">
        <v>872</v>
      </c>
      <c r="WN25" s="21" t="s">
        <v>731</v>
      </c>
      <c r="WO25" s="21" t="s">
        <v>990</v>
      </c>
      <c r="WT25" s="21" t="s">
        <v>689</v>
      </c>
      <c r="WU25" s="21" t="s">
        <v>991</v>
      </c>
      <c r="WV25" s="21" t="s">
        <v>906</v>
      </c>
      <c r="WW25" s="21" t="s">
        <v>690</v>
      </c>
      <c r="WX25" s="21" t="s">
        <v>1005</v>
      </c>
    </row>
    <row r="26">
      <c r="A26" s="21">
        <v>143.0</v>
      </c>
      <c r="B26" s="22">
        <v>45428.0</v>
      </c>
      <c r="C26" s="21">
        <v>2024.0</v>
      </c>
      <c r="D26" s="21">
        <v>2.0240057E7</v>
      </c>
      <c r="E26" s="21">
        <v>39559.0</v>
      </c>
      <c r="F26" s="21" t="s">
        <v>650</v>
      </c>
      <c r="G26" s="21">
        <v>40069.0</v>
      </c>
      <c r="H26" s="21" t="s">
        <v>993</v>
      </c>
      <c r="I26" s="21" t="s">
        <v>652</v>
      </c>
      <c r="J26" s="21" t="s">
        <v>653</v>
      </c>
      <c r="K26" s="21" t="s">
        <v>654</v>
      </c>
      <c r="L26" s="21">
        <v>77002.0</v>
      </c>
      <c r="M26" s="23">
        <v>45402.645833333336</v>
      </c>
      <c r="N26" s="21" t="s">
        <v>655</v>
      </c>
      <c r="O26" s="21" t="s">
        <v>659</v>
      </c>
      <c r="P26" s="21">
        <v>28.3083333</v>
      </c>
      <c r="Q26" s="21">
        <v>-93.27138888</v>
      </c>
      <c r="R26" s="21">
        <v>1396924.0</v>
      </c>
      <c r="S26" s="24">
        <v>45402.68472222222</v>
      </c>
      <c r="T26" s="21">
        <v>1397015.0</v>
      </c>
      <c r="U26" s="21" t="s">
        <v>657</v>
      </c>
      <c r="W26" s="21">
        <v>0.0</v>
      </c>
      <c r="X26" s="21">
        <v>1290.0</v>
      </c>
      <c r="Y26" s="21">
        <v>0.0</v>
      </c>
      <c r="Z26" s="21" t="s">
        <v>656</v>
      </c>
      <c r="AF26" s="21">
        <v>0.0</v>
      </c>
      <c r="AG26" s="21" t="s">
        <v>656</v>
      </c>
      <c r="AM26" s="21">
        <v>0.0</v>
      </c>
      <c r="AN26" s="21" t="s">
        <v>994</v>
      </c>
      <c r="AT26" s="21" t="s">
        <v>659</v>
      </c>
      <c r="AU26" s="21" t="s">
        <v>660</v>
      </c>
      <c r="AV26" s="24">
        <v>45402.645833333336</v>
      </c>
      <c r="AW26" s="21" t="s">
        <v>656</v>
      </c>
      <c r="BC26" s="21" t="s">
        <v>704</v>
      </c>
      <c r="BE26" s="24">
        <v>44619.708333333336</v>
      </c>
      <c r="BF26" s="21" t="s">
        <v>704</v>
      </c>
      <c r="BH26" s="24">
        <v>44790.364583333336</v>
      </c>
      <c r="BI26" s="21">
        <v>0.0</v>
      </c>
      <c r="BJ26" s="24">
        <v>45402.645833333336</v>
      </c>
      <c r="BK26" s="24">
        <v>45402.645833333336</v>
      </c>
      <c r="BL26" s="24">
        <v>45402.645833333336</v>
      </c>
      <c r="BM26" s="21" t="s">
        <v>705</v>
      </c>
      <c r="BT26" s="21" t="s">
        <v>995</v>
      </c>
      <c r="BU26" s="21" t="s">
        <v>996</v>
      </c>
      <c r="CP26" s="21">
        <v>185.0</v>
      </c>
      <c r="CQ26" s="21" t="s">
        <v>708</v>
      </c>
      <c r="CV26" s="21" t="s">
        <v>997</v>
      </c>
      <c r="CW26" s="21" t="s">
        <v>998</v>
      </c>
      <c r="CX26" s="21">
        <v>550.0</v>
      </c>
      <c r="CY26" s="21" t="s">
        <v>711</v>
      </c>
      <c r="CZ26" s="21" t="s">
        <v>712</v>
      </c>
      <c r="DA26" s="21" t="s">
        <v>713</v>
      </c>
      <c r="DB26" s="21" t="s">
        <v>714</v>
      </c>
      <c r="DC26" s="21" t="s">
        <v>715</v>
      </c>
      <c r="DD26" s="21">
        <v>30.0</v>
      </c>
      <c r="DE26" s="21" t="s">
        <v>656</v>
      </c>
      <c r="DF26" s="21">
        <v>0.562</v>
      </c>
      <c r="DG26" s="21">
        <v>60000.0</v>
      </c>
      <c r="DH26" s="21" t="s">
        <v>895</v>
      </c>
      <c r="DI26" s="21" t="s">
        <v>848</v>
      </c>
      <c r="DK26" s="21" t="s">
        <v>999</v>
      </c>
      <c r="DL26" s="21" t="s">
        <v>696</v>
      </c>
      <c r="DM26" s="21" t="s">
        <v>1000</v>
      </c>
      <c r="DN26" s="21" t="s">
        <v>684</v>
      </c>
      <c r="EO26" s="21">
        <v>1975.0</v>
      </c>
      <c r="EP26" s="21">
        <v>1975.0</v>
      </c>
      <c r="EQ26" s="21" t="s">
        <v>674</v>
      </c>
      <c r="ES26" s="21" t="s">
        <v>675</v>
      </c>
      <c r="EV26" s="21" t="s">
        <v>718</v>
      </c>
      <c r="FC26" s="21" t="s">
        <v>677</v>
      </c>
      <c r="FD26" s="21" t="s">
        <v>656</v>
      </c>
      <c r="FF26" s="21">
        <v>717.0</v>
      </c>
      <c r="FH26" s="21" t="s">
        <v>656</v>
      </c>
      <c r="FI26" s="21" t="s">
        <v>656</v>
      </c>
      <c r="FL26" s="21" t="s">
        <v>656</v>
      </c>
      <c r="FO26" s="21">
        <v>0.0</v>
      </c>
      <c r="FP26" s="21">
        <v>0.0</v>
      </c>
      <c r="FQ26" s="21">
        <v>1871.0</v>
      </c>
      <c r="FR26" s="21">
        <v>750000.0</v>
      </c>
      <c r="FS26" s="21">
        <v>0.0</v>
      </c>
      <c r="FT26" s="21">
        <v>0.0</v>
      </c>
      <c r="FV26" s="21">
        <v>1.45</v>
      </c>
      <c r="FW26" s="21">
        <v>751871.0</v>
      </c>
      <c r="FX26" s="21">
        <v>0.0</v>
      </c>
      <c r="FY26" s="21">
        <v>0.0</v>
      </c>
      <c r="FZ26" s="21">
        <v>0.0</v>
      </c>
      <c r="GA26" s="21">
        <v>0.0</v>
      </c>
      <c r="GB26" s="21" t="s">
        <v>656</v>
      </c>
      <c r="GF26" s="21">
        <v>155.0</v>
      </c>
      <c r="GG26" s="21">
        <v>0.0</v>
      </c>
      <c r="GH26" s="21">
        <v>1200.0</v>
      </c>
      <c r="GI26" s="21" t="s">
        <v>719</v>
      </c>
      <c r="GK26" s="25">
        <v>27456.0</v>
      </c>
      <c r="GL26" s="21" t="s">
        <v>656</v>
      </c>
      <c r="GM26" s="21" t="s">
        <v>679</v>
      </c>
      <c r="GN26" s="21" t="s">
        <v>656</v>
      </c>
      <c r="GQ26" s="21" t="s">
        <v>656</v>
      </c>
      <c r="GS26" s="21" t="s">
        <v>720</v>
      </c>
      <c r="GT26" s="21" t="s">
        <v>720</v>
      </c>
      <c r="GU26" s="21">
        <v>318991.0</v>
      </c>
      <c r="GV26" s="21" t="s">
        <v>659</v>
      </c>
      <c r="HD26" s="21" t="s">
        <v>659</v>
      </c>
      <c r="HI26" s="21" t="s">
        <v>659</v>
      </c>
      <c r="HJ26" s="21" t="s">
        <v>1001</v>
      </c>
      <c r="HK26" s="21" t="s">
        <v>1002</v>
      </c>
      <c r="HL26" s="21" t="s">
        <v>659</v>
      </c>
      <c r="HM26" s="21" t="s">
        <v>659</v>
      </c>
      <c r="HN26" s="21" t="s">
        <v>659</v>
      </c>
      <c r="HO26" s="21" t="s">
        <v>656</v>
      </c>
      <c r="HP26" s="21" t="s">
        <v>656</v>
      </c>
      <c r="HQ26" s="21" t="s">
        <v>698</v>
      </c>
      <c r="HS26" s="21" t="s">
        <v>1003</v>
      </c>
      <c r="HT26" s="21" t="s">
        <v>723</v>
      </c>
      <c r="HU26" s="21" t="s">
        <v>1004</v>
      </c>
      <c r="IH26" s="21" t="s">
        <v>656</v>
      </c>
      <c r="II26" s="21" t="s">
        <v>656</v>
      </c>
      <c r="IN26" s="21" t="s">
        <v>683</v>
      </c>
      <c r="IO26" s="21" t="s">
        <v>684</v>
      </c>
      <c r="QS26" s="21" t="s">
        <v>684</v>
      </c>
      <c r="QU26" s="21" t="s">
        <v>685</v>
      </c>
      <c r="WL26" s="21" t="s">
        <v>729</v>
      </c>
      <c r="WN26" s="21" t="s">
        <v>731</v>
      </c>
      <c r="WO26" s="21" t="s">
        <v>990</v>
      </c>
      <c r="WT26" s="21" t="s">
        <v>689</v>
      </c>
      <c r="WU26" s="21" t="s">
        <v>991</v>
      </c>
      <c r="WV26" s="21" t="s">
        <v>906</v>
      </c>
      <c r="WW26" s="21" t="s">
        <v>690</v>
      </c>
      <c r="WX26" s="21" t="s">
        <v>1006</v>
      </c>
    </row>
    <row r="27">
      <c r="A27" s="21">
        <v>144.0</v>
      </c>
      <c r="B27" s="22">
        <v>45428.0</v>
      </c>
      <c r="C27" s="21">
        <v>2024.0</v>
      </c>
      <c r="D27" s="21">
        <v>2.024006E7</v>
      </c>
      <c r="E27" s="21">
        <v>39562.0</v>
      </c>
      <c r="F27" s="21" t="s">
        <v>650</v>
      </c>
      <c r="G27" s="21">
        <v>40069.0</v>
      </c>
      <c r="H27" s="21" t="s">
        <v>993</v>
      </c>
      <c r="I27" s="21" t="s">
        <v>652</v>
      </c>
      <c r="J27" s="21" t="s">
        <v>653</v>
      </c>
      <c r="K27" s="21" t="s">
        <v>654</v>
      </c>
      <c r="L27" s="21">
        <v>77002.0</v>
      </c>
      <c r="M27" s="23">
        <v>45402.393055555556</v>
      </c>
      <c r="N27" s="21" t="s">
        <v>655</v>
      </c>
      <c r="O27" s="21" t="s">
        <v>659</v>
      </c>
      <c r="P27" s="21">
        <v>28.2930556</v>
      </c>
      <c r="Q27" s="21">
        <v>-93.314444</v>
      </c>
      <c r="R27" s="21">
        <v>1396895.0</v>
      </c>
      <c r="S27" s="24">
        <v>45402.42916666667</v>
      </c>
      <c r="T27" s="21">
        <v>1397012.0</v>
      </c>
      <c r="U27" s="21" t="s">
        <v>657</v>
      </c>
      <c r="W27" s="21">
        <v>0.0</v>
      </c>
      <c r="X27" s="21">
        <v>1290.0</v>
      </c>
      <c r="Y27" s="21">
        <v>0.53</v>
      </c>
      <c r="Z27" s="21" t="s">
        <v>656</v>
      </c>
      <c r="AF27" s="21">
        <v>0.0</v>
      </c>
      <c r="AG27" s="21" t="s">
        <v>656</v>
      </c>
      <c r="AM27" s="21">
        <v>0.0</v>
      </c>
      <c r="AN27" s="21" t="s">
        <v>994</v>
      </c>
      <c r="AT27" s="21" t="s">
        <v>659</v>
      </c>
      <c r="AU27" s="21" t="s">
        <v>660</v>
      </c>
      <c r="AV27" s="24">
        <v>45402.393055555556</v>
      </c>
      <c r="AW27" s="21" t="s">
        <v>656</v>
      </c>
      <c r="BC27" s="21" t="s">
        <v>704</v>
      </c>
      <c r="BE27" s="24">
        <v>44619.708333333336</v>
      </c>
      <c r="BF27" s="21" t="s">
        <v>704</v>
      </c>
      <c r="BH27" s="24">
        <v>44790.364583333336</v>
      </c>
      <c r="BI27" s="21">
        <v>0.0</v>
      </c>
      <c r="BJ27" s="24">
        <v>45402.393055555556</v>
      </c>
      <c r="BK27" s="24">
        <v>45402.393055555556</v>
      </c>
      <c r="BL27" s="24">
        <v>45402.393055555556</v>
      </c>
      <c r="BM27" s="21" t="s">
        <v>705</v>
      </c>
      <c r="BT27" s="21" t="s">
        <v>995</v>
      </c>
      <c r="BU27" s="21" t="s">
        <v>1007</v>
      </c>
      <c r="CP27" s="21">
        <v>185.0</v>
      </c>
      <c r="CQ27" s="21" t="s">
        <v>708</v>
      </c>
      <c r="CV27" s="21" t="s">
        <v>997</v>
      </c>
      <c r="CW27" s="21" t="s">
        <v>998</v>
      </c>
      <c r="CX27" s="21">
        <v>550.0</v>
      </c>
      <c r="CY27" s="21" t="s">
        <v>711</v>
      </c>
      <c r="CZ27" s="21" t="s">
        <v>712</v>
      </c>
      <c r="DA27" s="21" t="s">
        <v>713</v>
      </c>
      <c r="DB27" s="21" t="s">
        <v>714</v>
      </c>
      <c r="DC27" s="21" t="s">
        <v>715</v>
      </c>
      <c r="DD27" s="21">
        <v>30.0</v>
      </c>
      <c r="DE27" s="21" t="s">
        <v>656</v>
      </c>
      <c r="DF27" s="21">
        <v>0.562</v>
      </c>
      <c r="DG27" s="21">
        <v>60000.0</v>
      </c>
      <c r="DH27" s="21" t="s">
        <v>895</v>
      </c>
      <c r="DI27" s="21" t="s">
        <v>848</v>
      </c>
      <c r="DK27" s="21" t="s">
        <v>999</v>
      </c>
      <c r="DL27" s="21" t="s">
        <v>696</v>
      </c>
      <c r="DM27" s="21" t="s">
        <v>1000</v>
      </c>
      <c r="DN27" s="21" t="s">
        <v>684</v>
      </c>
      <c r="EO27" s="21">
        <v>1975.0</v>
      </c>
      <c r="EP27" s="21">
        <v>1975.0</v>
      </c>
      <c r="EQ27" s="21" t="s">
        <v>674</v>
      </c>
      <c r="ES27" s="21" t="s">
        <v>675</v>
      </c>
      <c r="EV27" s="21" t="s">
        <v>718</v>
      </c>
      <c r="FC27" s="21" t="s">
        <v>677</v>
      </c>
      <c r="FD27" s="21" t="s">
        <v>656</v>
      </c>
      <c r="FF27" s="21">
        <v>717.0</v>
      </c>
      <c r="FH27" s="21" t="s">
        <v>656</v>
      </c>
      <c r="FI27" s="21" t="s">
        <v>656</v>
      </c>
      <c r="FL27" s="21" t="s">
        <v>656</v>
      </c>
      <c r="FO27" s="21">
        <v>0.0</v>
      </c>
      <c r="FP27" s="21">
        <v>0.0</v>
      </c>
      <c r="FQ27" s="21">
        <v>0.0</v>
      </c>
      <c r="FR27" s="21">
        <v>750000.0</v>
      </c>
      <c r="FS27" s="21">
        <v>0.0</v>
      </c>
      <c r="FT27" s="21">
        <v>0.0</v>
      </c>
      <c r="FV27" s="21">
        <v>1.45</v>
      </c>
      <c r="FW27" s="21">
        <v>750000.0</v>
      </c>
      <c r="FX27" s="21">
        <v>0.0</v>
      </c>
      <c r="FY27" s="21">
        <v>0.0</v>
      </c>
      <c r="FZ27" s="21">
        <v>0.0</v>
      </c>
      <c r="GA27" s="21">
        <v>0.0</v>
      </c>
      <c r="GB27" s="21" t="s">
        <v>656</v>
      </c>
      <c r="GF27" s="21">
        <v>155.0</v>
      </c>
      <c r="GG27" s="21">
        <v>0.0</v>
      </c>
      <c r="GH27" s="21">
        <v>1200.0</v>
      </c>
      <c r="GI27" s="21" t="s">
        <v>719</v>
      </c>
      <c r="GK27" s="25">
        <v>27456.0</v>
      </c>
      <c r="GL27" s="21" t="s">
        <v>656</v>
      </c>
      <c r="GM27" s="21" t="s">
        <v>679</v>
      </c>
      <c r="GN27" s="21" t="s">
        <v>656</v>
      </c>
      <c r="GQ27" s="21" t="s">
        <v>656</v>
      </c>
      <c r="GS27" s="21" t="s">
        <v>720</v>
      </c>
      <c r="GT27" s="21" t="s">
        <v>720</v>
      </c>
      <c r="GU27" s="21">
        <v>318991.0</v>
      </c>
      <c r="GV27" s="21" t="s">
        <v>659</v>
      </c>
      <c r="HD27" s="21" t="s">
        <v>659</v>
      </c>
      <c r="HI27" s="21" t="s">
        <v>659</v>
      </c>
      <c r="HJ27" s="21" t="s">
        <v>1001</v>
      </c>
      <c r="HK27" s="21" t="s">
        <v>1002</v>
      </c>
      <c r="HL27" s="21" t="s">
        <v>659</v>
      </c>
      <c r="HM27" s="21" t="s">
        <v>659</v>
      </c>
      <c r="HN27" s="21" t="s">
        <v>659</v>
      </c>
      <c r="HO27" s="21" t="s">
        <v>656</v>
      </c>
      <c r="HP27" s="21" t="s">
        <v>656</v>
      </c>
      <c r="HQ27" s="21" t="s">
        <v>698</v>
      </c>
      <c r="HS27" s="21" t="s">
        <v>1003</v>
      </c>
      <c r="HT27" s="21" t="s">
        <v>723</v>
      </c>
      <c r="HU27" s="21" t="s">
        <v>1004</v>
      </c>
      <c r="IH27" s="21" t="s">
        <v>656</v>
      </c>
      <c r="II27" s="21" t="s">
        <v>656</v>
      </c>
      <c r="IN27" s="21" t="s">
        <v>683</v>
      </c>
      <c r="IO27" s="21" t="s">
        <v>684</v>
      </c>
      <c r="QS27" s="21" t="s">
        <v>684</v>
      </c>
      <c r="QU27" s="21" t="s">
        <v>685</v>
      </c>
      <c r="WL27" s="21" t="s">
        <v>729</v>
      </c>
      <c r="WM27" s="21" t="s">
        <v>872</v>
      </c>
      <c r="WN27" s="21" t="s">
        <v>731</v>
      </c>
      <c r="WO27" s="21" t="s">
        <v>990</v>
      </c>
      <c r="WT27" s="21" t="s">
        <v>689</v>
      </c>
      <c r="WU27" s="21" t="s">
        <v>991</v>
      </c>
      <c r="WV27" s="21" t="s">
        <v>906</v>
      </c>
      <c r="WW27" s="21" t="s">
        <v>690</v>
      </c>
      <c r="WX27" s="21" t="s">
        <v>1008</v>
      </c>
    </row>
    <row r="28">
      <c r="A28" s="21">
        <v>145.0</v>
      </c>
      <c r="B28" s="22">
        <v>45428.0</v>
      </c>
      <c r="C28" s="21">
        <v>2024.0</v>
      </c>
      <c r="D28" s="21">
        <v>2.0240059E7</v>
      </c>
      <c r="E28" s="21">
        <v>39561.0</v>
      </c>
      <c r="F28" s="21" t="s">
        <v>650</v>
      </c>
      <c r="G28" s="21">
        <v>40069.0</v>
      </c>
      <c r="H28" s="21" t="s">
        <v>993</v>
      </c>
      <c r="I28" s="21" t="s">
        <v>652</v>
      </c>
      <c r="J28" s="21" t="s">
        <v>653</v>
      </c>
      <c r="K28" s="21" t="s">
        <v>654</v>
      </c>
      <c r="L28" s="21">
        <v>77002.0</v>
      </c>
      <c r="M28" s="23">
        <v>45401.745833333334</v>
      </c>
      <c r="N28" s="21" t="s">
        <v>655</v>
      </c>
      <c r="O28" s="21" t="s">
        <v>659</v>
      </c>
      <c r="P28" s="21">
        <v>28.2263889</v>
      </c>
      <c r="Q28" s="21">
        <v>-93.35416666</v>
      </c>
      <c r="R28" s="21">
        <v>1396880.0</v>
      </c>
      <c r="S28" s="24">
        <v>45401.77847222222</v>
      </c>
      <c r="T28" s="21">
        <v>1397010.0</v>
      </c>
      <c r="U28" s="21" t="s">
        <v>657</v>
      </c>
      <c r="W28" s="21">
        <v>0.0</v>
      </c>
      <c r="X28" s="21">
        <v>1290.0</v>
      </c>
      <c r="Y28" s="21">
        <v>0.17</v>
      </c>
      <c r="Z28" s="21" t="s">
        <v>656</v>
      </c>
      <c r="AF28" s="21">
        <v>0.0</v>
      </c>
      <c r="AG28" s="21" t="s">
        <v>656</v>
      </c>
      <c r="AM28" s="21">
        <v>0.0</v>
      </c>
      <c r="AN28" s="21" t="s">
        <v>994</v>
      </c>
      <c r="AT28" s="21" t="s">
        <v>659</v>
      </c>
      <c r="AU28" s="21" t="s">
        <v>660</v>
      </c>
      <c r="AV28" s="24">
        <v>45401.745833333334</v>
      </c>
      <c r="AW28" s="21" t="s">
        <v>656</v>
      </c>
      <c r="BC28" s="21" t="s">
        <v>704</v>
      </c>
      <c r="BE28" s="24">
        <v>44619.708333333336</v>
      </c>
      <c r="BF28" s="21" t="s">
        <v>704</v>
      </c>
      <c r="BH28" s="24">
        <v>44790.364583333336</v>
      </c>
      <c r="BI28" s="21">
        <v>0.0</v>
      </c>
      <c r="BJ28" s="24">
        <v>45401.745833333334</v>
      </c>
      <c r="BK28" s="24">
        <v>45401.745833333334</v>
      </c>
      <c r="BL28" s="24">
        <v>45401.745833333334</v>
      </c>
      <c r="BM28" s="21" t="s">
        <v>705</v>
      </c>
      <c r="BT28" s="21" t="s">
        <v>995</v>
      </c>
      <c r="BU28" s="21" t="s">
        <v>996</v>
      </c>
      <c r="CP28" s="21">
        <v>185.0</v>
      </c>
      <c r="CQ28" s="21" t="s">
        <v>708</v>
      </c>
      <c r="CV28" s="21" t="s">
        <v>997</v>
      </c>
      <c r="CW28" s="21" t="s">
        <v>998</v>
      </c>
      <c r="CX28" s="21">
        <v>564.0</v>
      </c>
      <c r="CY28" s="21" t="s">
        <v>711</v>
      </c>
      <c r="CZ28" s="21" t="s">
        <v>712</v>
      </c>
      <c r="DA28" s="21" t="s">
        <v>713</v>
      </c>
      <c r="DB28" s="21" t="s">
        <v>714</v>
      </c>
      <c r="DC28" s="21" t="s">
        <v>715</v>
      </c>
      <c r="DD28" s="21">
        <v>30.0</v>
      </c>
      <c r="DE28" s="21" t="s">
        <v>656</v>
      </c>
      <c r="DF28" s="21">
        <v>0.562</v>
      </c>
      <c r="DG28" s="21">
        <v>60000.0</v>
      </c>
      <c r="DH28" s="21" t="s">
        <v>895</v>
      </c>
      <c r="DI28" s="21" t="s">
        <v>848</v>
      </c>
      <c r="DK28" s="21" t="s">
        <v>999</v>
      </c>
      <c r="DL28" s="21" t="s">
        <v>696</v>
      </c>
      <c r="DM28" s="21" t="s">
        <v>1000</v>
      </c>
      <c r="DN28" s="21" t="s">
        <v>684</v>
      </c>
      <c r="EO28" s="21">
        <v>1975.0</v>
      </c>
      <c r="EP28" s="21">
        <v>1975.0</v>
      </c>
      <c r="EQ28" s="21" t="s">
        <v>674</v>
      </c>
      <c r="ES28" s="21" t="s">
        <v>675</v>
      </c>
      <c r="EV28" s="21" t="s">
        <v>718</v>
      </c>
      <c r="FC28" s="21" t="s">
        <v>677</v>
      </c>
      <c r="FD28" s="21" t="s">
        <v>656</v>
      </c>
      <c r="FF28" s="21">
        <v>717.0</v>
      </c>
      <c r="FH28" s="21" t="s">
        <v>656</v>
      </c>
      <c r="FI28" s="21" t="s">
        <v>656</v>
      </c>
      <c r="FL28" s="21" t="s">
        <v>656</v>
      </c>
      <c r="FO28" s="21">
        <v>0.0</v>
      </c>
      <c r="FP28" s="21">
        <v>0.0</v>
      </c>
      <c r="FQ28" s="21">
        <v>2025.0</v>
      </c>
      <c r="FR28" s="21">
        <v>750000.0</v>
      </c>
      <c r="FS28" s="21">
        <v>0.0</v>
      </c>
      <c r="FT28" s="21">
        <v>0.0</v>
      </c>
      <c r="FV28" s="21">
        <v>1.57</v>
      </c>
      <c r="FW28" s="21">
        <v>752025.0</v>
      </c>
      <c r="FX28" s="21">
        <v>0.0</v>
      </c>
      <c r="FY28" s="21">
        <v>0.0</v>
      </c>
      <c r="FZ28" s="21">
        <v>0.0</v>
      </c>
      <c r="GA28" s="21">
        <v>0.0</v>
      </c>
      <c r="GB28" s="21" t="s">
        <v>656</v>
      </c>
      <c r="GF28" s="21">
        <v>160.0</v>
      </c>
      <c r="GG28" s="21">
        <v>0.0</v>
      </c>
      <c r="GH28" s="21">
        <v>1200.0</v>
      </c>
      <c r="GI28" s="21" t="s">
        <v>719</v>
      </c>
      <c r="GK28" s="25">
        <v>27456.0</v>
      </c>
      <c r="GL28" s="21" t="s">
        <v>656</v>
      </c>
      <c r="GM28" s="21" t="s">
        <v>679</v>
      </c>
      <c r="GN28" s="21" t="s">
        <v>656</v>
      </c>
      <c r="GQ28" s="21" t="s">
        <v>656</v>
      </c>
      <c r="GS28" s="21" t="s">
        <v>720</v>
      </c>
      <c r="GT28" s="21" t="s">
        <v>720</v>
      </c>
      <c r="GU28" s="21">
        <v>318991.0</v>
      </c>
      <c r="GV28" s="21" t="s">
        <v>659</v>
      </c>
      <c r="HD28" s="21" t="s">
        <v>659</v>
      </c>
      <c r="HI28" s="21" t="s">
        <v>659</v>
      </c>
      <c r="HJ28" s="21" t="s">
        <v>1001</v>
      </c>
      <c r="HK28" s="21" t="s">
        <v>1002</v>
      </c>
      <c r="HL28" s="21" t="s">
        <v>659</v>
      </c>
      <c r="HM28" s="21" t="s">
        <v>659</v>
      </c>
      <c r="HN28" s="21" t="s">
        <v>659</v>
      </c>
      <c r="HO28" s="21" t="s">
        <v>656</v>
      </c>
      <c r="HP28" s="21" t="s">
        <v>656</v>
      </c>
      <c r="HQ28" s="21" t="s">
        <v>698</v>
      </c>
      <c r="HS28" s="21" t="s">
        <v>1003</v>
      </c>
      <c r="HT28" s="21" t="s">
        <v>723</v>
      </c>
      <c r="HU28" s="21" t="s">
        <v>1004</v>
      </c>
      <c r="IH28" s="21" t="s">
        <v>656</v>
      </c>
      <c r="II28" s="21" t="s">
        <v>656</v>
      </c>
      <c r="IN28" s="21" t="s">
        <v>683</v>
      </c>
      <c r="IO28" s="21" t="s">
        <v>684</v>
      </c>
      <c r="QS28" s="21" t="s">
        <v>684</v>
      </c>
      <c r="QU28" s="21" t="s">
        <v>685</v>
      </c>
      <c r="WL28" s="21" t="s">
        <v>729</v>
      </c>
      <c r="WM28" s="21" t="s">
        <v>872</v>
      </c>
      <c r="WN28" s="21" t="s">
        <v>731</v>
      </c>
      <c r="WO28" s="21" t="s">
        <v>990</v>
      </c>
      <c r="WT28" s="21" t="s">
        <v>689</v>
      </c>
      <c r="WU28" s="21" t="s">
        <v>991</v>
      </c>
      <c r="WV28" s="21" t="s">
        <v>906</v>
      </c>
      <c r="WW28" s="21" t="s">
        <v>690</v>
      </c>
      <c r="WX28" s="21" t="s">
        <v>1009</v>
      </c>
    </row>
    <row r="29">
      <c r="A29" s="21">
        <v>146.0</v>
      </c>
      <c r="B29" s="22">
        <v>45429.0</v>
      </c>
      <c r="C29" s="21">
        <v>2024.0</v>
      </c>
      <c r="D29" s="21">
        <v>2.0240062E7</v>
      </c>
      <c r="E29" s="21">
        <v>39877.0</v>
      </c>
      <c r="F29" s="21" t="s">
        <v>778</v>
      </c>
      <c r="G29" s="21">
        <v>32099.0</v>
      </c>
      <c r="H29" s="21" t="s">
        <v>651</v>
      </c>
      <c r="I29" s="21" t="s">
        <v>652</v>
      </c>
      <c r="J29" s="21" t="s">
        <v>653</v>
      </c>
      <c r="K29" s="21" t="s">
        <v>654</v>
      </c>
      <c r="L29" s="21">
        <v>77002.0</v>
      </c>
      <c r="M29" s="23">
        <v>45399.5</v>
      </c>
      <c r="N29" s="21" t="s">
        <v>655</v>
      </c>
      <c r="O29" s="21" t="s">
        <v>659</v>
      </c>
      <c r="P29" s="21">
        <v>28.122918</v>
      </c>
      <c r="Q29" s="21">
        <v>-99.967259</v>
      </c>
      <c r="R29" s="21">
        <v>1396678.0</v>
      </c>
      <c r="S29" s="24">
        <v>45399.62291666667</v>
      </c>
      <c r="T29" s="21">
        <v>1396848.0</v>
      </c>
      <c r="U29" s="21" t="s">
        <v>657</v>
      </c>
      <c r="W29" s="21">
        <v>22.0</v>
      </c>
      <c r="X29" s="21">
        <v>121.4</v>
      </c>
      <c r="Y29" s="21">
        <v>850.0</v>
      </c>
      <c r="Z29" s="21" t="s">
        <v>656</v>
      </c>
      <c r="AF29" s="21">
        <v>0.0</v>
      </c>
      <c r="AG29" s="21" t="s">
        <v>656</v>
      </c>
      <c r="AM29" s="21">
        <v>0.0</v>
      </c>
      <c r="AN29" s="21" t="s">
        <v>658</v>
      </c>
      <c r="AO29" s="21" t="s">
        <v>659</v>
      </c>
      <c r="AQ29" s="24">
        <v>45399.58541666667</v>
      </c>
      <c r="AR29" s="24">
        <v>45411.745833333334</v>
      </c>
      <c r="AT29" s="21" t="s">
        <v>656</v>
      </c>
      <c r="AW29" s="21" t="s">
        <v>656</v>
      </c>
      <c r="BC29" s="21" t="s">
        <v>704</v>
      </c>
      <c r="BE29" s="24">
        <v>45399.555555555555</v>
      </c>
      <c r="BF29" s="21" t="s">
        <v>704</v>
      </c>
      <c r="BH29" s="24">
        <v>45399.52291666667</v>
      </c>
      <c r="BI29" s="21">
        <v>0.0</v>
      </c>
      <c r="BJ29" s="24">
        <v>45399.5</v>
      </c>
      <c r="BK29" s="24">
        <v>45399.50347222222</v>
      </c>
      <c r="BL29" s="24">
        <v>45399.614583333336</v>
      </c>
      <c r="BM29" s="21" t="s">
        <v>662</v>
      </c>
      <c r="BN29" s="21" t="s">
        <v>654</v>
      </c>
      <c r="BO29" s="21">
        <v>78045.0</v>
      </c>
      <c r="BP29" s="21" t="s">
        <v>1010</v>
      </c>
      <c r="BQ29" s="21" t="s">
        <v>822</v>
      </c>
      <c r="BR29" s="21" t="s">
        <v>665</v>
      </c>
      <c r="BT29" s="21" t="s">
        <v>1011</v>
      </c>
      <c r="BU29" s="21" t="s">
        <v>1011</v>
      </c>
      <c r="BV29" s="21" t="s">
        <v>656</v>
      </c>
      <c r="BW29" s="21" t="s">
        <v>738</v>
      </c>
      <c r="BX29" s="21" t="s">
        <v>739</v>
      </c>
      <c r="BY29" s="21" t="s">
        <v>740</v>
      </c>
      <c r="CA29" s="21">
        <v>72.0</v>
      </c>
      <c r="CB29" s="21" t="s">
        <v>656</v>
      </c>
      <c r="CC29" s="21" t="s">
        <v>656</v>
      </c>
      <c r="CZ29" s="21" t="s">
        <v>671</v>
      </c>
      <c r="DA29" s="21" t="s">
        <v>741</v>
      </c>
      <c r="DB29" s="21" t="s">
        <v>714</v>
      </c>
      <c r="DC29" s="21" t="s">
        <v>715</v>
      </c>
      <c r="DD29" s="21">
        <v>12.0</v>
      </c>
      <c r="DE29" s="21" t="s">
        <v>656</v>
      </c>
      <c r="DF29" s="21">
        <v>0.25</v>
      </c>
      <c r="DG29" s="21">
        <v>52000.0</v>
      </c>
      <c r="DH29" s="21" t="s">
        <v>964</v>
      </c>
      <c r="DI29" s="21" t="s">
        <v>771</v>
      </c>
      <c r="DK29" s="21" t="s">
        <v>1012</v>
      </c>
      <c r="DL29" s="21" t="s">
        <v>824</v>
      </c>
      <c r="DN29" s="21" t="s">
        <v>684</v>
      </c>
      <c r="EO29" s="21">
        <v>2011.0</v>
      </c>
      <c r="EP29" s="21">
        <v>2011.0</v>
      </c>
      <c r="EQ29" s="21" t="s">
        <v>674</v>
      </c>
      <c r="ES29" s="21" t="s">
        <v>675</v>
      </c>
      <c r="EV29" s="21" t="s">
        <v>718</v>
      </c>
      <c r="FC29" s="21" t="s">
        <v>677</v>
      </c>
      <c r="FD29" s="21" t="s">
        <v>656</v>
      </c>
      <c r="FF29" s="21">
        <v>660.0</v>
      </c>
      <c r="FH29" s="21" t="s">
        <v>656</v>
      </c>
      <c r="FI29" s="21" t="s">
        <v>656</v>
      </c>
      <c r="FL29" s="21" t="s">
        <v>656</v>
      </c>
      <c r="FO29" s="21">
        <v>20000.0</v>
      </c>
      <c r="FP29" s="21">
        <v>37.0</v>
      </c>
      <c r="FQ29" s="21">
        <v>204.0</v>
      </c>
      <c r="FR29" s="21">
        <v>130200.0</v>
      </c>
      <c r="FS29" s="21">
        <v>0.0</v>
      </c>
      <c r="FT29" s="21">
        <v>0.0</v>
      </c>
      <c r="FV29" s="21">
        <v>1.68</v>
      </c>
      <c r="FW29" s="21">
        <v>150441.0</v>
      </c>
      <c r="FX29" s="21">
        <v>0.0</v>
      </c>
      <c r="FY29" s="21">
        <v>0.0</v>
      </c>
      <c r="FZ29" s="21">
        <v>0.0</v>
      </c>
      <c r="GA29" s="21">
        <v>0.0</v>
      </c>
      <c r="GB29" s="21" t="s">
        <v>656</v>
      </c>
      <c r="GF29" s="21">
        <v>280.0</v>
      </c>
      <c r="GG29" s="21">
        <v>6045.0</v>
      </c>
      <c r="GH29" s="21">
        <v>1440.0</v>
      </c>
      <c r="GI29" s="21" t="s">
        <v>774</v>
      </c>
      <c r="GK29" s="25">
        <v>40827.0</v>
      </c>
      <c r="GL29" s="21" t="s">
        <v>656</v>
      </c>
      <c r="GM29" s="21" t="s">
        <v>679</v>
      </c>
      <c r="GN29" s="21" t="s">
        <v>656</v>
      </c>
      <c r="GQ29" s="21" t="s">
        <v>656</v>
      </c>
      <c r="GS29" s="21" t="s">
        <v>720</v>
      </c>
      <c r="GT29" s="21" t="s">
        <v>720</v>
      </c>
      <c r="GU29" s="21">
        <v>14784.0</v>
      </c>
      <c r="GV29" s="21" t="s">
        <v>659</v>
      </c>
      <c r="HD29" s="21" t="s">
        <v>656</v>
      </c>
      <c r="HK29" s="21" t="s">
        <v>680</v>
      </c>
      <c r="HL29" s="21" t="s">
        <v>656</v>
      </c>
      <c r="HQ29" s="21" t="s">
        <v>696</v>
      </c>
      <c r="HR29" s="21" t="s">
        <v>1013</v>
      </c>
      <c r="HT29" s="21" t="s">
        <v>682</v>
      </c>
      <c r="IH29" s="21" t="s">
        <v>656</v>
      </c>
      <c r="II29" s="21" t="s">
        <v>656</v>
      </c>
      <c r="IN29" s="21" t="s">
        <v>725</v>
      </c>
      <c r="IO29" s="21" t="s">
        <v>726</v>
      </c>
      <c r="IP29" s="21" t="s">
        <v>726</v>
      </c>
      <c r="JT29" s="21" t="s">
        <v>1014</v>
      </c>
      <c r="JZ29" s="21" t="s">
        <v>659</v>
      </c>
      <c r="KA29" s="21" t="s">
        <v>1015</v>
      </c>
      <c r="KC29" s="21" t="s">
        <v>659</v>
      </c>
      <c r="KF29" s="21" t="s">
        <v>659</v>
      </c>
      <c r="KL29" s="21" t="s">
        <v>656</v>
      </c>
      <c r="KM29" s="21" t="s">
        <v>656</v>
      </c>
      <c r="KN29" s="21" t="s">
        <v>656</v>
      </c>
      <c r="KO29" s="21" t="s">
        <v>659</v>
      </c>
      <c r="QW29" s="21" t="s">
        <v>656</v>
      </c>
      <c r="TI29" s="21" t="s">
        <v>656</v>
      </c>
      <c r="TL29" s="21" t="s">
        <v>656</v>
      </c>
      <c r="TZ29" s="21" t="s">
        <v>656</v>
      </c>
      <c r="WL29" s="21" t="s">
        <v>791</v>
      </c>
      <c r="WM29" s="21" t="s">
        <v>872</v>
      </c>
      <c r="WN29" s="21" t="s">
        <v>792</v>
      </c>
      <c r="WO29" s="21" t="s">
        <v>1016</v>
      </c>
      <c r="WT29" s="21" t="s">
        <v>689</v>
      </c>
      <c r="WU29" s="21" t="s">
        <v>991</v>
      </c>
      <c r="WV29" s="21" t="s">
        <v>906</v>
      </c>
      <c r="WW29" s="21" t="s">
        <v>690</v>
      </c>
      <c r="WX29" s="21" t="s">
        <v>1017</v>
      </c>
    </row>
    <row r="30">
      <c r="A30" s="21">
        <v>149.0</v>
      </c>
      <c r="B30" s="22">
        <v>45426.0</v>
      </c>
      <c r="C30" s="21">
        <v>2024.0</v>
      </c>
      <c r="D30" s="21">
        <v>2.0240055E7</v>
      </c>
      <c r="E30" s="21">
        <v>39876.0</v>
      </c>
      <c r="F30" s="21" t="s">
        <v>778</v>
      </c>
      <c r="G30" s="21">
        <v>32099.0</v>
      </c>
      <c r="H30" s="21" t="s">
        <v>651</v>
      </c>
      <c r="I30" s="21" t="s">
        <v>652</v>
      </c>
      <c r="J30" s="21" t="s">
        <v>653</v>
      </c>
      <c r="K30" s="21" t="s">
        <v>654</v>
      </c>
      <c r="L30" s="21">
        <v>77002.0</v>
      </c>
      <c r="M30" s="23">
        <v>45396.40416666667</v>
      </c>
      <c r="N30" s="21" t="s">
        <v>655</v>
      </c>
      <c r="O30" s="21" t="s">
        <v>659</v>
      </c>
      <c r="P30" s="21">
        <v>28.069722</v>
      </c>
      <c r="Q30" s="21">
        <v>-99.934444</v>
      </c>
      <c r="R30" s="21">
        <v>1396451.0</v>
      </c>
      <c r="S30" s="24">
        <v>45397.419444444444</v>
      </c>
      <c r="T30" s="21">
        <v>1396630.0</v>
      </c>
      <c r="U30" s="21" t="s">
        <v>657</v>
      </c>
      <c r="W30" s="21">
        <v>17.0</v>
      </c>
      <c r="X30" s="21">
        <v>5.5</v>
      </c>
      <c r="Y30" s="21">
        <v>185.0</v>
      </c>
      <c r="Z30" s="21" t="s">
        <v>656</v>
      </c>
      <c r="AF30" s="21">
        <v>0.0</v>
      </c>
      <c r="AG30" s="21" t="s">
        <v>656</v>
      </c>
      <c r="AM30" s="21">
        <v>0.0</v>
      </c>
      <c r="AN30" s="21" t="s">
        <v>658</v>
      </c>
      <c r="AO30" s="21" t="s">
        <v>659</v>
      </c>
      <c r="AQ30" s="24">
        <v>45396.46597222222</v>
      </c>
      <c r="AR30" s="24">
        <v>45399.438888888886</v>
      </c>
      <c r="AT30" s="21" t="s">
        <v>656</v>
      </c>
      <c r="AW30" s="21" t="s">
        <v>656</v>
      </c>
      <c r="BC30" s="21" t="s">
        <v>704</v>
      </c>
      <c r="BE30" s="24">
        <v>45396.46597222222</v>
      </c>
      <c r="BF30" s="21" t="s">
        <v>704</v>
      </c>
      <c r="BH30" s="24">
        <v>45396.46597222222</v>
      </c>
      <c r="BI30" s="21">
        <v>0.0</v>
      </c>
      <c r="BJ30" s="24">
        <v>45396.40416666667</v>
      </c>
      <c r="BK30" s="24">
        <v>45396.458333333336</v>
      </c>
      <c r="BL30" s="24">
        <v>45397.375</v>
      </c>
      <c r="BM30" s="21" t="s">
        <v>662</v>
      </c>
      <c r="BN30" s="21" t="s">
        <v>654</v>
      </c>
      <c r="BO30" s="21">
        <v>78045.0</v>
      </c>
      <c r="BP30" s="21" t="s">
        <v>1010</v>
      </c>
      <c r="BQ30" s="21" t="s">
        <v>822</v>
      </c>
      <c r="BR30" s="21" t="s">
        <v>665</v>
      </c>
      <c r="BT30" s="21" t="s">
        <v>1018</v>
      </c>
      <c r="BU30" s="21" t="s">
        <v>1018</v>
      </c>
      <c r="BV30" s="21" t="s">
        <v>656</v>
      </c>
      <c r="BW30" s="21" t="s">
        <v>738</v>
      </c>
      <c r="BX30" s="21" t="s">
        <v>739</v>
      </c>
      <c r="BY30" s="21" t="s">
        <v>740</v>
      </c>
      <c r="CA30" s="21">
        <v>42.0</v>
      </c>
      <c r="CB30" s="21" t="s">
        <v>656</v>
      </c>
      <c r="CC30" s="21" t="s">
        <v>656</v>
      </c>
      <c r="CZ30" s="21" t="s">
        <v>671</v>
      </c>
      <c r="DA30" s="21" t="s">
        <v>741</v>
      </c>
      <c r="DB30" s="21" t="s">
        <v>714</v>
      </c>
      <c r="DC30" s="21" t="s">
        <v>715</v>
      </c>
      <c r="DD30" s="21">
        <v>10.0</v>
      </c>
      <c r="DE30" s="21" t="s">
        <v>656</v>
      </c>
      <c r="DF30" s="21">
        <v>0.25</v>
      </c>
      <c r="DG30" s="21">
        <v>52000.0</v>
      </c>
      <c r="DH30" s="21" t="s">
        <v>964</v>
      </c>
      <c r="DI30" s="21" t="s">
        <v>771</v>
      </c>
      <c r="DK30" s="21" t="s">
        <v>1019</v>
      </c>
      <c r="DL30" s="21" t="s">
        <v>824</v>
      </c>
      <c r="DN30" s="21" t="s">
        <v>656</v>
      </c>
      <c r="EO30" s="21">
        <v>2016.0</v>
      </c>
      <c r="EP30" s="21">
        <v>2014.0</v>
      </c>
      <c r="EQ30" s="21" t="s">
        <v>674</v>
      </c>
      <c r="ES30" s="21" t="s">
        <v>675</v>
      </c>
      <c r="EV30" s="21" t="s">
        <v>718</v>
      </c>
      <c r="FC30" s="21" t="s">
        <v>677</v>
      </c>
      <c r="FD30" s="21" t="s">
        <v>656</v>
      </c>
      <c r="FF30" s="21">
        <v>660.0</v>
      </c>
      <c r="FH30" s="21" t="s">
        <v>656</v>
      </c>
      <c r="FI30" s="21" t="s">
        <v>656</v>
      </c>
      <c r="FL30" s="21" t="s">
        <v>656</v>
      </c>
      <c r="FO30" s="21">
        <v>40000.0</v>
      </c>
      <c r="FP30" s="21">
        <v>29.0</v>
      </c>
      <c r="FQ30" s="21">
        <v>9.0</v>
      </c>
      <c r="FR30" s="21">
        <v>156000.0</v>
      </c>
      <c r="FS30" s="21">
        <v>0.0</v>
      </c>
      <c r="FT30" s="21">
        <v>0.0</v>
      </c>
      <c r="FV30" s="21">
        <v>1.68</v>
      </c>
      <c r="FW30" s="21">
        <v>196038.0</v>
      </c>
      <c r="FX30" s="21">
        <v>0.0</v>
      </c>
      <c r="FY30" s="21">
        <v>0.0</v>
      </c>
      <c r="FZ30" s="21">
        <v>0.0</v>
      </c>
      <c r="GA30" s="21">
        <v>0.0</v>
      </c>
      <c r="GB30" s="21" t="s">
        <v>656</v>
      </c>
      <c r="GF30" s="21">
        <v>138.0</v>
      </c>
      <c r="GG30" s="21">
        <v>3000.0</v>
      </c>
      <c r="GH30" s="21">
        <v>1440.0</v>
      </c>
      <c r="GI30" s="21" t="s">
        <v>774</v>
      </c>
      <c r="GK30" s="25">
        <v>42492.0</v>
      </c>
      <c r="GL30" s="21" t="s">
        <v>656</v>
      </c>
      <c r="GM30" s="21" t="s">
        <v>679</v>
      </c>
      <c r="GN30" s="21" t="s">
        <v>656</v>
      </c>
      <c r="GQ30" s="21" t="s">
        <v>656</v>
      </c>
      <c r="GS30" s="21" t="s">
        <v>720</v>
      </c>
      <c r="GT30" s="21" t="s">
        <v>720</v>
      </c>
      <c r="GU30" s="21">
        <v>1035.0</v>
      </c>
      <c r="GV30" s="21" t="s">
        <v>656</v>
      </c>
      <c r="GX30" s="21" t="s">
        <v>659</v>
      </c>
      <c r="HD30" s="21" t="s">
        <v>656</v>
      </c>
      <c r="HK30" s="21" t="s">
        <v>680</v>
      </c>
      <c r="HL30" s="21" t="s">
        <v>656</v>
      </c>
      <c r="HQ30" s="21" t="s">
        <v>696</v>
      </c>
      <c r="HR30" s="21" t="s">
        <v>1013</v>
      </c>
      <c r="HT30" s="21" t="s">
        <v>682</v>
      </c>
      <c r="IH30" s="21" t="s">
        <v>656</v>
      </c>
      <c r="II30" s="21" t="s">
        <v>656</v>
      </c>
      <c r="IN30" s="21" t="s">
        <v>725</v>
      </c>
      <c r="IO30" s="21" t="s">
        <v>726</v>
      </c>
      <c r="IP30" s="21" t="s">
        <v>726</v>
      </c>
      <c r="JT30" s="21" t="s">
        <v>1014</v>
      </c>
      <c r="JZ30" s="21" t="s">
        <v>659</v>
      </c>
      <c r="KA30" s="21" t="s">
        <v>1015</v>
      </c>
      <c r="KC30" s="21" t="s">
        <v>659</v>
      </c>
      <c r="KF30" s="21" t="s">
        <v>659</v>
      </c>
      <c r="KL30" s="21" t="s">
        <v>659</v>
      </c>
      <c r="KM30" s="21" t="s">
        <v>656</v>
      </c>
      <c r="KN30" s="21" t="s">
        <v>728</v>
      </c>
      <c r="KO30" s="21" t="s">
        <v>728</v>
      </c>
      <c r="QW30" s="21" t="s">
        <v>656</v>
      </c>
      <c r="TI30" s="21" t="s">
        <v>656</v>
      </c>
      <c r="TL30" s="21" t="s">
        <v>656</v>
      </c>
      <c r="TZ30" s="21" t="s">
        <v>656</v>
      </c>
      <c r="WL30" s="21" t="s">
        <v>791</v>
      </c>
      <c r="WM30" s="21" t="s">
        <v>872</v>
      </c>
      <c r="WN30" s="21" t="s">
        <v>792</v>
      </c>
      <c r="WO30" s="21" t="s">
        <v>1016</v>
      </c>
      <c r="WT30" s="21" t="s">
        <v>689</v>
      </c>
      <c r="WU30" s="21" t="s">
        <v>991</v>
      </c>
      <c r="WV30" s="21" t="s">
        <v>906</v>
      </c>
      <c r="WW30" s="21" t="s">
        <v>690</v>
      </c>
      <c r="WX30" s="21" t="s">
        <v>1020</v>
      </c>
    </row>
    <row r="31">
      <c r="A31" s="21">
        <v>150.0</v>
      </c>
      <c r="B31" s="22">
        <v>45414.0</v>
      </c>
      <c r="C31" s="21">
        <v>2024.0</v>
      </c>
      <c r="D31" s="21">
        <v>2.0240052E7</v>
      </c>
      <c r="E31" s="21">
        <v>39720.0</v>
      </c>
      <c r="F31" s="21" t="s">
        <v>778</v>
      </c>
      <c r="G31" s="21">
        <v>32099.0</v>
      </c>
      <c r="H31" s="21" t="s">
        <v>651</v>
      </c>
      <c r="I31" s="21" t="s">
        <v>652</v>
      </c>
      <c r="J31" s="21" t="s">
        <v>653</v>
      </c>
      <c r="K31" s="21" t="s">
        <v>654</v>
      </c>
      <c r="L31" s="21">
        <v>77002.0</v>
      </c>
      <c r="M31" s="23">
        <v>45388.49652777778</v>
      </c>
      <c r="N31" s="21" t="s">
        <v>655</v>
      </c>
      <c r="O31" s="21" t="s">
        <v>659</v>
      </c>
      <c r="P31" s="21">
        <v>31.67124</v>
      </c>
      <c r="Q31" s="21">
        <v>-95.15346</v>
      </c>
      <c r="R31" s="21">
        <v>1395761.0</v>
      </c>
      <c r="S31" s="24">
        <v>45388.53333333333</v>
      </c>
      <c r="T31" s="21">
        <v>1395868.0</v>
      </c>
      <c r="U31" s="21" t="s">
        <v>657</v>
      </c>
      <c r="W31" s="21">
        <v>4723.0</v>
      </c>
      <c r="X31" s="21">
        <v>299.0</v>
      </c>
      <c r="Y31" s="21">
        <v>0.0</v>
      </c>
      <c r="Z31" s="21" t="s">
        <v>656</v>
      </c>
      <c r="AF31" s="21">
        <v>0.0</v>
      </c>
      <c r="AG31" s="21" t="s">
        <v>656</v>
      </c>
      <c r="AM31" s="21">
        <v>0.0</v>
      </c>
      <c r="AN31" s="21" t="s">
        <v>658</v>
      </c>
      <c r="AO31" s="21" t="s">
        <v>659</v>
      </c>
      <c r="AQ31" s="24">
        <v>45388.520833333336</v>
      </c>
      <c r="AR31" s="24">
        <v>45390.416666666664</v>
      </c>
      <c r="AT31" s="21" t="s">
        <v>656</v>
      </c>
      <c r="AW31" s="21" t="s">
        <v>656</v>
      </c>
      <c r="BC31" s="21" t="s">
        <v>704</v>
      </c>
      <c r="BE31" s="24">
        <v>45388.520833333336</v>
      </c>
      <c r="BF31" s="21" t="s">
        <v>704</v>
      </c>
      <c r="BH31" s="24">
        <v>45388.510416666664</v>
      </c>
      <c r="BI31" s="21">
        <v>0.0</v>
      </c>
      <c r="BJ31" s="24">
        <v>45387.489583333336</v>
      </c>
      <c r="BK31" s="24">
        <v>45388.38333333333</v>
      </c>
      <c r="BL31" s="24">
        <v>45388.49652777778</v>
      </c>
      <c r="BM31" s="21" t="s">
        <v>662</v>
      </c>
      <c r="BN31" s="21" t="s">
        <v>654</v>
      </c>
      <c r="BO31" s="21">
        <v>75925.0</v>
      </c>
      <c r="BP31" s="21" t="s">
        <v>1021</v>
      </c>
      <c r="BQ31" s="21" t="s">
        <v>1022</v>
      </c>
      <c r="BR31" s="21" t="s">
        <v>735</v>
      </c>
      <c r="BS31" s="21">
        <v>7048.6</v>
      </c>
      <c r="BT31" s="21" t="s">
        <v>1023</v>
      </c>
      <c r="BU31" s="21" t="s">
        <v>1023</v>
      </c>
      <c r="BV31" s="21" t="s">
        <v>656</v>
      </c>
      <c r="BW31" s="21" t="s">
        <v>738</v>
      </c>
      <c r="BX31" s="21" t="s">
        <v>739</v>
      </c>
      <c r="BY31" s="21" t="s">
        <v>740</v>
      </c>
      <c r="CA31" s="21">
        <v>48.0</v>
      </c>
      <c r="CB31" s="21" t="s">
        <v>656</v>
      </c>
      <c r="CC31" s="21" t="s">
        <v>659</v>
      </c>
      <c r="CJ31" s="21" t="s">
        <v>659</v>
      </c>
      <c r="CK31" s="21" t="s">
        <v>1024</v>
      </c>
      <c r="CL31" s="21" t="s">
        <v>1025</v>
      </c>
      <c r="CM31" s="21" t="s">
        <v>684</v>
      </c>
      <c r="CN31" s="21" t="s">
        <v>1026</v>
      </c>
      <c r="CO31" s="21" t="s">
        <v>656</v>
      </c>
      <c r="CZ31" s="21" t="s">
        <v>671</v>
      </c>
      <c r="DA31" s="21" t="s">
        <v>741</v>
      </c>
      <c r="DB31" s="21" t="s">
        <v>714</v>
      </c>
      <c r="DC31" s="21" t="s">
        <v>769</v>
      </c>
      <c r="DD31" s="21">
        <v>8.0</v>
      </c>
      <c r="DF31" s="21">
        <v>0.188</v>
      </c>
      <c r="DG31" s="21">
        <v>42000.0</v>
      </c>
      <c r="DH31" s="21" t="s">
        <v>964</v>
      </c>
      <c r="DI31" s="21" t="s">
        <v>771</v>
      </c>
      <c r="DK31" s="21" t="s">
        <v>1027</v>
      </c>
      <c r="DL31" s="21" t="s">
        <v>743</v>
      </c>
      <c r="DN31" s="21" t="s">
        <v>684</v>
      </c>
      <c r="EO31" s="21">
        <v>1998.0</v>
      </c>
      <c r="EP31" s="21">
        <v>1998.0</v>
      </c>
      <c r="EQ31" s="21" t="s">
        <v>674</v>
      </c>
      <c r="ES31" s="21" t="s">
        <v>675</v>
      </c>
      <c r="EV31" s="21" t="s">
        <v>718</v>
      </c>
      <c r="FC31" s="21" t="s">
        <v>677</v>
      </c>
      <c r="FD31" s="21" t="s">
        <v>656</v>
      </c>
      <c r="FF31" s="21">
        <v>141.0</v>
      </c>
      <c r="FH31" s="21" t="s">
        <v>656</v>
      </c>
      <c r="FI31" s="21" t="s">
        <v>656</v>
      </c>
      <c r="FL31" s="21" t="s">
        <v>656</v>
      </c>
      <c r="FO31" s="21">
        <v>0.0</v>
      </c>
      <c r="FP31" s="21">
        <v>9540.0</v>
      </c>
      <c r="FQ31" s="21">
        <v>604.0</v>
      </c>
      <c r="FR31" s="21">
        <v>27901.0</v>
      </c>
      <c r="FS31" s="21">
        <v>0.0</v>
      </c>
      <c r="FT31" s="21">
        <v>0.0</v>
      </c>
      <c r="FV31" s="21">
        <v>2.02</v>
      </c>
      <c r="FW31" s="21">
        <v>38045.0</v>
      </c>
      <c r="FX31" s="21">
        <v>0.0</v>
      </c>
      <c r="FY31" s="21">
        <v>0.0</v>
      </c>
      <c r="FZ31" s="21">
        <v>0.0</v>
      </c>
      <c r="GA31" s="21">
        <v>0.0</v>
      </c>
      <c r="GB31" s="21" t="s">
        <v>656</v>
      </c>
      <c r="GF31" s="21">
        <v>618.0</v>
      </c>
      <c r="GG31" s="21">
        <v>2500.0</v>
      </c>
      <c r="GH31" s="21">
        <v>1318.0</v>
      </c>
      <c r="GI31" s="21" t="s">
        <v>774</v>
      </c>
      <c r="GK31" s="25">
        <v>36088.0</v>
      </c>
      <c r="GL31" s="21" t="s">
        <v>656</v>
      </c>
      <c r="GM31" s="21" t="s">
        <v>679</v>
      </c>
      <c r="GN31" s="21" t="s">
        <v>656</v>
      </c>
      <c r="GQ31" s="21" t="s">
        <v>656</v>
      </c>
      <c r="GS31" s="21" t="s">
        <v>720</v>
      </c>
      <c r="GT31" s="21" t="s">
        <v>720</v>
      </c>
      <c r="GU31" s="21">
        <v>17424.0</v>
      </c>
      <c r="GV31" s="21" t="s">
        <v>656</v>
      </c>
      <c r="HB31" s="21" t="s">
        <v>659</v>
      </c>
      <c r="HC31" s="21" t="s">
        <v>1028</v>
      </c>
      <c r="HD31" s="21" t="s">
        <v>656</v>
      </c>
      <c r="HK31" s="21" t="s">
        <v>721</v>
      </c>
      <c r="HL31" s="21" t="s">
        <v>656</v>
      </c>
      <c r="HQ31" s="21" t="s">
        <v>698</v>
      </c>
      <c r="HS31" s="21" t="s">
        <v>699</v>
      </c>
      <c r="HT31" s="21" t="s">
        <v>682</v>
      </c>
      <c r="IH31" s="21" t="s">
        <v>656</v>
      </c>
      <c r="II31" s="21" t="s">
        <v>656</v>
      </c>
      <c r="IN31" s="21" t="s">
        <v>725</v>
      </c>
      <c r="IO31" s="21" t="s">
        <v>726</v>
      </c>
      <c r="IP31" s="21" t="s">
        <v>726</v>
      </c>
      <c r="JT31" s="21" t="s">
        <v>901</v>
      </c>
      <c r="JX31" s="21" t="s">
        <v>659</v>
      </c>
      <c r="KB31" s="21" t="s">
        <v>659</v>
      </c>
      <c r="KC31" s="21" t="s">
        <v>659</v>
      </c>
      <c r="KF31" s="21" t="s">
        <v>659</v>
      </c>
      <c r="KL31" s="21" t="s">
        <v>656</v>
      </c>
      <c r="KM31" s="21" t="s">
        <v>656</v>
      </c>
      <c r="KN31" s="21" t="s">
        <v>656</v>
      </c>
      <c r="KO31" s="21" t="s">
        <v>659</v>
      </c>
      <c r="QW31" s="21" t="s">
        <v>656</v>
      </c>
      <c r="TI31" s="21" t="s">
        <v>656</v>
      </c>
      <c r="TL31" s="21" t="s">
        <v>656</v>
      </c>
      <c r="TZ31" s="21" t="s">
        <v>656</v>
      </c>
      <c r="WL31" s="21" t="s">
        <v>1029</v>
      </c>
      <c r="WM31" s="21" t="s">
        <v>1030</v>
      </c>
      <c r="WN31" s="21" t="s">
        <v>1031</v>
      </c>
      <c r="WO31" s="21" t="s">
        <v>1032</v>
      </c>
      <c r="WT31" s="21" t="s">
        <v>689</v>
      </c>
      <c r="WU31" s="21" t="s">
        <v>991</v>
      </c>
      <c r="WV31" s="21" t="s">
        <v>906</v>
      </c>
      <c r="WW31" s="21" t="s">
        <v>690</v>
      </c>
      <c r="WX31" s="21" t="s">
        <v>1033</v>
      </c>
    </row>
    <row r="32">
      <c r="A32" s="21">
        <v>151.0</v>
      </c>
      <c r="B32" s="22">
        <v>45414.0</v>
      </c>
      <c r="C32" s="21">
        <v>2024.0</v>
      </c>
      <c r="D32" s="21">
        <v>2.0240053E7</v>
      </c>
      <c r="E32" s="21">
        <v>40760.0</v>
      </c>
      <c r="F32" s="21" t="s">
        <v>778</v>
      </c>
      <c r="G32" s="21">
        <v>15105.0</v>
      </c>
      <c r="H32" s="21" t="s">
        <v>794</v>
      </c>
      <c r="I32" s="21" t="s">
        <v>652</v>
      </c>
      <c r="J32" s="21" t="s">
        <v>653</v>
      </c>
      <c r="K32" s="21" t="s">
        <v>654</v>
      </c>
      <c r="L32" s="21">
        <v>77002.0</v>
      </c>
      <c r="M32" s="23">
        <v>45387.552083333336</v>
      </c>
      <c r="N32" s="21" t="s">
        <v>655</v>
      </c>
      <c r="O32" s="21" t="s">
        <v>659</v>
      </c>
      <c r="P32" s="21">
        <v>38.300435</v>
      </c>
      <c r="Q32" s="21">
        <v>-96.130344</v>
      </c>
      <c r="R32" s="21">
        <v>1395700.0</v>
      </c>
      <c r="S32" s="24">
        <v>45387.697916666664</v>
      </c>
      <c r="T32" s="21">
        <v>1395822.0</v>
      </c>
      <c r="U32" s="21" t="s">
        <v>657</v>
      </c>
      <c r="W32" s="21">
        <v>3540.0</v>
      </c>
      <c r="X32" s="21">
        <v>10068.0</v>
      </c>
      <c r="Y32" s="21">
        <v>0.0</v>
      </c>
      <c r="Z32" s="21" t="s">
        <v>656</v>
      </c>
      <c r="AF32" s="21">
        <v>0.0</v>
      </c>
      <c r="AG32" s="21" t="s">
        <v>656</v>
      </c>
      <c r="AM32" s="21">
        <v>0.0</v>
      </c>
      <c r="AN32" s="21" t="s">
        <v>658</v>
      </c>
      <c r="AO32" s="21" t="s">
        <v>659</v>
      </c>
      <c r="AQ32" s="24">
        <v>45387.575</v>
      </c>
      <c r="AR32" s="24">
        <v>45393.368055555555</v>
      </c>
      <c r="AT32" s="21" t="s">
        <v>659</v>
      </c>
      <c r="AU32" s="21" t="s">
        <v>660</v>
      </c>
      <c r="AV32" s="24">
        <v>45387.57430555556</v>
      </c>
      <c r="AW32" s="21" t="s">
        <v>656</v>
      </c>
      <c r="BC32" s="21" t="s">
        <v>704</v>
      </c>
      <c r="BE32" s="24">
        <v>45387.55763888889</v>
      </c>
      <c r="BF32" s="21" t="s">
        <v>704</v>
      </c>
      <c r="BH32" s="24">
        <v>45387.575</v>
      </c>
      <c r="BI32" s="21">
        <v>0.0</v>
      </c>
      <c r="BJ32" s="24">
        <v>45387.552083333336</v>
      </c>
      <c r="BK32" s="24">
        <v>45387.552083333336</v>
      </c>
      <c r="BL32" s="24">
        <v>45387.552083333336</v>
      </c>
      <c r="BM32" s="21" t="s">
        <v>662</v>
      </c>
      <c r="BN32" s="21" t="s">
        <v>1034</v>
      </c>
      <c r="BO32" s="21">
        <v>66854.0</v>
      </c>
      <c r="BP32" s="21" t="s">
        <v>663</v>
      </c>
      <c r="BQ32" s="21" t="s">
        <v>1035</v>
      </c>
      <c r="BR32" s="21" t="s">
        <v>892</v>
      </c>
      <c r="BS32" s="21" t="s">
        <v>1036</v>
      </c>
      <c r="BT32" s="21" t="s">
        <v>1037</v>
      </c>
      <c r="BU32" s="21" t="s">
        <v>1038</v>
      </c>
      <c r="BV32" s="21" t="s">
        <v>656</v>
      </c>
      <c r="BW32" s="21" t="s">
        <v>738</v>
      </c>
      <c r="BX32" s="21" t="s">
        <v>739</v>
      </c>
      <c r="BY32" s="21" t="s">
        <v>740</v>
      </c>
      <c r="CA32" s="21">
        <v>56.0</v>
      </c>
      <c r="CB32" s="21" t="s">
        <v>656</v>
      </c>
      <c r="CC32" s="21" t="s">
        <v>656</v>
      </c>
      <c r="CZ32" s="21" t="s">
        <v>712</v>
      </c>
      <c r="DA32" s="21" t="s">
        <v>741</v>
      </c>
      <c r="DB32" s="21" t="s">
        <v>800</v>
      </c>
      <c r="DD32" s="21">
        <v>26.0</v>
      </c>
      <c r="DF32" s="21">
        <v>0.312</v>
      </c>
      <c r="DG32" s="21">
        <v>52000.0</v>
      </c>
      <c r="DH32" s="21" t="s">
        <v>1039</v>
      </c>
      <c r="DI32" s="21" t="s">
        <v>921</v>
      </c>
      <c r="DK32" s="21" t="s">
        <v>999</v>
      </c>
      <c r="DL32" s="21" t="s">
        <v>743</v>
      </c>
      <c r="DN32" s="21" t="s">
        <v>659</v>
      </c>
      <c r="DV32" s="21" t="s">
        <v>804</v>
      </c>
      <c r="DX32" s="21" t="s">
        <v>656</v>
      </c>
      <c r="EO32" s="21">
        <v>1949.0</v>
      </c>
      <c r="EP32" s="21">
        <v>1949.0</v>
      </c>
      <c r="EQ32" s="21" t="s">
        <v>674</v>
      </c>
      <c r="ES32" s="21" t="s">
        <v>675</v>
      </c>
      <c r="EV32" s="21" t="s">
        <v>805</v>
      </c>
      <c r="FC32" s="21" t="s">
        <v>677</v>
      </c>
      <c r="FD32" s="21" t="s">
        <v>656</v>
      </c>
      <c r="FF32" s="21">
        <v>538.0</v>
      </c>
      <c r="FH32" s="21" t="s">
        <v>656</v>
      </c>
      <c r="FI32" s="21" t="s">
        <v>656</v>
      </c>
      <c r="FL32" s="21" t="s">
        <v>656</v>
      </c>
      <c r="FO32" s="21">
        <v>0.0</v>
      </c>
      <c r="FP32" s="21">
        <v>9735.0</v>
      </c>
      <c r="FQ32" s="21">
        <v>27687.0</v>
      </c>
      <c r="FR32" s="21">
        <v>64000.0</v>
      </c>
      <c r="FS32" s="21">
        <v>0.0</v>
      </c>
      <c r="FT32" s="21">
        <v>0.0</v>
      </c>
      <c r="FV32" s="21">
        <v>2.75</v>
      </c>
      <c r="FW32" s="21">
        <v>101422.0</v>
      </c>
      <c r="FX32" s="21">
        <v>0.0</v>
      </c>
      <c r="FY32" s="21">
        <v>0.0</v>
      </c>
      <c r="FZ32" s="21">
        <v>0.0</v>
      </c>
      <c r="GA32" s="21">
        <v>0.0</v>
      </c>
      <c r="GB32" s="21" t="s">
        <v>656</v>
      </c>
      <c r="GF32" s="21">
        <v>747.0</v>
      </c>
      <c r="GG32" s="21">
        <v>265000.0</v>
      </c>
      <c r="GH32" s="21">
        <v>900.0</v>
      </c>
      <c r="GI32" s="21" t="s">
        <v>719</v>
      </c>
      <c r="GK32" s="25">
        <v>43290.0</v>
      </c>
      <c r="GL32" s="21" t="s">
        <v>656</v>
      </c>
      <c r="GM32" s="21" t="s">
        <v>679</v>
      </c>
      <c r="GN32" s="21" t="s">
        <v>656</v>
      </c>
      <c r="GQ32" s="21" t="s">
        <v>656</v>
      </c>
      <c r="GS32" s="21" t="s">
        <v>720</v>
      </c>
      <c r="GT32" s="21" t="s">
        <v>720</v>
      </c>
      <c r="GU32" s="21">
        <v>49203.0</v>
      </c>
      <c r="GV32" s="21" t="s">
        <v>659</v>
      </c>
      <c r="HD32" s="21" t="s">
        <v>656</v>
      </c>
      <c r="HK32" s="21" t="s">
        <v>721</v>
      </c>
      <c r="HL32" s="21" t="s">
        <v>659</v>
      </c>
      <c r="HM32" s="21" t="s">
        <v>659</v>
      </c>
      <c r="HN32" s="21" t="s">
        <v>659</v>
      </c>
      <c r="HO32" s="21" t="s">
        <v>656</v>
      </c>
      <c r="HP32" s="21" t="s">
        <v>656</v>
      </c>
      <c r="HQ32" s="21" t="s">
        <v>806</v>
      </c>
      <c r="HT32" s="21" t="s">
        <v>723</v>
      </c>
      <c r="HU32" s="21" t="s">
        <v>1040</v>
      </c>
      <c r="IH32" s="21" t="s">
        <v>656</v>
      </c>
      <c r="II32" s="21" t="s">
        <v>656</v>
      </c>
      <c r="IN32" s="21" t="s">
        <v>808</v>
      </c>
      <c r="IO32" s="21" t="s">
        <v>809</v>
      </c>
      <c r="NS32" s="21" t="s">
        <v>809</v>
      </c>
      <c r="NT32" s="21" t="s">
        <v>659</v>
      </c>
      <c r="NU32" s="21" t="s">
        <v>659</v>
      </c>
      <c r="OB32" s="21" t="s">
        <v>659</v>
      </c>
      <c r="OK32" s="21" t="s">
        <v>659</v>
      </c>
      <c r="OT32" s="21">
        <v>1164.0</v>
      </c>
      <c r="QW32" s="21" t="s">
        <v>659</v>
      </c>
      <c r="QX32" s="21" t="s">
        <v>659</v>
      </c>
      <c r="RA32" s="21" t="s">
        <v>659</v>
      </c>
      <c r="RE32" s="21">
        <v>2020.0</v>
      </c>
      <c r="RF32" s="21" t="s">
        <v>810</v>
      </c>
      <c r="RG32" s="21" t="s">
        <v>811</v>
      </c>
      <c r="RI32" s="21" t="s">
        <v>812</v>
      </c>
      <c r="RK32" s="21">
        <v>2013.0</v>
      </c>
      <c r="RL32" s="21" t="s">
        <v>810</v>
      </c>
      <c r="RM32" s="21" t="s">
        <v>811</v>
      </c>
      <c r="RO32" s="21" t="s">
        <v>812</v>
      </c>
      <c r="SK32" s="21">
        <v>2020.0</v>
      </c>
      <c r="SL32" s="21" t="s">
        <v>810</v>
      </c>
      <c r="SM32" s="21" t="s">
        <v>812</v>
      </c>
      <c r="SO32" s="21" t="s">
        <v>813</v>
      </c>
      <c r="SP32" s="21">
        <v>2013.0</v>
      </c>
      <c r="SQ32" s="21" t="s">
        <v>810</v>
      </c>
      <c r="SR32" s="21" t="s">
        <v>812</v>
      </c>
      <c r="ST32" s="21" t="s">
        <v>813</v>
      </c>
      <c r="TI32" s="21" t="s">
        <v>659</v>
      </c>
      <c r="TJ32" s="21">
        <v>2024.0</v>
      </c>
      <c r="TK32" s="21">
        <v>1134.0</v>
      </c>
      <c r="TL32" s="21" t="s">
        <v>656</v>
      </c>
      <c r="TZ32" s="21" t="s">
        <v>656</v>
      </c>
      <c r="VP32" s="21" t="s">
        <v>659</v>
      </c>
      <c r="WL32" s="21" t="s">
        <v>815</v>
      </c>
      <c r="WM32" s="21" t="s">
        <v>1041</v>
      </c>
      <c r="WN32" s="21" t="s">
        <v>816</v>
      </c>
      <c r="WO32" s="21">
        <v>8.066644029E9</v>
      </c>
      <c r="WQ32" s="21" t="s">
        <v>817</v>
      </c>
      <c r="WR32" s="21" t="s">
        <v>818</v>
      </c>
      <c r="WS32" s="21">
        <v>9.139061521E9</v>
      </c>
      <c r="WT32" s="21" t="s">
        <v>819</v>
      </c>
      <c r="WU32" s="21" t="s">
        <v>1042</v>
      </c>
      <c r="WV32" s="21">
        <v>4.055575271E9</v>
      </c>
      <c r="WW32" s="21" t="s">
        <v>820</v>
      </c>
      <c r="WX32" s="21" t="s">
        <v>1043</v>
      </c>
    </row>
    <row r="33">
      <c r="A33" s="21">
        <v>167.0</v>
      </c>
      <c r="B33" s="22">
        <v>45379.0</v>
      </c>
      <c r="C33" s="21">
        <v>2024.0</v>
      </c>
      <c r="D33" s="21">
        <v>2.0240038E7</v>
      </c>
      <c r="E33" s="21">
        <v>39593.0</v>
      </c>
      <c r="F33" s="21" t="s">
        <v>778</v>
      </c>
      <c r="G33" s="21">
        <v>32099.0</v>
      </c>
      <c r="H33" s="21" t="s">
        <v>651</v>
      </c>
      <c r="I33" s="21" t="s">
        <v>652</v>
      </c>
      <c r="J33" s="21" t="s">
        <v>653</v>
      </c>
      <c r="K33" s="21" t="s">
        <v>654</v>
      </c>
      <c r="L33" s="21">
        <v>77002.0</v>
      </c>
      <c r="M33" s="23">
        <v>45349.709027777775</v>
      </c>
      <c r="N33" s="21" t="s">
        <v>655</v>
      </c>
      <c r="O33" s="21" t="s">
        <v>656</v>
      </c>
      <c r="P33" s="21">
        <v>29.719593</v>
      </c>
      <c r="Q33" s="21">
        <v>-96.093968</v>
      </c>
      <c r="R33" s="21">
        <v>1392517.0</v>
      </c>
      <c r="S33" s="24">
        <v>45349.72222222222</v>
      </c>
      <c r="T33" s="21">
        <v>1392700.0</v>
      </c>
      <c r="U33" s="21" t="s">
        <v>657</v>
      </c>
      <c r="W33" s="21">
        <v>1585.0</v>
      </c>
      <c r="X33" s="21">
        <v>12.038</v>
      </c>
      <c r="Y33" s="21">
        <v>0.0</v>
      </c>
      <c r="Z33" s="21" t="s">
        <v>656</v>
      </c>
      <c r="AF33" s="21">
        <v>0.0</v>
      </c>
      <c r="AG33" s="21" t="s">
        <v>656</v>
      </c>
      <c r="AM33" s="21">
        <v>0.0</v>
      </c>
      <c r="AN33" s="21" t="s">
        <v>658</v>
      </c>
      <c r="AO33" s="21" t="s">
        <v>659</v>
      </c>
      <c r="AQ33" s="24">
        <v>45350.041666666664</v>
      </c>
      <c r="AR33" s="24">
        <v>45351.67152777778</v>
      </c>
      <c r="AT33" s="21" t="s">
        <v>656</v>
      </c>
      <c r="AW33" s="21" t="s">
        <v>656</v>
      </c>
      <c r="BC33" s="21" t="s">
        <v>704</v>
      </c>
      <c r="BE33" s="24">
        <v>45349.72777777778</v>
      </c>
      <c r="BF33" s="21" t="s">
        <v>704</v>
      </c>
      <c r="BH33" s="24">
        <v>45349.756944444445</v>
      </c>
      <c r="BI33" s="21">
        <v>0.0</v>
      </c>
      <c r="BJ33" s="24">
        <v>45349.68958333333</v>
      </c>
      <c r="BK33" s="24">
        <v>45349.70486111111</v>
      </c>
      <c r="BL33" s="24">
        <v>45349.72222222222</v>
      </c>
      <c r="BM33" s="21" t="s">
        <v>662</v>
      </c>
      <c r="BN33" s="21" t="s">
        <v>654</v>
      </c>
      <c r="BO33" s="21">
        <v>77474.0</v>
      </c>
      <c r="BP33" s="21" t="s">
        <v>1044</v>
      </c>
      <c r="BQ33" s="21" t="s">
        <v>1045</v>
      </c>
      <c r="BR33" s="21" t="s">
        <v>735</v>
      </c>
      <c r="BS33" s="21" t="s">
        <v>1046</v>
      </c>
      <c r="BT33" s="21" t="s">
        <v>1047</v>
      </c>
      <c r="BU33" s="21" t="s">
        <v>1048</v>
      </c>
      <c r="BV33" s="21" t="s">
        <v>656</v>
      </c>
      <c r="BW33" s="21" t="s">
        <v>738</v>
      </c>
      <c r="BX33" s="21" t="s">
        <v>739</v>
      </c>
      <c r="BY33" s="21" t="s">
        <v>740</v>
      </c>
      <c r="CA33" s="21">
        <v>42.0</v>
      </c>
      <c r="CB33" s="21" t="s">
        <v>656</v>
      </c>
      <c r="CC33" s="21" t="s">
        <v>656</v>
      </c>
      <c r="CZ33" s="21" t="s">
        <v>671</v>
      </c>
      <c r="DA33" s="21" t="s">
        <v>741</v>
      </c>
      <c r="DB33" s="21" t="s">
        <v>714</v>
      </c>
      <c r="DC33" s="21" t="s">
        <v>715</v>
      </c>
      <c r="DD33" s="21">
        <v>24.0</v>
      </c>
      <c r="DE33" s="21" t="s">
        <v>656</v>
      </c>
      <c r="DF33" s="21">
        <v>0.312</v>
      </c>
      <c r="DG33" s="21">
        <v>52000.0</v>
      </c>
      <c r="DH33" s="21" t="s">
        <v>964</v>
      </c>
      <c r="DI33" s="21" t="s">
        <v>1049</v>
      </c>
      <c r="DK33" s="21" t="s">
        <v>1050</v>
      </c>
      <c r="DL33" s="21" t="s">
        <v>696</v>
      </c>
      <c r="DM33" s="21" t="s">
        <v>1051</v>
      </c>
      <c r="DN33" s="21" t="s">
        <v>656</v>
      </c>
      <c r="EO33" s="21">
        <v>1960.0</v>
      </c>
      <c r="EP33" s="21">
        <v>1960.0</v>
      </c>
      <c r="EQ33" s="21" t="s">
        <v>674</v>
      </c>
      <c r="ES33" s="21" t="s">
        <v>965</v>
      </c>
      <c r="ET33" s="21">
        <v>2.0</v>
      </c>
      <c r="EU33" s="21">
        <v>0.1</v>
      </c>
      <c r="FC33" s="21" t="s">
        <v>677</v>
      </c>
      <c r="FD33" s="21" t="s">
        <v>656</v>
      </c>
      <c r="FF33" s="21">
        <v>499.0</v>
      </c>
      <c r="FH33" s="21" t="s">
        <v>656</v>
      </c>
      <c r="FI33" s="21" t="s">
        <v>656</v>
      </c>
      <c r="FL33" s="21" t="s">
        <v>656</v>
      </c>
      <c r="FO33" s="21">
        <v>0.0</v>
      </c>
      <c r="FP33" s="21">
        <v>2869.0</v>
      </c>
      <c r="FQ33" s="21">
        <v>22.0</v>
      </c>
      <c r="FR33" s="21">
        <v>153000.0</v>
      </c>
      <c r="FS33" s="21">
        <v>0.0</v>
      </c>
      <c r="FT33" s="21">
        <v>0.0</v>
      </c>
      <c r="FV33" s="21">
        <v>1.81</v>
      </c>
      <c r="FW33" s="21">
        <v>155891.0</v>
      </c>
      <c r="FX33" s="21">
        <v>0.0</v>
      </c>
      <c r="FY33" s="21">
        <v>0.0</v>
      </c>
      <c r="FZ33" s="21">
        <v>0.0</v>
      </c>
      <c r="GA33" s="21">
        <v>0.0</v>
      </c>
      <c r="GB33" s="21" t="s">
        <v>656</v>
      </c>
      <c r="GF33" s="21">
        <v>730.0</v>
      </c>
      <c r="GG33" s="21">
        <v>170000.0</v>
      </c>
      <c r="GH33" s="21">
        <v>811.0</v>
      </c>
      <c r="GI33" s="21" t="s">
        <v>719</v>
      </c>
      <c r="GK33" s="25">
        <v>43160.0</v>
      </c>
      <c r="GL33" s="21" t="s">
        <v>656</v>
      </c>
      <c r="GM33" s="21" t="s">
        <v>679</v>
      </c>
      <c r="GN33" s="21" t="s">
        <v>656</v>
      </c>
      <c r="GQ33" s="21" t="s">
        <v>656</v>
      </c>
      <c r="GS33" s="21" t="s">
        <v>720</v>
      </c>
      <c r="GT33" s="21" t="s">
        <v>720</v>
      </c>
      <c r="GU33" s="21">
        <v>80784.0</v>
      </c>
      <c r="GV33" s="21" t="s">
        <v>659</v>
      </c>
      <c r="HD33" s="21" t="s">
        <v>656</v>
      </c>
      <c r="HK33" s="21" t="s">
        <v>721</v>
      </c>
      <c r="HL33" s="21" t="s">
        <v>659</v>
      </c>
      <c r="HM33" s="21" t="s">
        <v>659</v>
      </c>
      <c r="HN33" s="21" t="s">
        <v>659</v>
      </c>
      <c r="HO33" s="21" t="s">
        <v>659</v>
      </c>
      <c r="HP33" s="21" t="s">
        <v>659</v>
      </c>
      <c r="HQ33" s="21" t="s">
        <v>966</v>
      </c>
      <c r="HT33" s="21" t="s">
        <v>723</v>
      </c>
      <c r="HU33" s="21" t="s">
        <v>1052</v>
      </c>
      <c r="IH33" s="21" t="s">
        <v>656</v>
      </c>
      <c r="II33" s="21" t="s">
        <v>656</v>
      </c>
      <c r="IN33" s="21" t="s">
        <v>968</v>
      </c>
      <c r="IO33" s="21" t="s">
        <v>969</v>
      </c>
      <c r="LB33" s="21" t="s">
        <v>969</v>
      </c>
      <c r="LC33" s="21" t="s">
        <v>656</v>
      </c>
      <c r="LH33" s="21" t="s">
        <v>656</v>
      </c>
      <c r="LM33" s="21" t="s">
        <v>656</v>
      </c>
      <c r="LR33" s="21" t="s">
        <v>659</v>
      </c>
      <c r="LX33" s="21" t="s">
        <v>656</v>
      </c>
      <c r="LY33" s="21" t="s">
        <v>656</v>
      </c>
      <c r="LZ33" s="21" t="s">
        <v>1053</v>
      </c>
      <c r="MA33" s="21">
        <v>42.0</v>
      </c>
      <c r="MB33" s="21" t="s">
        <v>971</v>
      </c>
      <c r="MC33" s="21" t="s">
        <v>974</v>
      </c>
      <c r="MD33" s="21" t="s">
        <v>1054</v>
      </c>
      <c r="ME33" s="21" t="s">
        <v>656</v>
      </c>
      <c r="MI33" s="21" t="s">
        <v>974</v>
      </c>
      <c r="MJ33" s="21" t="s">
        <v>974</v>
      </c>
      <c r="MK33" s="21" t="s">
        <v>659</v>
      </c>
      <c r="ML33" s="21">
        <v>47.0</v>
      </c>
      <c r="MM33" s="21" t="s">
        <v>975</v>
      </c>
      <c r="MN33" s="21" t="s">
        <v>976</v>
      </c>
      <c r="WL33" s="21" t="s">
        <v>1055</v>
      </c>
      <c r="WM33" s="21" t="s">
        <v>1056</v>
      </c>
      <c r="WN33" s="21" t="s">
        <v>792</v>
      </c>
      <c r="WO33" s="21" t="s">
        <v>1057</v>
      </c>
      <c r="WT33" s="21" t="s">
        <v>689</v>
      </c>
      <c r="WU33" s="21" t="s">
        <v>991</v>
      </c>
      <c r="WV33" s="21" t="s">
        <v>906</v>
      </c>
      <c r="WW33" s="21" t="s">
        <v>690</v>
      </c>
      <c r="WX33" s="21" t="s">
        <v>1058</v>
      </c>
    </row>
    <row r="34">
      <c r="A34" s="21">
        <v>168.0</v>
      </c>
      <c r="B34" s="22">
        <v>45373.0</v>
      </c>
      <c r="C34" s="21">
        <v>2024.0</v>
      </c>
      <c r="D34" s="21">
        <v>2.0240036E7</v>
      </c>
      <c r="E34" s="21">
        <v>39464.0</v>
      </c>
      <c r="F34" s="21" t="s">
        <v>778</v>
      </c>
      <c r="G34" s="21">
        <v>18152.0</v>
      </c>
      <c r="H34" s="21" t="s">
        <v>702</v>
      </c>
      <c r="I34" s="21" t="s">
        <v>652</v>
      </c>
      <c r="J34" s="21" t="s">
        <v>653</v>
      </c>
      <c r="K34" s="21" t="s">
        <v>654</v>
      </c>
      <c r="L34" s="21">
        <v>77002.0</v>
      </c>
      <c r="M34" s="23">
        <v>45346.65972222222</v>
      </c>
      <c r="N34" s="21" t="s">
        <v>655</v>
      </c>
      <c r="O34" s="21" t="s">
        <v>656</v>
      </c>
      <c r="P34" s="21">
        <v>28.34713561</v>
      </c>
      <c r="Q34" s="21">
        <v>-91.59143383</v>
      </c>
      <c r="R34" s="21">
        <v>1392308.0</v>
      </c>
      <c r="S34" s="24">
        <v>45346.67569444444</v>
      </c>
      <c r="T34" s="21">
        <v>1392385.0</v>
      </c>
      <c r="U34" s="21" t="s">
        <v>657</v>
      </c>
      <c r="W34" s="21">
        <v>0.0</v>
      </c>
      <c r="X34" s="21">
        <v>77000.0</v>
      </c>
      <c r="Y34" s="21">
        <v>0.0</v>
      </c>
      <c r="Z34" s="21" t="s">
        <v>656</v>
      </c>
      <c r="AF34" s="21">
        <v>0.0</v>
      </c>
      <c r="AG34" s="21" t="s">
        <v>656</v>
      </c>
      <c r="AM34" s="21">
        <v>0.0</v>
      </c>
      <c r="AN34" s="21" t="s">
        <v>658</v>
      </c>
      <c r="AO34" s="21" t="s">
        <v>659</v>
      </c>
      <c r="AQ34" s="24">
        <v>45343.3875</v>
      </c>
      <c r="AR34" s="24">
        <v>45396.97708333333</v>
      </c>
      <c r="AT34" s="21" t="s">
        <v>659</v>
      </c>
      <c r="AU34" s="21" t="s">
        <v>661</v>
      </c>
      <c r="AV34" s="24">
        <v>45337.74791666667</v>
      </c>
      <c r="AW34" s="21" t="s">
        <v>656</v>
      </c>
      <c r="BC34" s="21" t="s">
        <v>704</v>
      </c>
      <c r="BE34" s="24">
        <v>45347.4375</v>
      </c>
      <c r="BF34" s="21" t="s">
        <v>704</v>
      </c>
      <c r="BH34" s="24">
        <v>45347.104166666664</v>
      </c>
      <c r="BI34" s="21">
        <v>0.0</v>
      </c>
      <c r="BJ34" s="24">
        <v>45337.65972222222</v>
      </c>
      <c r="BK34" s="24">
        <v>45346.489583333336</v>
      </c>
      <c r="BL34" s="24">
        <v>45346.65972222222</v>
      </c>
      <c r="BM34" s="21" t="s">
        <v>705</v>
      </c>
      <c r="BT34" s="21" t="s">
        <v>1059</v>
      </c>
      <c r="BU34" s="21" t="s">
        <v>1060</v>
      </c>
      <c r="CP34" s="21">
        <v>220.0</v>
      </c>
      <c r="CQ34" s="21" t="s">
        <v>708</v>
      </c>
      <c r="CV34" s="21" t="s">
        <v>997</v>
      </c>
      <c r="CW34" s="21" t="s">
        <v>710</v>
      </c>
      <c r="CX34" s="21">
        <v>295.0</v>
      </c>
      <c r="CY34" s="21" t="s">
        <v>1061</v>
      </c>
      <c r="CZ34" s="21" t="s">
        <v>712</v>
      </c>
      <c r="DA34" s="21" t="s">
        <v>713</v>
      </c>
      <c r="DB34" s="21" t="s">
        <v>714</v>
      </c>
      <c r="DC34" s="21" t="s">
        <v>715</v>
      </c>
      <c r="DD34" s="21">
        <v>24.0</v>
      </c>
      <c r="DE34" s="21" t="s">
        <v>656</v>
      </c>
      <c r="DF34" s="21">
        <v>0.5</v>
      </c>
      <c r="DG34" s="21">
        <v>60000.0</v>
      </c>
      <c r="DH34" s="21" t="s">
        <v>1062</v>
      </c>
      <c r="DI34" s="21" t="s">
        <v>1063</v>
      </c>
      <c r="DK34" s="21" t="s">
        <v>684</v>
      </c>
      <c r="DL34" s="21" t="s">
        <v>696</v>
      </c>
      <c r="DM34" s="21" t="s">
        <v>1000</v>
      </c>
      <c r="DN34" s="21" t="s">
        <v>684</v>
      </c>
      <c r="EO34" s="21">
        <v>1972.0</v>
      </c>
      <c r="EP34" s="21">
        <v>1972.0</v>
      </c>
      <c r="EQ34" s="21" t="s">
        <v>674</v>
      </c>
      <c r="ES34" s="21" t="s">
        <v>675</v>
      </c>
      <c r="EV34" s="21" t="s">
        <v>718</v>
      </c>
      <c r="FC34" s="21" t="s">
        <v>677</v>
      </c>
      <c r="FD34" s="21" t="s">
        <v>656</v>
      </c>
      <c r="FF34" s="21">
        <v>598.0</v>
      </c>
      <c r="FH34" s="21" t="s">
        <v>656</v>
      </c>
      <c r="FI34" s="21" t="s">
        <v>656</v>
      </c>
      <c r="FL34" s="21" t="s">
        <v>656</v>
      </c>
      <c r="FO34" s="21">
        <v>0.0</v>
      </c>
      <c r="FP34" s="21">
        <v>0.0</v>
      </c>
      <c r="FQ34" s="21">
        <v>117040.0</v>
      </c>
      <c r="FR34" s="21">
        <v>879487.0</v>
      </c>
      <c r="FS34" s="21">
        <v>0.0</v>
      </c>
      <c r="FT34" s="21">
        <v>0.0</v>
      </c>
      <c r="FV34" s="21">
        <v>1.52</v>
      </c>
      <c r="FW34" s="21">
        <v>996527.0</v>
      </c>
      <c r="FX34" s="21">
        <v>0.0</v>
      </c>
      <c r="FY34" s="21">
        <v>0.0</v>
      </c>
      <c r="FZ34" s="21">
        <v>0.0</v>
      </c>
      <c r="GA34" s="21">
        <v>0.0</v>
      </c>
      <c r="GB34" s="21" t="s">
        <v>656</v>
      </c>
      <c r="GF34" s="21">
        <v>880.0</v>
      </c>
      <c r="GG34" s="21">
        <v>22000.0</v>
      </c>
      <c r="GH34" s="21">
        <v>1306.0</v>
      </c>
      <c r="GI34" s="21" t="s">
        <v>719</v>
      </c>
      <c r="GK34" s="25">
        <v>28126.0</v>
      </c>
      <c r="GL34" s="21" t="s">
        <v>656</v>
      </c>
      <c r="GM34" s="21" t="s">
        <v>679</v>
      </c>
      <c r="GN34" s="21" t="s">
        <v>656</v>
      </c>
      <c r="GQ34" s="21" t="s">
        <v>656</v>
      </c>
      <c r="GS34" s="21" t="s">
        <v>720</v>
      </c>
      <c r="GT34" s="21" t="s">
        <v>720</v>
      </c>
      <c r="GU34" s="21">
        <v>248160.0</v>
      </c>
      <c r="GV34" s="21" t="s">
        <v>656</v>
      </c>
      <c r="GY34" s="21" t="s">
        <v>659</v>
      </c>
      <c r="HD34" s="21" t="s">
        <v>659</v>
      </c>
      <c r="HI34" s="21" t="s">
        <v>659</v>
      </c>
      <c r="HJ34" s="21" t="s">
        <v>1064</v>
      </c>
      <c r="HK34" s="21" t="s">
        <v>721</v>
      </c>
      <c r="HL34" s="21" t="s">
        <v>659</v>
      </c>
      <c r="HM34" s="21" t="s">
        <v>659</v>
      </c>
      <c r="HN34" s="21" t="s">
        <v>659</v>
      </c>
      <c r="HO34" s="21" t="s">
        <v>656</v>
      </c>
      <c r="HP34" s="21" t="s">
        <v>656</v>
      </c>
      <c r="HQ34" s="21" t="s">
        <v>696</v>
      </c>
      <c r="HR34" s="21" t="s">
        <v>1065</v>
      </c>
      <c r="HT34" s="21" t="s">
        <v>723</v>
      </c>
      <c r="HU34" s="21" t="s">
        <v>1004</v>
      </c>
      <c r="IH34" s="21" t="s">
        <v>656</v>
      </c>
      <c r="II34" s="21" t="s">
        <v>656</v>
      </c>
      <c r="IN34" s="21" t="s">
        <v>725</v>
      </c>
      <c r="IO34" s="21" t="s">
        <v>726</v>
      </c>
      <c r="IP34" s="21" t="s">
        <v>726</v>
      </c>
      <c r="JT34" s="21" t="s">
        <v>727</v>
      </c>
      <c r="JW34" s="21" t="s">
        <v>659</v>
      </c>
      <c r="JX34" s="21" t="s">
        <v>659</v>
      </c>
      <c r="KB34" s="21" t="s">
        <v>659</v>
      </c>
      <c r="KF34" s="21" t="s">
        <v>659</v>
      </c>
      <c r="KL34" s="21" t="s">
        <v>659</v>
      </c>
      <c r="KM34" s="21" t="s">
        <v>656</v>
      </c>
      <c r="KN34" s="21" t="s">
        <v>659</v>
      </c>
      <c r="KO34" s="21" t="s">
        <v>659</v>
      </c>
      <c r="QW34" s="21" t="s">
        <v>656</v>
      </c>
      <c r="TI34" s="21" t="s">
        <v>656</v>
      </c>
      <c r="TL34" s="21" t="s">
        <v>656</v>
      </c>
      <c r="TZ34" s="21" t="s">
        <v>656</v>
      </c>
      <c r="WL34" s="21" t="s">
        <v>729</v>
      </c>
      <c r="WM34" s="21" t="s">
        <v>1066</v>
      </c>
      <c r="WN34" s="21" t="s">
        <v>731</v>
      </c>
      <c r="WO34" s="21" t="s">
        <v>990</v>
      </c>
      <c r="WT34" s="21" t="s">
        <v>689</v>
      </c>
      <c r="WU34" s="21" t="s">
        <v>730</v>
      </c>
      <c r="WV34" s="21" t="s">
        <v>906</v>
      </c>
      <c r="WW34" s="21" t="s">
        <v>690</v>
      </c>
      <c r="WX34" s="21" t="s">
        <v>1067</v>
      </c>
    </row>
    <row r="35">
      <c r="A35" s="21">
        <v>171.0</v>
      </c>
      <c r="B35" s="22">
        <v>45369.0</v>
      </c>
      <c r="C35" s="21">
        <v>2024.0</v>
      </c>
      <c r="D35" s="21">
        <v>2.0240035E7</v>
      </c>
      <c r="E35" s="21">
        <v>39592.0</v>
      </c>
      <c r="F35" s="21" t="s">
        <v>778</v>
      </c>
      <c r="G35" s="21">
        <v>32099.0</v>
      </c>
      <c r="H35" s="21" t="s">
        <v>651</v>
      </c>
      <c r="I35" s="21" t="s">
        <v>652</v>
      </c>
      <c r="J35" s="21" t="s">
        <v>653</v>
      </c>
      <c r="K35" s="21" t="s">
        <v>654</v>
      </c>
      <c r="L35" s="21">
        <v>77002.0</v>
      </c>
      <c r="M35" s="23">
        <v>45336.645833333336</v>
      </c>
      <c r="N35" s="21" t="s">
        <v>655</v>
      </c>
      <c r="O35" s="21" t="s">
        <v>656</v>
      </c>
      <c r="P35" s="21">
        <v>28.135952</v>
      </c>
      <c r="Q35" s="21">
        <v>-99.964216</v>
      </c>
      <c r="R35" s="21">
        <v>1391581.0</v>
      </c>
      <c r="S35" s="24">
        <v>45336.740277777775</v>
      </c>
      <c r="T35" s="21">
        <v>1391728.0</v>
      </c>
      <c r="U35" s="21" t="s">
        <v>657</v>
      </c>
      <c r="W35" s="21">
        <v>27.8</v>
      </c>
      <c r="X35" s="21">
        <v>87.8</v>
      </c>
      <c r="Y35" s="21">
        <v>25.0</v>
      </c>
      <c r="Z35" s="21" t="s">
        <v>656</v>
      </c>
      <c r="AF35" s="21">
        <v>0.0</v>
      </c>
      <c r="AG35" s="21" t="s">
        <v>656</v>
      </c>
      <c r="AM35" s="21">
        <v>0.0</v>
      </c>
      <c r="AN35" s="21" t="s">
        <v>658</v>
      </c>
      <c r="AO35" s="21" t="s">
        <v>659</v>
      </c>
      <c r="AQ35" s="24">
        <v>45336.76388888889</v>
      </c>
      <c r="AR35" s="24">
        <v>45345.833333333336</v>
      </c>
      <c r="AT35" s="21" t="s">
        <v>656</v>
      </c>
      <c r="AW35" s="21" t="s">
        <v>656</v>
      </c>
      <c r="BC35" s="21" t="s">
        <v>704</v>
      </c>
      <c r="BE35" s="24">
        <v>45336.73611111111</v>
      </c>
      <c r="BF35" s="21" t="s">
        <v>704</v>
      </c>
      <c r="BH35" s="24">
        <v>45336.76388888889</v>
      </c>
      <c r="BI35" s="21">
        <v>0.0</v>
      </c>
      <c r="BJ35" s="24">
        <v>45336.645833333336</v>
      </c>
      <c r="BK35" s="24">
        <v>45336.680555555555</v>
      </c>
      <c r="BL35" s="24">
        <v>45336.70347222222</v>
      </c>
      <c r="BM35" s="21" t="s">
        <v>662</v>
      </c>
      <c r="BN35" s="21" t="s">
        <v>654</v>
      </c>
      <c r="BO35" s="21">
        <v>78045.0</v>
      </c>
      <c r="BP35" s="21" t="s">
        <v>1010</v>
      </c>
      <c r="BQ35" s="21" t="s">
        <v>822</v>
      </c>
      <c r="BR35" s="21" t="s">
        <v>665</v>
      </c>
      <c r="BT35" s="21" t="s">
        <v>1068</v>
      </c>
      <c r="BU35" s="21" t="s">
        <v>1068</v>
      </c>
      <c r="BV35" s="21" t="s">
        <v>656</v>
      </c>
      <c r="BW35" s="21" t="s">
        <v>738</v>
      </c>
      <c r="BX35" s="21" t="s">
        <v>739</v>
      </c>
      <c r="BY35" s="21" t="s">
        <v>740</v>
      </c>
      <c r="CA35" s="21">
        <v>72.0</v>
      </c>
      <c r="CB35" s="21" t="s">
        <v>656</v>
      </c>
      <c r="CC35" s="21" t="s">
        <v>656</v>
      </c>
      <c r="CZ35" s="21" t="s">
        <v>671</v>
      </c>
      <c r="DA35" s="21" t="s">
        <v>741</v>
      </c>
      <c r="DB35" s="21" t="s">
        <v>714</v>
      </c>
      <c r="DC35" s="21" t="s">
        <v>715</v>
      </c>
      <c r="DD35" s="21">
        <v>12.0</v>
      </c>
      <c r="DE35" s="21" t="s">
        <v>656</v>
      </c>
      <c r="DF35" s="21">
        <v>0.25</v>
      </c>
      <c r="DG35" s="21">
        <v>52000.0</v>
      </c>
      <c r="DH35" s="21" t="s">
        <v>964</v>
      </c>
      <c r="DI35" s="21" t="s">
        <v>771</v>
      </c>
      <c r="DK35" s="21" t="s">
        <v>1012</v>
      </c>
      <c r="DL35" s="21" t="s">
        <v>824</v>
      </c>
      <c r="DN35" s="21" t="s">
        <v>656</v>
      </c>
      <c r="EO35" s="21">
        <v>2011.0</v>
      </c>
      <c r="EP35" s="21">
        <v>2011.0</v>
      </c>
      <c r="EQ35" s="21" t="s">
        <v>674</v>
      </c>
      <c r="ES35" s="21" t="s">
        <v>675</v>
      </c>
      <c r="EV35" s="21" t="s">
        <v>718</v>
      </c>
      <c r="FC35" s="21" t="s">
        <v>677</v>
      </c>
      <c r="FD35" s="21" t="s">
        <v>656</v>
      </c>
      <c r="FF35" s="21">
        <v>660.0</v>
      </c>
      <c r="FH35" s="21" t="s">
        <v>656</v>
      </c>
      <c r="FI35" s="21" t="s">
        <v>656</v>
      </c>
      <c r="FL35" s="21" t="s">
        <v>656</v>
      </c>
      <c r="FO35" s="21">
        <v>40000.0</v>
      </c>
      <c r="FP35" s="21">
        <v>44.0</v>
      </c>
      <c r="FQ35" s="21">
        <v>138.0</v>
      </c>
      <c r="FR35" s="21">
        <v>150000.0</v>
      </c>
      <c r="FS35" s="21">
        <v>0.0</v>
      </c>
      <c r="FT35" s="21">
        <v>0.0</v>
      </c>
      <c r="FV35" s="21">
        <v>1.57</v>
      </c>
      <c r="FW35" s="21">
        <v>190182.0</v>
      </c>
      <c r="FX35" s="21">
        <v>0.0</v>
      </c>
      <c r="FY35" s="21">
        <v>0.0</v>
      </c>
      <c r="FZ35" s="21">
        <v>0.0</v>
      </c>
      <c r="GA35" s="21">
        <v>0.0</v>
      </c>
      <c r="GB35" s="21" t="s">
        <v>656</v>
      </c>
      <c r="GF35" s="21">
        <v>80.0</v>
      </c>
      <c r="GG35" s="21">
        <v>5141.0</v>
      </c>
      <c r="GH35" s="21">
        <v>1440.0</v>
      </c>
      <c r="GI35" s="21" t="s">
        <v>774</v>
      </c>
      <c r="GK35" s="25">
        <v>40827.0</v>
      </c>
      <c r="GL35" s="21" t="s">
        <v>656</v>
      </c>
      <c r="GM35" s="21" t="s">
        <v>679</v>
      </c>
      <c r="GN35" s="21" t="s">
        <v>656</v>
      </c>
      <c r="GQ35" s="21" t="s">
        <v>656</v>
      </c>
      <c r="GS35" s="21" t="s">
        <v>720</v>
      </c>
      <c r="GT35" s="21" t="s">
        <v>720</v>
      </c>
      <c r="GU35" s="21">
        <v>14784.0</v>
      </c>
      <c r="GV35" s="21" t="s">
        <v>659</v>
      </c>
      <c r="HD35" s="21" t="s">
        <v>656</v>
      </c>
      <c r="HK35" s="21" t="s">
        <v>680</v>
      </c>
      <c r="HL35" s="21" t="s">
        <v>656</v>
      </c>
      <c r="HQ35" s="21" t="s">
        <v>696</v>
      </c>
      <c r="HR35" s="21" t="s">
        <v>1069</v>
      </c>
      <c r="HT35" s="21" t="s">
        <v>682</v>
      </c>
      <c r="IH35" s="21" t="s">
        <v>656</v>
      </c>
      <c r="II35" s="21" t="s">
        <v>656</v>
      </c>
      <c r="IN35" s="21" t="s">
        <v>725</v>
      </c>
      <c r="IO35" s="21" t="s">
        <v>726</v>
      </c>
      <c r="IP35" s="21" t="s">
        <v>726</v>
      </c>
      <c r="JT35" s="21" t="s">
        <v>696</v>
      </c>
      <c r="JU35" s="21" t="s">
        <v>1070</v>
      </c>
      <c r="JV35" s="21" t="s">
        <v>659</v>
      </c>
      <c r="KB35" s="21" t="s">
        <v>659</v>
      </c>
      <c r="KF35" s="21" t="s">
        <v>659</v>
      </c>
      <c r="KL35" s="21" t="s">
        <v>656</v>
      </c>
      <c r="KM35" s="21" t="s">
        <v>656</v>
      </c>
      <c r="KN35" s="21" t="s">
        <v>656</v>
      </c>
      <c r="KO35" s="21" t="s">
        <v>659</v>
      </c>
      <c r="QW35" s="21" t="s">
        <v>656</v>
      </c>
      <c r="TI35" s="21" t="s">
        <v>656</v>
      </c>
      <c r="TL35" s="21" t="s">
        <v>656</v>
      </c>
      <c r="TZ35" s="21" t="s">
        <v>656</v>
      </c>
      <c r="WL35" s="21" t="s">
        <v>1055</v>
      </c>
      <c r="WM35" s="21" t="s">
        <v>1056</v>
      </c>
      <c r="WN35" s="21" t="s">
        <v>792</v>
      </c>
      <c r="WO35" s="21" t="s">
        <v>1057</v>
      </c>
      <c r="WT35" s="21" t="s">
        <v>689</v>
      </c>
      <c r="WU35" s="21" t="s">
        <v>991</v>
      </c>
      <c r="WV35" s="21" t="s">
        <v>906</v>
      </c>
      <c r="WW35" s="21" t="s">
        <v>690</v>
      </c>
      <c r="WX35" s="21" t="s">
        <v>1071</v>
      </c>
    </row>
    <row r="36">
      <c r="A36" s="21">
        <v>176.0</v>
      </c>
      <c r="B36" s="22">
        <v>45350.0</v>
      </c>
      <c r="C36" s="21">
        <v>2024.0</v>
      </c>
      <c r="D36" s="21">
        <v>2.0240025E7</v>
      </c>
      <c r="E36" s="21">
        <v>39487.0</v>
      </c>
      <c r="F36" s="21" t="s">
        <v>778</v>
      </c>
      <c r="G36" s="21">
        <v>40069.0</v>
      </c>
      <c r="H36" s="21" t="s">
        <v>993</v>
      </c>
      <c r="I36" s="21" t="s">
        <v>652</v>
      </c>
      <c r="J36" s="21" t="s">
        <v>653</v>
      </c>
      <c r="K36" s="21" t="s">
        <v>654</v>
      </c>
      <c r="L36" s="21">
        <v>77002.0</v>
      </c>
      <c r="M36" s="23">
        <v>45324.354166666664</v>
      </c>
      <c r="N36" s="21" t="s">
        <v>655</v>
      </c>
      <c r="O36" s="21" t="s">
        <v>656</v>
      </c>
      <c r="P36" s="21">
        <v>28.314722</v>
      </c>
      <c r="Q36" s="21">
        <v>-93.252778</v>
      </c>
      <c r="R36" s="21">
        <v>1390590.0</v>
      </c>
      <c r="S36" s="24">
        <v>45324.37430555555</v>
      </c>
      <c r="T36" s="21">
        <v>1390720.0</v>
      </c>
      <c r="U36" s="21" t="s">
        <v>657</v>
      </c>
      <c r="W36" s="21">
        <v>0.0</v>
      </c>
      <c r="X36" s="21">
        <v>6442.0</v>
      </c>
      <c r="Y36" s="21">
        <v>0.03</v>
      </c>
      <c r="Z36" s="21" t="s">
        <v>656</v>
      </c>
      <c r="AF36" s="21">
        <v>0.0</v>
      </c>
      <c r="AG36" s="21" t="s">
        <v>656</v>
      </c>
      <c r="AM36" s="21">
        <v>0.0</v>
      </c>
      <c r="AN36" s="21" t="s">
        <v>994</v>
      </c>
      <c r="AW36" s="21" t="s">
        <v>656</v>
      </c>
      <c r="BC36" s="21" t="s">
        <v>704</v>
      </c>
      <c r="BE36" s="24">
        <v>44619.708333333336</v>
      </c>
      <c r="BF36" s="21" t="s">
        <v>704</v>
      </c>
      <c r="BH36" s="24">
        <v>44790.364583333336</v>
      </c>
      <c r="BI36" s="21">
        <v>0.0</v>
      </c>
      <c r="BJ36" s="24">
        <v>45323.927083333336</v>
      </c>
      <c r="BK36" s="24">
        <v>45324.354166666664</v>
      </c>
      <c r="BL36" s="24">
        <v>45324.354166666664</v>
      </c>
      <c r="BM36" s="21" t="s">
        <v>705</v>
      </c>
      <c r="BT36" s="21" t="s">
        <v>995</v>
      </c>
      <c r="BU36" s="21" t="s">
        <v>1007</v>
      </c>
      <c r="CP36" s="21">
        <v>185.0</v>
      </c>
      <c r="CQ36" s="21" t="s">
        <v>708</v>
      </c>
      <c r="CV36" s="21" t="s">
        <v>997</v>
      </c>
      <c r="CW36" s="21" t="s">
        <v>998</v>
      </c>
      <c r="CX36" s="21">
        <v>551.0</v>
      </c>
      <c r="CY36" s="21" t="s">
        <v>711</v>
      </c>
      <c r="CZ36" s="21" t="s">
        <v>712</v>
      </c>
      <c r="DA36" s="21" t="s">
        <v>713</v>
      </c>
      <c r="DB36" s="21" t="s">
        <v>714</v>
      </c>
      <c r="DC36" s="21" t="s">
        <v>715</v>
      </c>
      <c r="DD36" s="21">
        <v>30.0</v>
      </c>
      <c r="DE36" s="21" t="s">
        <v>656</v>
      </c>
      <c r="DF36" s="21">
        <v>0.562</v>
      </c>
      <c r="DG36" s="21">
        <v>60000.0</v>
      </c>
      <c r="DH36" s="21" t="s">
        <v>895</v>
      </c>
      <c r="DI36" s="21" t="s">
        <v>848</v>
      </c>
      <c r="DK36" s="21" t="s">
        <v>999</v>
      </c>
      <c r="DL36" s="21" t="s">
        <v>696</v>
      </c>
      <c r="DM36" s="21" t="s">
        <v>1000</v>
      </c>
      <c r="DN36" s="21" t="s">
        <v>684</v>
      </c>
      <c r="EO36" s="21">
        <v>1975.0</v>
      </c>
      <c r="EP36" s="21">
        <v>1975.0</v>
      </c>
      <c r="EQ36" s="21" t="s">
        <v>674</v>
      </c>
      <c r="ES36" s="21" t="s">
        <v>675</v>
      </c>
      <c r="EV36" s="21" t="s">
        <v>718</v>
      </c>
      <c r="FC36" s="21" t="s">
        <v>677</v>
      </c>
      <c r="FD36" s="21" t="s">
        <v>656</v>
      </c>
      <c r="FF36" s="21">
        <v>717.0</v>
      </c>
      <c r="FH36" s="21" t="s">
        <v>656</v>
      </c>
      <c r="FI36" s="21" t="s">
        <v>656</v>
      </c>
      <c r="FL36" s="21" t="s">
        <v>656</v>
      </c>
      <c r="FO36" s="21">
        <v>0.0</v>
      </c>
      <c r="FP36" s="21">
        <v>0.0</v>
      </c>
      <c r="FQ36" s="21">
        <v>13754.0</v>
      </c>
      <c r="FR36" s="21">
        <v>870721.0</v>
      </c>
      <c r="FS36" s="21">
        <v>0.0</v>
      </c>
      <c r="FT36" s="21">
        <v>0.0</v>
      </c>
      <c r="FV36" s="21">
        <v>2.135</v>
      </c>
      <c r="FW36" s="21">
        <v>884475.0</v>
      </c>
      <c r="FX36" s="21">
        <v>0.0</v>
      </c>
      <c r="FY36" s="21">
        <v>0.0</v>
      </c>
      <c r="FZ36" s="21">
        <v>0.0</v>
      </c>
      <c r="GA36" s="21">
        <v>0.0</v>
      </c>
      <c r="GB36" s="21" t="s">
        <v>656</v>
      </c>
      <c r="GF36" s="21">
        <v>100.0</v>
      </c>
      <c r="GG36" s="21">
        <v>0.0</v>
      </c>
      <c r="GH36" s="21">
        <v>1200.0</v>
      </c>
      <c r="GI36" s="21" t="s">
        <v>719</v>
      </c>
      <c r="GK36" s="25">
        <v>27456.0</v>
      </c>
      <c r="GL36" s="21" t="s">
        <v>656</v>
      </c>
      <c r="GM36" s="21" t="s">
        <v>679</v>
      </c>
      <c r="GN36" s="21" t="s">
        <v>656</v>
      </c>
      <c r="GQ36" s="21" t="s">
        <v>656</v>
      </c>
      <c r="GS36" s="21" t="s">
        <v>720</v>
      </c>
      <c r="GT36" s="21" t="s">
        <v>720</v>
      </c>
      <c r="GU36" s="21">
        <v>318991.0</v>
      </c>
      <c r="GV36" s="21" t="s">
        <v>659</v>
      </c>
      <c r="HD36" s="21" t="s">
        <v>659</v>
      </c>
      <c r="HI36" s="21" t="s">
        <v>659</v>
      </c>
      <c r="HJ36" s="21" t="s">
        <v>1001</v>
      </c>
      <c r="HK36" s="21" t="s">
        <v>1002</v>
      </c>
      <c r="HL36" s="21" t="s">
        <v>659</v>
      </c>
      <c r="HM36" s="21" t="s">
        <v>659</v>
      </c>
      <c r="HN36" s="21" t="s">
        <v>659</v>
      </c>
      <c r="HO36" s="21" t="s">
        <v>656</v>
      </c>
      <c r="HP36" s="21" t="s">
        <v>656</v>
      </c>
      <c r="HQ36" s="21" t="s">
        <v>941</v>
      </c>
      <c r="HT36" s="21" t="s">
        <v>723</v>
      </c>
      <c r="HU36" s="21" t="s">
        <v>1004</v>
      </c>
      <c r="IH36" s="21" t="s">
        <v>656</v>
      </c>
      <c r="II36" s="21" t="s">
        <v>656</v>
      </c>
      <c r="IN36" s="21" t="s">
        <v>725</v>
      </c>
      <c r="IO36" s="21" t="s">
        <v>726</v>
      </c>
      <c r="IP36" s="21" t="s">
        <v>726</v>
      </c>
      <c r="JT36" s="21" t="s">
        <v>727</v>
      </c>
      <c r="JW36" s="21" t="s">
        <v>659</v>
      </c>
      <c r="JX36" s="21" t="s">
        <v>659</v>
      </c>
      <c r="KB36" s="21" t="s">
        <v>659</v>
      </c>
      <c r="KF36" s="21" t="s">
        <v>659</v>
      </c>
      <c r="KL36" s="21" t="s">
        <v>656</v>
      </c>
      <c r="KM36" s="21" t="s">
        <v>656</v>
      </c>
      <c r="KN36" s="21" t="s">
        <v>656</v>
      </c>
      <c r="KO36" s="21" t="s">
        <v>659</v>
      </c>
      <c r="QW36" s="21" t="s">
        <v>656</v>
      </c>
      <c r="TI36" s="21" t="s">
        <v>656</v>
      </c>
      <c r="TL36" s="21" t="s">
        <v>656</v>
      </c>
      <c r="TZ36" s="21" t="s">
        <v>656</v>
      </c>
      <c r="WL36" s="21" t="s">
        <v>729</v>
      </c>
      <c r="WM36" s="21" t="s">
        <v>747</v>
      </c>
      <c r="WN36" s="21" t="s">
        <v>731</v>
      </c>
      <c r="WO36" s="21" t="s">
        <v>990</v>
      </c>
      <c r="WT36" s="21" t="s">
        <v>689</v>
      </c>
      <c r="WU36" s="21" t="s">
        <v>730</v>
      </c>
      <c r="WV36" s="21" t="s">
        <v>906</v>
      </c>
      <c r="WW36" s="21" t="s">
        <v>690</v>
      </c>
      <c r="WX36" s="21" t="s">
        <v>1072</v>
      </c>
    </row>
    <row r="37">
      <c r="A37" s="21">
        <v>182.0</v>
      </c>
      <c r="B37" s="22">
        <v>45338.0</v>
      </c>
      <c r="C37" s="21">
        <v>2024.0</v>
      </c>
      <c r="D37" s="21">
        <v>2.0240019E7</v>
      </c>
      <c r="E37" s="21">
        <v>39204.0</v>
      </c>
      <c r="F37" s="21" t="s">
        <v>650</v>
      </c>
      <c r="G37" s="21">
        <v>32099.0</v>
      </c>
      <c r="H37" s="21" t="s">
        <v>651</v>
      </c>
      <c r="I37" s="21" t="s">
        <v>652</v>
      </c>
      <c r="J37" s="21" t="s">
        <v>653</v>
      </c>
      <c r="K37" s="21" t="s">
        <v>654</v>
      </c>
      <c r="L37" s="21">
        <v>77002.0</v>
      </c>
      <c r="M37" s="23">
        <v>45316.67083333333</v>
      </c>
      <c r="N37" s="21" t="s">
        <v>655</v>
      </c>
      <c r="O37" s="21" t="s">
        <v>656</v>
      </c>
      <c r="P37" s="21">
        <v>32.911481</v>
      </c>
      <c r="Q37" s="21">
        <v>-93.362856</v>
      </c>
      <c r="R37" s="21">
        <v>1389955.0</v>
      </c>
      <c r="S37" s="24">
        <v>45316.73263888889</v>
      </c>
      <c r="T37" s="21">
        <v>1390036.0</v>
      </c>
      <c r="U37" s="21" t="s">
        <v>657</v>
      </c>
      <c r="W37" s="21">
        <v>502.32</v>
      </c>
      <c r="X37" s="21">
        <v>0.0</v>
      </c>
      <c r="Y37" s="21">
        <v>0.5</v>
      </c>
      <c r="Z37" s="21" t="s">
        <v>656</v>
      </c>
      <c r="AF37" s="21">
        <v>0.0</v>
      </c>
      <c r="AG37" s="21" t="s">
        <v>656</v>
      </c>
      <c r="AM37" s="21">
        <v>0.0</v>
      </c>
      <c r="AN37" s="21" t="s">
        <v>658</v>
      </c>
      <c r="AO37" s="21" t="s">
        <v>659</v>
      </c>
      <c r="AQ37" s="24">
        <v>45316.69097222222</v>
      </c>
      <c r="AS37" s="21" t="s">
        <v>659</v>
      </c>
      <c r="AT37" s="21" t="s">
        <v>659</v>
      </c>
      <c r="AU37" s="21" t="s">
        <v>660</v>
      </c>
      <c r="AV37" s="24">
        <v>45316.69097222222</v>
      </c>
      <c r="AW37" s="21" t="s">
        <v>656</v>
      </c>
      <c r="BC37" s="21" t="s">
        <v>704</v>
      </c>
      <c r="BE37" s="24">
        <v>45316.68819444445</v>
      </c>
      <c r="BF37" s="21" t="s">
        <v>704</v>
      </c>
      <c r="BH37" s="24">
        <v>45316.69097222222</v>
      </c>
      <c r="BI37" s="21">
        <v>0.0</v>
      </c>
      <c r="BJ37" s="24">
        <v>45316.67083333333</v>
      </c>
      <c r="BK37" s="24">
        <v>45316.68402777778</v>
      </c>
      <c r="BL37" s="24">
        <v>45316.68402777778</v>
      </c>
      <c r="BM37" s="21" t="s">
        <v>662</v>
      </c>
      <c r="BN37" s="21" t="s">
        <v>751</v>
      </c>
      <c r="BO37" s="21">
        <v>71071.0</v>
      </c>
      <c r="BP37" s="21" t="s">
        <v>1073</v>
      </c>
      <c r="BQ37" s="21" t="s">
        <v>1074</v>
      </c>
      <c r="BR37" s="21" t="s">
        <v>735</v>
      </c>
      <c r="BS37" s="21" t="s">
        <v>1075</v>
      </c>
      <c r="BT37" s="21" t="s">
        <v>1076</v>
      </c>
      <c r="BU37" s="21" t="s">
        <v>1077</v>
      </c>
      <c r="BV37" s="21" t="s">
        <v>656</v>
      </c>
      <c r="BW37" s="21" t="s">
        <v>738</v>
      </c>
      <c r="BX37" s="21" t="s">
        <v>739</v>
      </c>
      <c r="BY37" s="21" t="s">
        <v>740</v>
      </c>
      <c r="CA37" s="21">
        <v>6.0</v>
      </c>
      <c r="CB37" s="21" t="s">
        <v>656</v>
      </c>
      <c r="CC37" s="21" t="s">
        <v>656</v>
      </c>
      <c r="CZ37" s="21" t="s">
        <v>671</v>
      </c>
      <c r="DA37" s="21" t="s">
        <v>741</v>
      </c>
      <c r="DB37" s="21" t="s">
        <v>714</v>
      </c>
      <c r="DC37" s="21" t="s">
        <v>715</v>
      </c>
      <c r="DD37" s="21">
        <v>8.0</v>
      </c>
      <c r="DE37" s="21" t="s">
        <v>656</v>
      </c>
      <c r="DF37" s="21">
        <v>0.322</v>
      </c>
      <c r="DG37" s="21">
        <v>24000.0</v>
      </c>
      <c r="DH37" s="21" t="s">
        <v>684</v>
      </c>
      <c r="DI37" s="21" t="s">
        <v>742</v>
      </c>
      <c r="DK37" s="21" t="s">
        <v>684</v>
      </c>
      <c r="DL37" s="21" t="s">
        <v>743</v>
      </c>
      <c r="DN37" s="21" t="s">
        <v>656</v>
      </c>
      <c r="EO37" s="21" t="s">
        <v>684</v>
      </c>
      <c r="EP37" s="21" t="s">
        <v>684</v>
      </c>
      <c r="EQ37" s="21" t="s">
        <v>674</v>
      </c>
      <c r="ES37" s="21" t="s">
        <v>744</v>
      </c>
      <c r="EX37" s="21" t="s">
        <v>773</v>
      </c>
      <c r="EZ37" s="21">
        <v>36.0</v>
      </c>
      <c r="FA37" s="21">
        <v>14.0</v>
      </c>
      <c r="FC37" s="21" t="s">
        <v>677</v>
      </c>
      <c r="FD37" s="21" t="s">
        <v>656</v>
      </c>
      <c r="FF37" s="21">
        <v>171.0</v>
      </c>
      <c r="FH37" s="21" t="s">
        <v>656</v>
      </c>
      <c r="FI37" s="21" t="s">
        <v>656</v>
      </c>
      <c r="FL37" s="21" t="s">
        <v>656</v>
      </c>
      <c r="FO37" s="21">
        <v>0.0</v>
      </c>
      <c r="FP37" s="21">
        <v>1093.0</v>
      </c>
      <c r="FQ37" s="21">
        <v>0.0</v>
      </c>
      <c r="FR37" s="21">
        <v>227148.0</v>
      </c>
      <c r="FS37" s="21">
        <v>0.0</v>
      </c>
      <c r="FT37" s="21">
        <v>0.0</v>
      </c>
      <c r="FV37" s="21">
        <v>2.175</v>
      </c>
      <c r="FW37" s="21">
        <v>228241.0</v>
      </c>
      <c r="FX37" s="21">
        <v>0.0</v>
      </c>
      <c r="FY37" s="21">
        <v>0.0</v>
      </c>
      <c r="FZ37" s="21">
        <v>0.0</v>
      </c>
      <c r="GA37" s="21">
        <v>0.0</v>
      </c>
      <c r="GB37" s="21" t="s">
        <v>656</v>
      </c>
      <c r="GF37" s="21">
        <v>360.0</v>
      </c>
      <c r="GG37" s="21">
        <v>12000.0</v>
      </c>
      <c r="GH37" s="21">
        <v>692.0</v>
      </c>
      <c r="GI37" s="21" t="s">
        <v>774</v>
      </c>
      <c r="GK37" s="25">
        <v>37029.0</v>
      </c>
      <c r="GL37" s="21" t="s">
        <v>656</v>
      </c>
      <c r="GM37" s="21" t="s">
        <v>679</v>
      </c>
      <c r="GN37" s="21" t="s">
        <v>656</v>
      </c>
      <c r="GQ37" s="21" t="s">
        <v>656</v>
      </c>
      <c r="GS37" s="21" t="s">
        <v>720</v>
      </c>
      <c r="GT37" s="21" t="s">
        <v>720</v>
      </c>
      <c r="GU37" s="21">
        <v>11018.0</v>
      </c>
      <c r="GV37" s="21" t="s">
        <v>659</v>
      </c>
      <c r="HD37" s="21" t="s">
        <v>656</v>
      </c>
      <c r="HK37" s="21" t="s">
        <v>680</v>
      </c>
      <c r="HL37" s="21" t="s">
        <v>656</v>
      </c>
      <c r="HQ37" s="21" t="s">
        <v>806</v>
      </c>
      <c r="HT37" s="21" t="s">
        <v>682</v>
      </c>
      <c r="IH37" s="21" t="s">
        <v>656</v>
      </c>
      <c r="II37" s="21" t="s">
        <v>656</v>
      </c>
      <c r="IN37" s="21" t="s">
        <v>725</v>
      </c>
      <c r="IO37" s="21" t="s">
        <v>726</v>
      </c>
      <c r="IP37" s="21" t="s">
        <v>726</v>
      </c>
      <c r="JT37" s="21" t="s">
        <v>901</v>
      </c>
      <c r="JV37" s="21" t="s">
        <v>659</v>
      </c>
      <c r="JW37" s="21" t="s">
        <v>659</v>
      </c>
      <c r="JX37" s="21" t="s">
        <v>659</v>
      </c>
      <c r="KB37" s="21" t="s">
        <v>659</v>
      </c>
      <c r="KF37" s="21" t="s">
        <v>659</v>
      </c>
      <c r="KL37" s="21" t="s">
        <v>659</v>
      </c>
      <c r="KM37" s="21" t="s">
        <v>656</v>
      </c>
      <c r="KN37" s="21" t="s">
        <v>659</v>
      </c>
      <c r="KO37" s="21" t="s">
        <v>659</v>
      </c>
      <c r="QW37" s="21" t="s">
        <v>656</v>
      </c>
      <c r="TI37" s="21" t="s">
        <v>659</v>
      </c>
      <c r="TJ37" s="21">
        <v>2001.0</v>
      </c>
      <c r="TK37" s="21">
        <v>816.0</v>
      </c>
      <c r="TL37" s="21" t="s">
        <v>656</v>
      </c>
      <c r="TZ37" s="21" t="s">
        <v>656</v>
      </c>
      <c r="WL37" s="21" t="s">
        <v>729</v>
      </c>
      <c r="WM37" s="21" t="s">
        <v>747</v>
      </c>
      <c r="WN37" s="21" t="s">
        <v>731</v>
      </c>
      <c r="WO37" s="21" t="s">
        <v>990</v>
      </c>
      <c r="WT37" s="21" t="s">
        <v>689</v>
      </c>
      <c r="WU37" s="21" t="s">
        <v>730</v>
      </c>
      <c r="WV37" s="21" t="s">
        <v>1078</v>
      </c>
      <c r="WW37" s="21" t="s">
        <v>690</v>
      </c>
      <c r="WX37" s="21" t="s">
        <v>1079</v>
      </c>
    </row>
    <row r="38">
      <c r="A38" s="21">
        <v>183.0</v>
      </c>
      <c r="B38" s="22">
        <v>45344.0</v>
      </c>
      <c r="C38" s="21">
        <v>2024.0</v>
      </c>
      <c r="D38" s="21">
        <v>2.0240022E7</v>
      </c>
      <c r="E38" s="21">
        <v>39722.0</v>
      </c>
      <c r="F38" s="21" t="s">
        <v>778</v>
      </c>
      <c r="G38" s="21">
        <v>32099.0</v>
      </c>
      <c r="H38" s="21" t="s">
        <v>651</v>
      </c>
      <c r="I38" s="21" t="s">
        <v>652</v>
      </c>
      <c r="J38" s="21" t="s">
        <v>653</v>
      </c>
      <c r="K38" s="21" t="s">
        <v>654</v>
      </c>
      <c r="L38" s="21">
        <v>77002.0</v>
      </c>
      <c r="M38" s="23">
        <v>45315.145833333336</v>
      </c>
      <c r="N38" s="21" t="s">
        <v>655</v>
      </c>
      <c r="O38" s="21" t="s">
        <v>656</v>
      </c>
      <c r="P38" s="21">
        <v>28.018098</v>
      </c>
      <c r="Q38" s="21">
        <v>-99.724361</v>
      </c>
      <c r="R38" s="21">
        <v>1389762.0</v>
      </c>
      <c r="S38" s="24">
        <v>45315.15416666667</v>
      </c>
      <c r="T38" s="21">
        <v>1389954.0</v>
      </c>
      <c r="U38" s="21" t="s">
        <v>657</v>
      </c>
      <c r="W38" s="21">
        <v>257000.0</v>
      </c>
      <c r="X38" s="21">
        <v>0.0</v>
      </c>
      <c r="Y38" s="21">
        <v>0.0</v>
      </c>
      <c r="Z38" s="21" t="s">
        <v>656</v>
      </c>
      <c r="AF38" s="21">
        <v>0.0</v>
      </c>
      <c r="AG38" s="21" t="s">
        <v>656</v>
      </c>
      <c r="AM38" s="21">
        <v>0.0</v>
      </c>
      <c r="AN38" s="21" t="s">
        <v>658</v>
      </c>
      <c r="AO38" s="21" t="s">
        <v>659</v>
      </c>
      <c r="AQ38" s="24">
        <v>45315.114583333336</v>
      </c>
      <c r="AR38" s="24">
        <v>45315.27847222222</v>
      </c>
      <c r="AT38" s="21" t="s">
        <v>659</v>
      </c>
      <c r="AU38" s="21" t="s">
        <v>660</v>
      </c>
      <c r="AV38" s="24">
        <v>45315.123611111114</v>
      </c>
      <c r="AW38" s="21" t="s">
        <v>659</v>
      </c>
      <c r="AX38" s="24">
        <v>45315.066666666666</v>
      </c>
      <c r="AY38" s="21" t="s">
        <v>765</v>
      </c>
      <c r="BA38" s="21">
        <v>257.04</v>
      </c>
      <c r="BB38" s="21" t="s">
        <v>656</v>
      </c>
      <c r="BI38" s="21">
        <v>0.0</v>
      </c>
      <c r="BJ38" s="24">
        <v>45315.066666666666</v>
      </c>
      <c r="BK38" s="24">
        <v>45315.11319444444</v>
      </c>
      <c r="BL38" s="24">
        <v>45315.145833333336</v>
      </c>
      <c r="BM38" s="21" t="s">
        <v>662</v>
      </c>
      <c r="BN38" s="21" t="s">
        <v>654</v>
      </c>
      <c r="BO38" s="21">
        <v>78041.0</v>
      </c>
      <c r="BP38" s="21" t="s">
        <v>1010</v>
      </c>
      <c r="BQ38" s="21" t="s">
        <v>822</v>
      </c>
      <c r="BR38" s="21" t="s">
        <v>665</v>
      </c>
      <c r="BT38" s="21" t="s">
        <v>1080</v>
      </c>
      <c r="BU38" s="21" t="s">
        <v>1080</v>
      </c>
      <c r="BV38" s="21" t="s">
        <v>656</v>
      </c>
      <c r="BW38" s="21" t="s">
        <v>668</v>
      </c>
      <c r="BX38" s="21" t="s">
        <v>669</v>
      </c>
      <c r="BY38" s="21" t="s">
        <v>670</v>
      </c>
      <c r="CC38" s="21" t="s">
        <v>656</v>
      </c>
      <c r="CZ38" s="21" t="s">
        <v>671</v>
      </c>
      <c r="DA38" s="21" t="s">
        <v>672</v>
      </c>
      <c r="DB38" s="21" t="s">
        <v>673</v>
      </c>
      <c r="EO38" s="21">
        <v>2015.0</v>
      </c>
      <c r="EP38" s="21">
        <v>2015.0</v>
      </c>
      <c r="EQ38" s="21" t="s">
        <v>1081</v>
      </c>
      <c r="ER38" s="21" t="s">
        <v>1082</v>
      </c>
      <c r="ES38" s="21" t="s">
        <v>675</v>
      </c>
      <c r="EV38" s="21" t="s">
        <v>1083</v>
      </c>
      <c r="FC38" s="21" t="s">
        <v>677</v>
      </c>
      <c r="FD38" s="21" t="s">
        <v>656</v>
      </c>
      <c r="FF38" s="21">
        <v>226.0</v>
      </c>
      <c r="FH38" s="21" t="s">
        <v>656</v>
      </c>
      <c r="FI38" s="21" t="s">
        <v>656</v>
      </c>
      <c r="FL38" s="21" t="s">
        <v>656</v>
      </c>
      <c r="FO38" s="21">
        <v>0.0</v>
      </c>
      <c r="FP38" s="21">
        <v>625.0</v>
      </c>
      <c r="FQ38" s="21">
        <v>0.0</v>
      </c>
      <c r="FR38" s="21">
        <v>700000.0</v>
      </c>
      <c r="FS38" s="21">
        <v>0.0</v>
      </c>
      <c r="FT38" s="21">
        <v>0.0</v>
      </c>
      <c r="FV38" s="21">
        <v>2.43</v>
      </c>
      <c r="FW38" s="21">
        <v>700625.0</v>
      </c>
      <c r="FX38" s="21">
        <v>0.0</v>
      </c>
      <c r="FY38" s="21">
        <v>0.0</v>
      </c>
      <c r="FZ38" s="21">
        <v>0.0</v>
      </c>
      <c r="GA38" s="21">
        <v>0.0</v>
      </c>
      <c r="GB38" s="21" t="s">
        <v>656</v>
      </c>
      <c r="GF38" s="21">
        <v>120.0</v>
      </c>
      <c r="GG38" s="21">
        <v>1810.0</v>
      </c>
      <c r="GH38" s="21">
        <v>1440.0</v>
      </c>
      <c r="GI38" s="21" t="s">
        <v>719</v>
      </c>
      <c r="GK38" s="25">
        <v>42186.0</v>
      </c>
      <c r="GL38" s="21" t="s">
        <v>656</v>
      </c>
      <c r="GM38" s="21" t="s">
        <v>679</v>
      </c>
      <c r="GN38" s="21" t="s">
        <v>656</v>
      </c>
      <c r="GQ38" s="21" t="s">
        <v>656</v>
      </c>
      <c r="HK38" s="21" t="s">
        <v>680</v>
      </c>
      <c r="HL38" s="21" t="s">
        <v>659</v>
      </c>
      <c r="HM38" s="21" t="s">
        <v>659</v>
      </c>
      <c r="HN38" s="21" t="s">
        <v>659</v>
      </c>
      <c r="HO38" s="21" t="s">
        <v>659</v>
      </c>
      <c r="HP38" s="21" t="s">
        <v>656</v>
      </c>
      <c r="HQ38" s="21" t="s">
        <v>681</v>
      </c>
      <c r="HT38" s="21" t="s">
        <v>723</v>
      </c>
      <c r="HU38" s="21" t="s">
        <v>1084</v>
      </c>
      <c r="IH38" s="21" t="s">
        <v>656</v>
      </c>
      <c r="II38" s="21" t="s">
        <v>656</v>
      </c>
      <c r="IN38" s="21" t="s">
        <v>761</v>
      </c>
      <c r="IO38" s="21" t="s">
        <v>1085</v>
      </c>
      <c r="OU38" s="21" t="s">
        <v>1085</v>
      </c>
      <c r="PK38" s="21" t="s">
        <v>1086</v>
      </c>
      <c r="QE38" s="21" t="s">
        <v>659</v>
      </c>
      <c r="QF38" s="21" t="s">
        <v>1087</v>
      </c>
      <c r="WL38" s="21" t="s">
        <v>689</v>
      </c>
      <c r="WM38" s="21" t="s">
        <v>730</v>
      </c>
      <c r="WN38" s="21" t="s">
        <v>690</v>
      </c>
      <c r="WO38" s="21" t="s">
        <v>906</v>
      </c>
      <c r="WT38" s="21" t="s">
        <v>689</v>
      </c>
      <c r="WU38" s="21" t="s">
        <v>730</v>
      </c>
      <c r="WV38" s="21" t="s">
        <v>906</v>
      </c>
      <c r="WW38" s="21" t="s">
        <v>690</v>
      </c>
      <c r="WX38" s="21" t="s">
        <v>1088</v>
      </c>
    </row>
    <row r="39">
      <c r="A39" s="21">
        <v>189.0</v>
      </c>
      <c r="B39" s="22">
        <v>45324.0</v>
      </c>
      <c r="C39" s="21">
        <v>2024.0</v>
      </c>
      <c r="D39" s="21">
        <v>2.0240013E7</v>
      </c>
      <c r="E39" s="21">
        <v>39144.0</v>
      </c>
      <c r="F39" s="21" t="s">
        <v>701</v>
      </c>
      <c r="G39" s="21">
        <v>19730.0</v>
      </c>
      <c r="H39" s="21" t="s">
        <v>750</v>
      </c>
      <c r="I39" s="21" t="s">
        <v>652</v>
      </c>
      <c r="J39" s="21" t="s">
        <v>653</v>
      </c>
      <c r="K39" s="21" t="s">
        <v>654</v>
      </c>
      <c r="L39" s="21">
        <v>77002.0</v>
      </c>
      <c r="M39" s="23">
        <v>45302.125</v>
      </c>
      <c r="N39" s="21" t="s">
        <v>655</v>
      </c>
      <c r="O39" s="21" t="s">
        <v>656</v>
      </c>
      <c r="P39" s="21">
        <v>31.600806</v>
      </c>
      <c r="Q39" s="21">
        <v>-92.430758</v>
      </c>
      <c r="R39" s="21">
        <v>1388743.0</v>
      </c>
      <c r="S39" s="24">
        <v>45302.631944444445</v>
      </c>
      <c r="T39" s="21">
        <v>1388792.0</v>
      </c>
      <c r="U39" s="21" t="s">
        <v>657</v>
      </c>
      <c r="W39" s="21">
        <v>15000.0</v>
      </c>
      <c r="X39" s="21">
        <v>0.0</v>
      </c>
      <c r="Y39" s="21">
        <v>0.0</v>
      </c>
      <c r="Z39" s="21" t="s">
        <v>656</v>
      </c>
      <c r="AF39" s="21">
        <v>0.0</v>
      </c>
      <c r="AG39" s="21" t="s">
        <v>656</v>
      </c>
      <c r="AM39" s="21">
        <v>0.0</v>
      </c>
      <c r="AN39" s="21" t="s">
        <v>658</v>
      </c>
      <c r="AO39" s="21" t="s">
        <v>656</v>
      </c>
      <c r="AP39" s="21" t="s">
        <v>1089</v>
      </c>
      <c r="AT39" s="21" t="s">
        <v>659</v>
      </c>
      <c r="AU39" s="21" t="s">
        <v>660</v>
      </c>
      <c r="AV39" s="24">
        <v>45302.145833333336</v>
      </c>
      <c r="AW39" s="21" t="s">
        <v>656</v>
      </c>
      <c r="BI39" s="21">
        <v>0.0</v>
      </c>
      <c r="BJ39" s="24">
        <v>45302.125</v>
      </c>
      <c r="BK39" s="24">
        <v>45302.145833333336</v>
      </c>
      <c r="BL39" s="24">
        <v>45302.125</v>
      </c>
      <c r="BM39" s="21" t="s">
        <v>662</v>
      </c>
      <c r="BN39" s="21" t="s">
        <v>751</v>
      </c>
      <c r="BO39" s="21">
        <v>71467.0</v>
      </c>
      <c r="BP39" s="21" t="s">
        <v>1090</v>
      </c>
      <c r="BQ39" s="21" t="s">
        <v>1091</v>
      </c>
      <c r="BR39" s="21" t="s">
        <v>665</v>
      </c>
      <c r="BT39" s="21" t="s">
        <v>1092</v>
      </c>
      <c r="BU39" s="21" t="s">
        <v>1093</v>
      </c>
      <c r="BV39" s="21" t="s">
        <v>656</v>
      </c>
      <c r="BW39" s="21" t="s">
        <v>668</v>
      </c>
      <c r="BX39" s="21" t="s">
        <v>669</v>
      </c>
      <c r="BY39" s="21" t="s">
        <v>670</v>
      </c>
      <c r="CC39" s="21" t="s">
        <v>656</v>
      </c>
      <c r="CZ39" s="21" t="s">
        <v>712</v>
      </c>
      <c r="DA39" s="21" t="s">
        <v>672</v>
      </c>
      <c r="DB39" s="21" t="s">
        <v>673</v>
      </c>
      <c r="EO39" s="21" t="s">
        <v>684</v>
      </c>
      <c r="EP39" s="21" t="s">
        <v>684</v>
      </c>
      <c r="EQ39" s="21" t="s">
        <v>674</v>
      </c>
      <c r="ES39" s="21" t="s">
        <v>696</v>
      </c>
      <c r="FB39" s="21" t="s">
        <v>1094</v>
      </c>
      <c r="FC39" s="21" t="s">
        <v>677</v>
      </c>
      <c r="FD39" s="21" t="s">
        <v>656</v>
      </c>
      <c r="FF39" s="21">
        <v>745.0</v>
      </c>
      <c r="FH39" s="21" t="s">
        <v>656</v>
      </c>
      <c r="FI39" s="21" t="s">
        <v>656</v>
      </c>
      <c r="FL39" s="21" t="s">
        <v>656</v>
      </c>
      <c r="FO39" s="21">
        <v>0.0</v>
      </c>
      <c r="FP39" s="21">
        <v>44400.0</v>
      </c>
      <c r="FQ39" s="21">
        <v>0.0</v>
      </c>
      <c r="FR39" s="21">
        <v>1000.0</v>
      </c>
      <c r="FS39" s="21">
        <v>0.0</v>
      </c>
      <c r="FT39" s="21">
        <v>0.0</v>
      </c>
      <c r="FV39" s="21">
        <v>2.96</v>
      </c>
      <c r="FW39" s="21">
        <v>45400.0</v>
      </c>
      <c r="FX39" s="21">
        <v>0.0</v>
      </c>
      <c r="FY39" s="21">
        <v>0.0</v>
      </c>
      <c r="FZ39" s="21">
        <v>0.0</v>
      </c>
      <c r="GA39" s="21">
        <v>0.0</v>
      </c>
      <c r="GB39" s="21" t="s">
        <v>656</v>
      </c>
      <c r="GF39" s="21">
        <v>876.0</v>
      </c>
      <c r="GG39" s="21">
        <v>502000.0</v>
      </c>
      <c r="GH39" s="21">
        <v>900.0</v>
      </c>
      <c r="GI39" s="21" t="s">
        <v>1095</v>
      </c>
      <c r="GK39" s="25">
        <v>25748.0</v>
      </c>
      <c r="GL39" s="21" t="s">
        <v>656</v>
      </c>
      <c r="GM39" s="21" t="s">
        <v>679</v>
      </c>
      <c r="GN39" s="21" t="s">
        <v>656</v>
      </c>
      <c r="GQ39" s="21" t="s">
        <v>656</v>
      </c>
      <c r="HK39" s="21" t="s">
        <v>721</v>
      </c>
      <c r="HL39" s="21" t="s">
        <v>659</v>
      </c>
      <c r="HM39" s="21" t="s">
        <v>659</v>
      </c>
      <c r="HN39" s="21" t="s">
        <v>659</v>
      </c>
      <c r="HO39" s="21" t="s">
        <v>659</v>
      </c>
      <c r="HP39" s="21" t="s">
        <v>659</v>
      </c>
      <c r="HQ39" s="21" t="s">
        <v>681</v>
      </c>
      <c r="HT39" s="21" t="s">
        <v>723</v>
      </c>
      <c r="HU39" s="21" t="s">
        <v>1096</v>
      </c>
      <c r="IH39" s="21" t="s">
        <v>656</v>
      </c>
      <c r="II39" s="21" t="s">
        <v>656</v>
      </c>
      <c r="IN39" s="21" t="s">
        <v>761</v>
      </c>
      <c r="IO39" s="21" t="s">
        <v>762</v>
      </c>
      <c r="OU39" s="21" t="s">
        <v>762</v>
      </c>
      <c r="PB39" s="21" t="s">
        <v>659</v>
      </c>
      <c r="QE39" s="21" t="s">
        <v>659</v>
      </c>
      <c r="QF39" s="21" t="s">
        <v>1097</v>
      </c>
      <c r="WL39" s="21" t="s">
        <v>729</v>
      </c>
      <c r="WM39" s="21" t="s">
        <v>747</v>
      </c>
      <c r="WN39" s="21" t="s">
        <v>731</v>
      </c>
      <c r="WO39" s="21" t="s">
        <v>990</v>
      </c>
      <c r="WT39" s="21" t="s">
        <v>689</v>
      </c>
      <c r="WU39" s="21" t="s">
        <v>730</v>
      </c>
      <c r="WV39" s="21" t="s">
        <v>1078</v>
      </c>
      <c r="WW39" s="21" t="s">
        <v>690</v>
      </c>
      <c r="WX39" s="21" t="s">
        <v>1098</v>
      </c>
    </row>
    <row r="40">
      <c r="A40" s="21">
        <v>222.0</v>
      </c>
      <c r="B40" s="22">
        <v>45232.0</v>
      </c>
      <c r="C40" s="21">
        <v>2023.0</v>
      </c>
      <c r="D40" s="21">
        <v>2.0230099E7</v>
      </c>
      <c r="E40" s="21">
        <v>39400.0</v>
      </c>
      <c r="F40" s="21" t="s">
        <v>778</v>
      </c>
      <c r="G40" s="21">
        <v>602.0</v>
      </c>
      <c r="H40" s="21" t="s">
        <v>859</v>
      </c>
      <c r="I40" s="21" t="s">
        <v>652</v>
      </c>
      <c r="J40" s="21" t="s">
        <v>653</v>
      </c>
      <c r="K40" s="21" t="s">
        <v>654</v>
      </c>
      <c r="L40" s="21">
        <v>77002.0</v>
      </c>
      <c r="M40" s="23">
        <v>45203.73888888889</v>
      </c>
      <c r="N40" s="21" t="s">
        <v>655</v>
      </c>
      <c r="O40" s="21" t="s">
        <v>659</v>
      </c>
      <c r="P40" s="21">
        <v>34.68262454</v>
      </c>
      <c r="Q40" s="21">
        <v>-93.1115072</v>
      </c>
      <c r="R40" s="21">
        <v>1380909.0</v>
      </c>
      <c r="S40" s="24">
        <v>45203.73888888889</v>
      </c>
      <c r="T40" s="21">
        <v>1381352.0</v>
      </c>
      <c r="U40" s="21" t="s">
        <v>657</v>
      </c>
      <c r="W40" s="21">
        <v>99860.0</v>
      </c>
      <c r="X40" s="21">
        <v>0.0</v>
      </c>
      <c r="Y40" s="21">
        <v>0.0</v>
      </c>
      <c r="Z40" s="21" t="s">
        <v>656</v>
      </c>
      <c r="AF40" s="21">
        <v>0.0</v>
      </c>
      <c r="AG40" s="21" t="s">
        <v>656</v>
      </c>
      <c r="AM40" s="21">
        <v>0.0</v>
      </c>
      <c r="AN40" s="21" t="s">
        <v>658</v>
      </c>
      <c r="AO40" s="21" t="s">
        <v>659</v>
      </c>
      <c r="AQ40" s="24">
        <v>45203.770833333336</v>
      </c>
      <c r="AR40" s="24">
        <v>45379.805555555555</v>
      </c>
      <c r="AT40" s="21" t="s">
        <v>659</v>
      </c>
      <c r="AU40" s="21" t="s">
        <v>661</v>
      </c>
      <c r="AV40" s="24">
        <v>45203.71527777778</v>
      </c>
      <c r="AW40" s="21" t="s">
        <v>659</v>
      </c>
      <c r="AX40" s="24">
        <v>45203.69652777778</v>
      </c>
      <c r="AY40" s="21" t="s">
        <v>765</v>
      </c>
      <c r="BA40" s="21">
        <v>99860.0</v>
      </c>
      <c r="BB40" s="21" t="s">
        <v>656</v>
      </c>
      <c r="BC40" s="21" t="s">
        <v>704</v>
      </c>
      <c r="BE40" s="24">
        <v>45203.770833333336</v>
      </c>
      <c r="BF40" s="21" t="s">
        <v>704</v>
      </c>
      <c r="BH40" s="24">
        <v>45203.72986111111</v>
      </c>
      <c r="BI40" s="21">
        <v>2.0</v>
      </c>
      <c r="BJ40" s="24">
        <v>45203.728472222225</v>
      </c>
      <c r="BK40" s="24">
        <v>45203.728472222225</v>
      </c>
      <c r="BL40" s="24">
        <v>45203.728472222225</v>
      </c>
      <c r="BM40" s="21" t="s">
        <v>662</v>
      </c>
      <c r="BN40" s="21" t="s">
        <v>961</v>
      </c>
      <c r="BO40" s="21">
        <v>71949.0</v>
      </c>
      <c r="BP40" s="21" t="s">
        <v>663</v>
      </c>
      <c r="BQ40" s="21" t="s">
        <v>1099</v>
      </c>
      <c r="BR40" s="21" t="s">
        <v>665</v>
      </c>
      <c r="BT40" s="21" t="s">
        <v>1100</v>
      </c>
      <c r="BU40" s="21" t="s">
        <v>1101</v>
      </c>
      <c r="BV40" s="21" t="s">
        <v>656</v>
      </c>
      <c r="BW40" s="21" t="s">
        <v>668</v>
      </c>
      <c r="BX40" s="21" t="s">
        <v>739</v>
      </c>
      <c r="BY40" s="21" t="s">
        <v>740</v>
      </c>
      <c r="CA40" s="21">
        <v>48.0</v>
      </c>
      <c r="CB40" s="21" t="s">
        <v>656</v>
      </c>
      <c r="CC40" s="21" t="s">
        <v>656</v>
      </c>
      <c r="CZ40" s="21" t="s">
        <v>712</v>
      </c>
      <c r="DA40" s="21" t="s">
        <v>741</v>
      </c>
      <c r="DB40" s="21" t="s">
        <v>714</v>
      </c>
      <c r="DC40" s="21" t="s">
        <v>715</v>
      </c>
      <c r="DD40" s="21">
        <v>24.0</v>
      </c>
      <c r="DE40" s="21" t="s">
        <v>656</v>
      </c>
      <c r="DF40" s="21">
        <v>0.281</v>
      </c>
      <c r="DG40" s="21">
        <v>60000.0</v>
      </c>
      <c r="DH40" s="21" t="s">
        <v>1102</v>
      </c>
      <c r="DI40" s="21" t="s">
        <v>848</v>
      </c>
      <c r="DK40" s="21" t="s">
        <v>1103</v>
      </c>
      <c r="DL40" s="21" t="s">
        <v>743</v>
      </c>
      <c r="DN40" s="21" t="s">
        <v>656</v>
      </c>
      <c r="EO40" s="21">
        <v>1967.0</v>
      </c>
      <c r="EP40" s="21" t="s">
        <v>684</v>
      </c>
      <c r="EQ40" s="21" t="s">
        <v>674</v>
      </c>
      <c r="ES40" s="21" t="s">
        <v>744</v>
      </c>
      <c r="EX40" s="21" t="s">
        <v>773</v>
      </c>
      <c r="EZ40" s="21">
        <v>538.0</v>
      </c>
      <c r="FA40" s="21">
        <v>30.0</v>
      </c>
      <c r="FC40" s="21" t="s">
        <v>677</v>
      </c>
      <c r="FD40" s="21" t="s">
        <v>656</v>
      </c>
      <c r="FF40" s="21">
        <v>524.0</v>
      </c>
      <c r="FH40" s="21" t="s">
        <v>659</v>
      </c>
      <c r="FI40" s="21" t="s">
        <v>656</v>
      </c>
      <c r="FL40" s="21" t="s">
        <v>656</v>
      </c>
      <c r="FO40" s="21">
        <v>60345.0</v>
      </c>
      <c r="FP40" s="21">
        <v>300379.0</v>
      </c>
      <c r="FQ40" s="21">
        <v>0.0</v>
      </c>
      <c r="FR40" s="21">
        <v>1.0E7</v>
      </c>
      <c r="FS40" s="21">
        <v>75000.0</v>
      </c>
      <c r="FT40" s="21">
        <v>0.0</v>
      </c>
      <c r="FV40" s="21">
        <v>3.008</v>
      </c>
      <c r="FW40" s="21">
        <v>1.0435724E7</v>
      </c>
      <c r="FX40" s="21">
        <v>0.0</v>
      </c>
      <c r="FY40" s="21">
        <v>0.0</v>
      </c>
      <c r="FZ40" s="21">
        <v>10.0</v>
      </c>
      <c r="GA40" s="21">
        <v>4.0</v>
      </c>
      <c r="GB40" s="21" t="s">
        <v>656</v>
      </c>
      <c r="GF40" s="21">
        <v>980.0</v>
      </c>
      <c r="GG40" s="21">
        <v>220000.0</v>
      </c>
      <c r="GH40" s="21">
        <v>1000.0</v>
      </c>
      <c r="GI40" s="21" t="s">
        <v>719</v>
      </c>
      <c r="GK40" s="25">
        <v>24749.0</v>
      </c>
      <c r="GL40" s="21" t="s">
        <v>656</v>
      </c>
      <c r="GM40" s="21" t="s">
        <v>679</v>
      </c>
      <c r="GN40" s="21" t="s">
        <v>656</v>
      </c>
      <c r="GQ40" s="21" t="s">
        <v>656</v>
      </c>
      <c r="GS40" s="21" t="s">
        <v>720</v>
      </c>
      <c r="GT40" s="21" t="s">
        <v>720</v>
      </c>
      <c r="GU40" s="21">
        <v>153120.0</v>
      </c>
      <c r="GV40" s="21" t="s">
        <v>659</v>
      </c>
      <c r="HD40" s="21" t="s">
        <v>656</v>
      </c>
      <c r="HK40" s="21" t="s">
        <v>721</v>
      </c>
      <c r="HL40" s="21" t="s">
        <v>659</v>
      </c>
      <c r="HM40" s="21" t="s">
        <v>659</v>
      </c>
      <c r="HN40" s="21" t="s">
        <v>659</v>
      </c>
      <c r="HO40" s="21" t="s">
        <v>659</v>
      </c>
      <c r="HP40" s="21" t="s">
        <v>659</v>
      </c>
      <c r="HQ40" s="21" t="s">
        <v>806</v>
      </c>
      <c r="HT40" s="21" t="s">
        <v>760</v>
      </c>
      <c r="HV40" s="21" t="s">
        <v>659</v>
      </c>
      <c r="HY40" s="21" t="s">
        <v>659</v>
      </c>
      <c r="HZ40" s="21" t="s">
        <v>659</v>
      </c>
      <c r="IH40" s="21" t="s">
        <v>656</v>
      </c>
      <c r="II40" s="21" t="s">
        <v>656</v>
      </c>
      <c r="IN40" s="21" t="s">
        <v>808</v>
      </c>
      <c r="IO40" s="21" t="s">
        <v>1104</v>
      </c>
      <c r="NS40" s="21" t="s">
        <v>1104</v>
      </c>
      <c r="NU40" s="21" t="s">
        <v>659</v>
      </c>
      <c r="OE40" s="21" t="s">
        <v>1105</v>
      </c>
      <c r="OT40" s="21">
        <v>1415.0</v>
      </c>
      <c r="QW40" s="21" t="s">
        <v>659</v>
      </c>
      <c r="QX40" s="21" t="s">
        <v>659</v>
      </c>
      <c r="RA40" s="21" t="s">
        <v>659</v>
      </c>
      <c r="RE40" s="21">
        <v>2023.0</v>
      </c>
      <c r="RF40" s="21" t="s">
        <v>810</v>
      </c>
      <c r="RG40" s="21" t="s">
        <v>811</v>
      </c>
      <c r="RI40" s="21" t="s">
        <v>812</v>
      </c>
      <c r="RK40" s="21">
        <v>2013.0</v>
      </c>
      <c r="RL40" s="21" t="s">
        <v>810</v>
      </c>
      <c r="RM40" s="21" t="s">
        <v>811</v>
      </c>
      <c r="RO40" s="21" t="s">
        <v>812</v>
      </c>
      <c r="SK40" s="21">
        <v>2023.0</v>
      </c>
      <c r="SL40" s="21" t="s">
        <v>810</v>
      </c>
      <c r="SM40" s="21" t="s">
        <v>812</v>
      </c>
      <c r="SO40" s="21" t="s">
        <v>813</v>
      </c>
      <c r="SP40" s="21">
        <v>2013.0</v>
      </c>
      <c r="SQ40" s="21" t="s">
        <v>810</v>
      </c>
      <c r="SR40" s="21" t="s">
        <v>1106</v>
      </c>
      <c r="ST40" s="21" t="s">
        <v>814</v>
      </c>
      <c r="TI40" s="21" t="s">
        <v>656</v>
      </c>
      <c r="TL40" s="21" t="s">
        <v>656</v>
      </c>
      <c r="TZ40" s="21" t="s">
        <v>656</v>
      </c>
      <c r="UN40" s="21" t="s">
        <v>659</v>
      </c>
      <c r="WL40" s="21" t="s">
        <v>977</v>
      </c>
      <c r="WM40" s="21" t="s">
        <v>978</v>
      </c>
      <c r="WN40" s="21" t="s">
        <v>979</v>
      </c>
      <c r="WO40" s="21" t="s">
        <v>980</v>
      </c>
      <c r="WQ40" s="21" t="s">
        <v>977</v>
      </c>
      <c r="WR40" s="21" t="s">
        <v>979</v>
      </c>
      <c r="WS40" s="21" t="s">
        <v>980</v>
      </c>
      <c r="WT40" s="21" t="s">
        <v>819</v>
      </c>
      <c r="WU40" s="21" t="s">
        <v>984</v>
      </c>
      <c r="WV40" s="21" t="s">
        <v>843</v>
      </c>
      <c r="WW40" s="21" t="s">
        <v>820</v>
      </c>
      <c r="WX40" s="21" t="s">
        <v>1107</v>
      </c>
    </row>
    <row r="41">
      <c r="A41" s="21">
        <v>225.0</v>
      </c>
      <c r="B41" s="22">
        <v>45217.0</v>
      </c>
      <c r="C41" s="21">
        <v>2023.0</v>
      </c>
      <c r="D41" s="21">
        <v>2.0230096E7</v>
      </c>
      <c r="E41" s="21">
        <v>38766.0</v>
      </c>
      <c r="F41" s="21" t="s">
        <v>778</v>
      </c>
      <c r="G41" s="21">
        <v>32099.0</v>
      </c>
      <c r="H41" s="21" t="s">
        <v>651</v>
      </c>
      <c r="I41" s="21" t="s">
        <v>652</v>
      </c>
      <c r="J41" s="21" t="s">
        <v>653</v>
      </c>
      <c r="K41" s="21" t="s">
        <v>654</v>
      </c>
      <c r="L41" s="21">
        <v>77002.0</v>
      </c>
      <c r="M41" s="23">
        <v>45188.333333333336</v>
      </c>
      <c r="N41" s="21" t="s">
        <v>655</v>
      </c>
      <c r="O41" s="21" t="s">
        <v>659</v>
      </c>
      <c r="P41" s="21">
        <v>31.389161</v>
      </c>
      <c r="Q41" s="21">
        <v>-102.999949</v>
      </c>
      <c r="R41" s="21">
        <v>1379671.0</v>
      </c>
      <c r="S41" s="24">
        <v>45189.89513888889</v>
      </c>
      <c r="T41" s="21">
        <v>1379829.0</v>
      </c>
      <c r="U41" s="21" t="s">
        <v>657</v>
      </c>
      <c r="W41" s="21">
        <v>5500.0</v>
      </c>
      <c r="X41" s="21">
        <v>0.0</v>
      </c>
      <c r="Y41" s="21">
        <v>70.0</v>
      </c>
      <c r="Z41" s="21" t="s">
        <v>656</v>
      </c>
      <c r="AF41" s="21">
        <v>0.0</v>
      </c>
      <c r="AG41" s="21" t="s">
        <v>656</v>
      </c>
      <c r="AM41" s="21">
        <v>0.0</v>
      </c>
      <c r="AN41" s="21" t="s">
        <v>658</v>
      </c>
      <c r="AO41" s="21" t="s">
        <v>659</v>
      </c>
      <c r="AQ41" s="24">
        <v>45188.333333333336</v>
      </c>
      <c r="AR41" s="24">
        <v>45222.125</v>
      </c>
      <c r="AT41" s="21" t="s">
        <v>656</v>
      </c>
      <c r="AW41" s="21" t="s">
        <v>656</v>
      </c>
      <c r="BC41" s="21" t="s">
        <v>704</v>
      </c>
      <c r="BE41" s="24">
        <v>45188.364583333336</v>
      </c>
      <c r="BF41" s="21" t="s">
        <v>704</v>
      </c>
      <c r="BH41" s="24">
        <v>45188.375</v>
      </c>
      <c r="BI41" s="21">
        <v>0.0</v>
      </c>
      <c r="BJ41" s="24">
        <v>45188.333333333336</v>
      </c>
      <c r="BK41" s="24">
        <v>45188.333333333336</v>
      </c>
      <c r="BM41" s="21" t="s">
        <v>662</v>
      </c>
      <c r="BN41" s="21" t="s">
        <v>654</v>
      </c>
      <c r="BO41" s="21">
        <v>79777.0</v>
      </c>
      <c r="BP41" s="21" t="s">
        <v>1108</v>
      </c>
      <c r="BQ41" s="21" t="s">
        <v>1109</v>
      </c>
      <c r="BR41" s="21" t="s">
        <v>665</v>
      </c>
      <c r="BT41" s="21" t="s">
        <v>1110</v>
      </c>
      <c r="BU41" s="21" t="s">
        <v>1111</v>
      </c>
      <c r="BV41" s="21" t="s">
        <v>656</v>
      </c>
      <c r="BW41" s="21" t="s">
        <v>738</v>
      </c>
      <c r="BX41" s="21" t="s">
        <v>739</v>
      </c>
      <c r="BY41" s="21" t="s">
        <v>740</v>
      </c>
      <c r="CA41" s="21">
        <v>60.0</v>
      </c>
      <c r="CB41" s="21" t="s">
        <v>659</v>
      </c>
      <c r="CC41" s="21" t="s">
        <v>656</v>
      </c>
      <c r="CZ41" s="21" t="s">
        <v>671</v>
      </c>
      <c r="DA41" s="21" t="s">
        <v>741</v>
      </c>
      <c r="DB41" s="21" t="s">
        <v>714</v>
      </c>
      <c r="DC41" s="21" t="s">
        <v>715</v>
      </c>
      <c r="DD41" s="21">
        <v>12.0</v>
      </c>
      <c r="DE41" s="21" t="s">
        <v>656</v>
      </c>
      <c r="DF41" s="21">
        <v>0.281</v>
      </c>
      <c r="DG41" s="21">
        <v>35000.0</v>
      </c>
      <c r="DH41" s="21" t="s">
        <v>684</v>
      </c>
      <c r="DI41" s="21" t="s">
        <v>742</v>
      </c>
      <c r="DK41" s="21" t="s">
        <v>684</v>
      </c>
      <c r="DL41" s="21" t="s">
        <v>743</v>
      </c>
      <c r="DN41" s="21" t="s">
        <v>684</v>
      </c>
      <c r="EO41" s="21">
        <v>1974.0</v>
      </c>
      <c r="EP41" s="21" t="s">
        <v>684</v>
      </c>
      <c r="EQ41" s="21" t="s">
        <v>674</v>
      </c>
      <c r="ES41" s="21" t="s">
        <v>744</v>
      </c>
      <c r="EX41" s="21" t="s">
        <v>773</v>
      </c>
      <c r="EZ41" s="21">
        <v>12.0</v>
      </c>
      <c r="FA41" s="21">
        <v>180.0</v>
      </c>
      <c r="FC41" s="21" t="s">
        <v>677</v>
      </c>
      <c r="FD41" s="21" t="s">
        <v>656</v>
      </c>
      <c r="FF41" s="21">
        <v>257.0</v>
      </c>
      <c r="FH41" s="21" t="s">
        <v>656</v>
      </c>
      <c r="FI41" s="21" t="s">
        <v>656</v>
      </c>
      <c r="FL41" s="21" t="s">
        <v>656</v>
      </c>
      <c r="FO41" s="21">
        <v>0.0</v>
      </c>
      <c r="FP41" s="21">
        <v>14740.0</v>
      </c>
      <c r="FQ41" s="21">
        <v>0.0</v>
      </c>
      <c r="FR41" s="21">
        <v>998000.0</v>
      </c>
      <c r="FS41" s="21">
        <v>2000.0</v>
      </c>
      <c r="FT41" s="21">
        <v>0.0</v>
      </c>
      <c r="FV41" s="21">
        <v>2.68</v>
      </c>
      <c r="FW41" s="21">
        <v>1014740.0</v>
      </c>
      <c r="FX41" s="21">
        <v>0.0</v>
      </c>
      <c r="FY41" s="21">
        <v>0.0</v>
      </c>
      <c r="FZ41" s="21">
        <v>0.0</v>
      </c>
      <c r="GA41" s="21">
        <v>0.0</v>
      </c>
      <c r="GB41" s="21" t="s">
        <v>656</v>
      </c>
      <c r="GF41" s="21">
        <v>1048.0</v>
      </c>
      <c r="GG41" s="21">
        <v>22.5</v>
      </c>
      <c r="GH41" s="21">
        <v>1100.0</v>
      </c>
      <c r="GI41" s="21" t="s">
        <v>719</v>
      </c>
      <c r="GK41" s="25">
        <v>27030.0</v>
      </c>
      <c r="GL41" s="21" t="s">
        <v>656</v>
      </c>
      <c r="GM41" s="21" t="s">
        <v>679</v>
      </c>
      <c r="GN41" s="21" t="s">
        <v>656</v>
      </c>
      <c r="GQ41" s="21" t="s">
        <v>656</v>
      </c>
      <c r="GS41" s="21" t="s">
        <v>720</v>
      </c>
      <c r="GT41" s="21" t="s">
        <v>720</v>
      </c>
      <c r="GU41" s="21">
        <v>42179.0</v>
      </c>
      <c r="GV41" s="21" t="s">
        <v>656</v>
      </c>
      <c r="HB41" s="21" t="s">
        <v>659</v>
      </c>
      <c r="HC41" s="21" t="s">
        <v>1112</v>
      </c>
      <c r="HD41" s="21" t="s">
        <v>659</v>
      </c>
      <c r="HI41" s="21" t="s">
        <v>659</v>
      </c>
      <c r="HJ41" s="21" t="s">
        <v>1112</v>
      </c>
      <c r="HK41" s="21" t="s">
        <v>680</v>
      </c>
      <c r="HL41" s="21" t="s">
        <v>659</v>
      </c>
      <c r="HM41" s="21" t="s">
        <v>659</v>
      </c>
      <c r="HN41" s="21" t="s">
        <v>659</v>
      </c>
      <c r="HO41" s="21" t="s">
        <v>656</v>
      </c>
      <c r="HP41" s="21" t="s">
        <v>656</v>
      </c>
      <c r="HQ41" s="21" t="s">
        <v>1113</v>
      </c>
      <c r="HS41" s="21" t="s">
        <v>699</v>
      </c>
      <c r="HT41" s="21" t="s">
        <v>723</v>
      </c>
      <c r="HU41" s="21" t="s">
        <v>1114</v>
      </c>
      <c r="IH41" s="21" t="s">
        <v>656</v>
      </c>
      <c r="II41" s="21" t="s">
        <v>656</v>
      </c>
      <c r="IN41" s="21" t="s">
        <v>725</v>
      </c>
      <c r="IO41" s="21" t="s">
        <v>726</v>
      </c>
      <c r="IP41" s="21" t="s">
        <v>726</v>
      </c>
      <c r="JT41" s="21" t="s">
        <v>901</v>
      </c>
      <c r="JX41" s="21" t="s">
        <v>659</v>
      </c>
      <c r="KC41" s="21" t="s">
        <v>659</v>
      </c>
      <c r="KJ41" s="21" t="s">
        <v>659</v>
      </c>
      <c r="KK41" s="21" t="s">
        <v>1115</v>
      </c>
      <c r="KL41" s="21" t="s">
        <v>659</v>
      </c>
      <c r="KM41" s="21" t="s">
        <v>656</v>
      </c>
      <c r="KN41" s="21" t="s">
        <v>659</v>
      </c>
      <c r="KO41" s="21" t="s">
        <v>656</v>
      </c>
      <c r="QW41" s="21" t="s">
        <v>656</v>
      </c>
      <c r="TI41" s="21" t="s">
        <v>656</v>
      </c>
      <c r="TL41" s="21" t="s">
        <v>656</v>
      </c>
      <c r="TZ41" s="21" t="s">
        <v>656</v>
      </c>
      <c r="WL41" s="21" t="s">
        <v>1116</v>
      </c>
      <c r="WM41" s="21" t="s">
        <v>747</v>
      </c>
      <c r="WN41" s="21" t="s">
        <v>748</v>
      </c>
      <c r="WO41" s="21" t="s">
        <v>888</v>
      </c>
      <c r="WT41" s="21" t="s">
        <v>819</v>
      </c>
      <c r="WU41" s="21" t="s">
        <v>946</v>
      </c>
      <c r="WV41" s="21" t="s">
        <v>843</v>
      </c>
      <c r="WW41" s="21" t="s">
        <v>820</v>
      </c>
      <c r="WX41" s="21" t="s">
        <v>1117</v>
      </c>
    </row>
    <row r="42">
      <c r="A42" s="21">
        <v>233.0</v>
      </c>
      <c r="B42" s="22">
        <v>45174.0</v>
      </c>
      <c r="C42" s="21">
        <v>2023.0</v>
      </c>
      <c r="D42" s="21">
        <v>2.0230084E7</v>
      </c>
      <c r="E42" s="21">
        <v>38638.0</v>
      </c>
      <c r="F42" s="21" t="s">
        <v>778</v>
      </c>
      <c r="G42" s="21">
        <v>602.0</v>
      </c>
      <c r="H42" s="21" t="s">
        <v>859</v>
      </c>
      <c r="I42" s="21" t="s">
        <v>652</v>
      </c>
      <c r="J42" s="21" t="s">
        <v>653</v>
      </c>
      <c r="K42" s="21" t="s">
        <v>654</v>
      </c>
      <c r="L42" s="21">
        <v>77002.0</v>
      </c>
      <c r="M42" s="23">
        <v>45154.47777777778</v>
      </c>
      <c r="N42" s="21" t="s">
        <v>655</v>
      </c>
      <c r="O42" s="21" t="s">
        <v>659</v>
      </c>
      <c r="P42" s="21">
        <v>33.469058</v>
      </c>
      <c r="Q42" s="21">
        <v>-94.316272</v>
      </c>
      <c r="R42" s="21">
        <v>1376361.0</v>
      </c>
      <c r="S42" s="24">
        <v>45154.51944444444</v>
      </c>
      <c r="T42" s="21">
        <v>1376542.0</v>
      </c>
      <c r="U42" s="21" t="s">
        <v>657</v>
      </c>
      <c r="W42" s="21">
        <v>28.0</v>
      </c>
      <c r="X42" s="21">
        <v>0.36</v>
      </c>
      <c r="Y42" s="21">
        <v>0.0</v>
      </c>
      <c r="Z42" s="21" t="s">
        <v>656</v>
      </c>
      <c r="AF42" s="21">
        <v>0.0</v>
      </c>
      <c r="AG42" s="21" t="s">
        <v>656</v>
      </c>
      <c r="AM42" s="21">
        <v>0.0</v>
      </c>
      <c r="AN42" s="21" t="s">
        <v>658</v>
      </c>
      <c r="AO42" s="21" t="s">
        <v>656</v>
      </c>
      <c r="AP42" s="21" t="s">
        <v>1118</v>
      </c>
      <c r="AT42" s="21" t="s">
        <v>656</v>
      </c>
      <c r="AW42" s="21" t="s">
        <v>656</v>
      </c>
      <c r="BC42" s="21" t="s">
        <v>1119</v>
      </c>
      <c r="BD42" s="21" t="s">
        <v>1120</v>
      </c>
      <c r="BF42" s="21" t="s">
        <v>1119</v>
      </c>
      <c r="BG42" s="21" t="s">
        <v>1120</v>
      </c>
      <c r="BI42" s="21">
        <v>0.0</v>
      </c>
      <c r="BJ42" s="24">
        <v>45154.47777777778</v>
      </c>
      <c r="BK42" s="24">
        <v>45154.47777777778</v>
      </c>
      <c r="BM42" s="21" t="s">
        <v>662</v>
      </c>
      <c r="BN42" s="21" t="s">
        <v>654</v>
      </c>
      <c r="BO42" s="21">
        <v>75561.0</v>
      </c>
      <c r="BP42" s="21" t="s">
        <v>1121</v>
      </c>
      <c r="BQ42" s="21" t="s">
        <v>1122</v>
      </c>
      <c r="BR42" s="21" t="s">
        <v>735</v>
      </c>
      <c r="BS42" s="21" t="s">
        <v>1123</v>
      </c>
      <c r="BT42" s="21" t="s">
        <v>1124</v>
      </c>
      <c r="BU42" s="21" t="s">
        <v>1125</v>
      </c>
      <c r="BV42" s="21" t="s">
        <v>656</v>
      </c>
      <c r="BW42" s="21" t="s">
        <v>738</v>
      </c>
      <c r="BX42" s="21" t="s">
        <v>739</v>
      </c>
      <c r="BY42" s="21" t="s">
        <v>740</v>
      </c>
      <c r="CA42" s="21">
        <v>32.0</v>
      </c>
      <c r="CB42" s="21" t="s">
        <v>656</v>
      </c>
      <c r="CC42" s="21" t="s">
        <v>656</v>
      </c>
      <c r="CZ42" s="21" t="s">
        <v>712</v>
      </c>
      <c r="DA42" s="21" t="s">
        <v>741</v>
      </c>
      <c r="DB42" s="21" t="s">
        <v>800</v>
      </c>
      <c r="DV42" s="21" t="s">
        <v>1126</v>
      </c>
      <c r="EO42" s="21" t="s">
        <v>684</v>
      </c>
      <c r="EP42" s="21" t="s">
        <v>684</v>
      </c>
      <c r="EQ42" s="21" t="s">
        <v>674</v>
      </c>
      <c r="ES42" s="21" t="s">
        <v>675</v>
      </c>
      <c r="EV42" s="21" t="s">
        <v>805</v>
      </c>
      <c r="FC42" s="21" t="s">
        <v>677</v>
      </c>
      <c r="FD42" s="21" t="s">
        <v>656</v>
      </c>
      <c r="FF42" s="21">
        <v>660.0</v>
      </c>
      <c r="FH42" s="21" t="s">
        <v>656</v>
      </c>
      <c r="FI42" s="21" t="s">
        <v>656</v>
      </c>
      <c r="FL42" s="21" t="s">
        <v>656</v>
      </c>
      <c r="FO42" s="21">
        <v>0.0</v>
      </c>
      <c r="FP42" s="21">
        <v>66.0</v>
      </c>
      <c r="FQ42" s="21">
        <v>1.0</v>
      </c>
      <c r="FR42" s="21">
        <v>205000.0</v>
      </c>
      <c r="FS42" s="21">
        <v>0.0</v>
      </c>
      <c r="FT42" s="21">
        <v>0.0</v>
      </c>
      <c r="FV42" s="21">
        <v>2.34</v>
      </c>
      <c r="FW42" s="21">
        <v>205067.0</v>
      </c>
      <c r="FX42" s="21">
        <v>0.0</v>
      </c>
      <c r="FY42" s="21">
        <v>0.0</v>
      </c>
      <c r="FZ42" s="21">
        <v>0.0</v>
      </c>
      <c r="GA42" s="21">
        <v>0.0</v>
      </c>
      <c r="GB42" s="21" t="s">
        <v>656</v>
      </c>
      <c r="GF42" s="21">
        <v>230.0</v>
      </c>
      <c r="GG42" s="21">
        <v>824.0</v>
      </c>
      <c r="GH42" s="21">
        <v>250.0</v>
      </c>
      <c r="GI42" s="21" t="s">
        <v>774</v>
      </c>
      <c r="GK42" s="25">
        <v>41981.0</v>
      </c>
      <c r="GL42" s="21" t="s">
        <v>656</v>
      </c>
      <c r="GM42" s="21" t="s">
        <v>679</v>
      </c>
      <c r="GN42" s="21" t="s">
        <v>656</v>
      </c>
      <c r="GQ42" s="21" t="s">
        <v>659</v>
      </c>
      <c r="GR42" s="21" t="s">
        <v>659</v>
      </c>
      <c r="GU42" s="21">
        <v>27000.0</v>
      </c>
      <c r="GV42" s="21" t="s">
        <v>656</v>
      </c>
      <c r="GW42" s="21" t="s">
        <v>659</v>
      </c>
      <c r="HD42" s="21" t="s">
        <v>659</v>
      </c>
      <c r="HF42" s="21" t="s">
        <v>659</v>
      </c>
      <c r="HK42" s="21" t="s">
        <v>721</v>
      </c>
      <c r="HL42" s="21" t="s">
        <v>659</v>
      </c>
      <c r="HM42" s="21" t="s">
        <v>659</v>
      </c>
      <c r="HN42" s="21" t="s">
        <v>659</v>
      </c>
      <c r="HO42" s="21" t="s">
        <v>656</v>
      </c>
      <c r="HP42" s="21" t="s">
        <v>656</v>
      </c>
      <c r="HQ42" s="21" t="s">
        <v>1127</v>
      </c>
      <c r="HS42" s="21" t="s">
        <v>699</v>
      </c>
      <c r="HT42" s="21" t="s">
        <v>723</v>
      </c>
      <c r="HU42" s="21" t="s">
        <v>1128</v>
      </c>
      <c r="IH42" s="21" t="s">
        <v>656</v>
      </c>
      <c r="II42" s="21" t="s">
        <v>656</v>
      </c>
      <c r="IN42" s="21" t="s">
        <v>808</v>
      </c>
      <c r="IO42" s="21" t="s">
        <v>809</v>
      </c>
      <c r="NS42" s="21" t="s">
        <v>809</v>
      </c>
      <c r="NT42" s="21" t="s">
        <v>659</v>
      </c>
      <c r="OC42" s="21" t="s">
        <v>659</v>
      </c>
      <c r="OD42" s="21" t="s">
        <v>1129</v>
      </c>
      <c r="OK42" s="21" t="s">
        <v>659</v>
      </c>
      <c r="OT42" s="21" t="s">
        <v>684</v>
      </c>
      <c r="QW42" s="21" t="s">
        <v>656</v>
      </c>
      <c r="TI42" s="21" t="s">
        <v>656</v>
      </c>
      <c r="TL42" s="21" t="s">
        <v>656</v>
      </c>
      <c r="TZ42" s="21" t="s">
        <v>656</v>
      </c>
      <c r="VQ42" s="21" t="s">
        <v>659</v>
      </c>
      <c r="WL42" s="21" t="s">
        <v>1130</v>
      </c>
      <c r="WN42" s="21" t="s">
        <v>1131</v>
      </c>
      <c r="WT42" s="21" t="s">
        <v>854</v>
      </c>
      <c r="WV42" s="21" t="s">
        <v>1132</v>
      </c>
      <c r="WW42" s="21" t="s">
        <v>857</v>
      </c>
      <c r="WX42" s="21" t="s">
        <v>1133</v>
      </c>
    </row>
    <row r="43">
      <c r="A43" s="21">
        <v>246.0</v>
      </c>
      <c r="B43" s="22">
        <v>45149.0</v>
      </c>
      <c r="C43" s="21">
        <v>2023.0</v>
      </c>
      <c r="D43" s="21">
        <v>2.0230071E7</v>
      </c>
      <c r="E43" s="21">
        <v>38388.0</v>
      </c>
      <c r="F43" s="21" t="s">
        <v>701</v>
      </c>
      <c r="G43" s="21">
        <v>32099.0</v>
      </c>
      <c r="H43" s="21" t="s">
        <v>651</v>
      </c>
      <c r="I43" s="21" t="s">
        <v>652</v>
      </c>
      <c r="J43" s="21" t="s">
        <v>653</v>
      </c>
      <c r="K43" s="21" t="s">
        <v>654</v>
      </c>
      <c r="L43" s="21">
        <v>77002.0</v>
      </c>
      <c r="M43" s="23">
        <v>45124.589583333334</v>
      </c>
      <c r="N43" s="21" t="s">
        <v>655</v>
      </c>
      <c r="O43" s="21" t="s">
        <v>659</v>
      </c>
      <c r="P43" s="21">
        <v>32.64945</v>
      </c>
      <c r="Q43" s="21">
        <v>-92.790518</v>
      </c>
      <c r="R43" s="21">
        <v>1373350.0</v>
      </c>
      <c r="S43" s="24">
        <v>45124.61319444444</v>
      </c>
      <c r="T43" s="21">
        <v>1373494.0</v>
      </c>
      <c r="U43" s="21" t="s">
        <v>657</v>
      </c>
      <c r="W43" s="21">
        <v>10.0</v>
      </c>
      <c r="X43" s="21">
        <v>0.0</v>
      </c>
      <c r="Y43" s="21">
        <v>0.0</v>
      </c>
      <c r="Z43" s="21" t="s">
        <v>656</v>
      </c>
      <c r="AF43" s="21">
        <v>0.0</v>
      </c>
      <c r="AG43" s="21" t="s">
        <v>656</v>
      </c>
      <c r="AM43" s="21">
        <v>0.0</v>
      </c>
      <c r="AN43" s="21" t="s">
        <v>658</v>
      </c>
      <c r="AO43" s="21" t="s">
        <v>659</v>
      </c>
      <c r="AQ43" s="24">
        <v>45123.913194444445</v>
      </c>
      <c r="AR43" s="24">
        <v>45126.34375</v>
      </c>
      <c r="AT43" s="21" t="s">
        <v>659</v>
      </c>
      <c r="AU43" s="21" t="s">
        <v>660</v>
      </c>
      <c r="AV43" s="24">
        <v>45123.92569444444</v>
      </c>
      <c r="AW43" s="21" t="s">
        <v>659</v>
      </c>
      <c r="AX43" s="24">
        <v>45123.90277777778</v>
      </c>
      <c r="AY43" s="21" t="s">
        <v>765</v>
      </c>
      <c r="BA43" s="21">
        <v>10.0</v>
      </c>
      <c r="BB43" s="21" t="s">
        <v>656</v>
      </c>
      <c r="BI43" s="21">
        <v>0.0</v>
      </c>
      <c r="BJ43" s="24">
        <v>45123.90277777778</v>
      </c>
      <c r="BK43" s="24">
        <v>45123.90277777778</v>
      </c>
      <c r="BM43" s="21" t="s">
        <v>662</v>
      </c>
      <c r="BN43" s="21" t="s">
        <v>751</v>
      </c>
      <c r="BO43" s="21">
        <v>71235.0</v>
      </c>
      <c r="BP43" s="21" t="s">
        <v>1134</v>
      </c>
      <c r="BQ43" s="21" t="s">
        <v>1135</v>
      </c>
      <c r="BR43" s="21" t="s">
        <v>665</v>
      </c>
      <c r="BT43" s="21" t="s">
        <v>1136</v>
      </c>
      <c r="BU43" s="21" t="s">
        <v>1136</v>
      </c>
      <c r="BV43" s="21" t="s">
        <v>656</v>
      </c>
      <c r="BW43" s="21" t="s">
        <v>668</v>
      </c>
      <c r="BX43" s="21" t="s">
        <v>1137</v>
      </c>
      <c r="CC43" s="21" t="s">
        <v>656</v>
      </c>
      <c r="CZ43" s="21" t="s">
        <v>671</v>
      </c>
      <c r="DA43" s="21" t="s">
        <v>672</v>
      </c>
      <c r="DB43" s="21" t="s">
        <v>673</v>
      </c>
      <c r="EO43" s="21" t="s">
        <v>684</v>
      </c>
      <c r="EP43" s="21" t="s">
        <v>684</v>
      </c>
      <c r="EQ43" s="21" t="s">
        <v>1081</v>
      </c>
      <c r="ER43" s="21" t="s">
        <v>1138</v>
      </c>
      <c r="ES43" s="21" t="s">
        <v>696</v>
      </c>
      <c r="FB43" s="21" t="s">
        <v>1139</v>
      </c>
      <c r="FC43" s="21" t="s">
        <v>677</v>
      </c>
      <c r="FD43" s="21" t="s">
        <v>656</v>
      </c>
      <c r="FF43" s="21">
        <v>294.0</v>
      </c>
      <c r="FH43" s="21" t="s">
        <v>656</v>
      </c>
      <c r="FI43" s="21" t="s">
        <v>656</v>
      </c>
      <c r="FL43" s="21" t="s">
        <v>656</v>
      </c>
      <c r="FO43" s="21">
        <v>0.0</v>
      </c>
      <c r="FP43" s="21">
        <v>23.0</v>
      </c>
      <c r="FQ43" s="21">
        <v>0.0</v>
      </c>
      <c r="FR43" s="21">
        <v>350000.0</v>
      </c>
      <c r="FS43" s="21">
        <v>0.0</v>
      </c>
      <c r="FT43" s="21">
        <v>0.0</v>
      </c>
      <c r="FV43" s="21">
        <v>2.25</v>
      </c>
      <c r="FW43" s="21">
        <v>350023.0</v>
      </c>
      <c r="FX43" s="21">
        <v>0.0</v>
      </c>
      <c r="FY43" s="21">
        <v>0.0</v>
      </c>
      <c r="FZ43" s="21">
        <v>0.0</v>
      </c>
      <c r="GA43" s="21">
        <v>0.0</v>
      </c>
      <c r="GB43" s="21" t="s">
        <v>656</v>
      </c>
      <c r="GF43" s="21">
        <v>75.0</v>
      </c>
      <c r="GG43" s="21">
        <v>3.8</v>
      </c>
      <c r="GH43" s="21">
        <v>1038.0</v>
      </c>
      <c r="GI43" s="21" t="s">
        <v>774</v>
      </c>
      <c r="GK43" s="25">
        <v>44883.0</v>
      </c>
      <c r="GL43" s="21" t="s">
        <v>656</v>
      </c>
      <c r="GM43" s="21" t="s">
        <v>679</v>
      </c>
      <c r="GN43" s="21" t="s">
        <v>656</v>
      </c>
      <c r="GQ43" s="21" t="s">
        <v>656</v>
      </c>
      <c r="HK43" s="21" t="s">
        <v>680</v>
      </c>
      <c r="HL43" s="21" t="s">
        <v>659</v>
      </c>
      <c r="HM43" s="21" t="s">
        <v>659</v>
      </c>
      <c r="HN43" s="21" t="s">
        <v>659</v>
      </c>
      <c r="HO43" s="21" t="s">
        <v>656</v>
      </c>
      <c r="HP43" s="21" t="s">
        <v>656</v>
      </c>
      <c r="HQ43" s="21" t="s">
        <v>698</v>
      </c>
      <c r="HS43" s="21" t="s">
        <v>699</v>
      </c>
      <c r="HT43" s="21" t="s">
        <v>723</v>
      </c>
      <c r="HU43" s="21" t="s">
        <v>1140</v>
      </c>
      <c r="IH43" s="21" t="s">
        <v>656</v>
      </c>
      <c r="II43" s="21" t="s">
        <v>656</v>
      </c>
      <c r="IN43" s="21" t="s">
        <v>867</v>
      </c>
      <c r="IO43" s="21" t="s">
        <v>1141</v>
      </c>
      <c r="KP43" s="21" t="s">
        <v>1141</v>
      </c>
      <c r="KS43" s="21" t="s">
        <v>1142</v>
      </c>
      <c r="KV43" s="21" t="s">
        <v>656</v>
      </c>
      <c r="WL43" s="21" t="s">
        <v>729</v>
      </c>
      <c r="WM43" s="21" t="s">
        <v>1143</v>
      </c>
      <c r="WN43" s="21" t="s">
        <v>731</v>
      </c>
      <c r="WO43" s="21" t="s">
        <v>990</v>
      </c>
      <c r="WT43" s="21" t="s">
        <v>819</v>
      </c>
      <c r="WU43" s="21" t="s">
        <v>1144</v>
      </c>
      <c r="WV43" s="21" t="s">
        <v>843</v>
      </c>
      <c r="WW43" s="21" t="s">
        <v>820</v>
      </c>
      <c r="WX43" s="21" t="s">
        <v>1145</v>
      </c>
    </row>
    <row r="44">
      <c r="A44" s="21">
        <v>253.0</v>
      </c>
      <c r="B44" s="22">
        <v>45133.0</v>
      </c>
      <c r="C44" s="21">
        <v>2023.0</v>
      </c>
      <c r="D44" s="21">
        <v>2.0230069E7</v>
      </c>
      <c r="E44" s="21">
        <v>39180.0</v>
      </c>
      <c r="F44" s="21" t="s">
        <v>778</v>
      </c>
      <c r="G44" s="21">
        <v>32436.0</v>
      </c>
      <c r="H44" s="21" t="s">
        <v>1146</v>
      </c>
      <c r="I44" s="21" t="s">
        <v>1147</v>
      </c>
      <c r="J44" s="21" t="s">
        <v>653</v>
      </c>
      <c r="K44" s="21" t="s">
        <v>654</v>
      </c>
      <c r="L44" s="21">
        <v>77002.0</v>
      </c>
      <c r="M44" s="23">
        <v>45104.50277777778</v>
      </c>
      <c r="N44" s="21" t="s">
        <v>655</v>
      </c>
      <c r="O44" s="21" t="s">
        <v>656</v>
      </c>
      <c r="P44" s="21">
        <v>33.05559497</v>
      </c>
      <c r="Q44" s="21">
        <v>-94.1863919</v>
      </c>
      <c r="R44" s="21">
        <v>1371415.0</v>
      </c>
      <c r="S44" s="24">
        <v>45104.58125</v>
      </c>
      <c r="T44" s="21">
        <v>1371647.0</v>
      </c>
      <c r="U44" s="21" t="s">
        <v>657</v>
      </c>
      <c r="W44" s="21">
        <v>50086.93</v>
      </c>
      <c r="X44" s="21">
        <v>1150.0</v>
      </c>
      <c r="Y44" s="21">
        <v>0.0</v>
      </c>
      <c r="Z44" s="21" t="s">
        <v>656</v>
      </c>
      <c r="AF44" s="21">
        <v>0.0</v>
      </c>
      <c r="AG44" s="21" t="s">
        <v>656</v>
      </c>
      <c r="AM44" s="21">
        <v>0.0</v>
      </c>
      <c r="AN44" s="21" t="s">
        <v>658</v>
      </c>
      <c r="AO44" s="21" t="s">
        <v>659</v>
      </c>
      <c r="AQ44" s="24">
        <v>45104.49236111111</v>
      </c>
      <c r="AR44" s="24">
        <v>45105.03402777778</v>
      </c>
      <c r="AT44" s="21" t="s">
        <v>656</v>
      </c>
      <c r="AW44" s="21" t="s">
        <v>656</v>
      </c>
      <c r="BI44" s="21">
        <v>0.0</v>
      </c>
      <c r="BJ44" s="24">
        <v>45104.5</v>
      </c>
      <c r="BK44" s="24">
        <v>45104.51736111111</v>
      </c>
      <c r="BL44" s="24">
        <v>45104.5375</v>
      </c>
      <c r="BM44" s="21" t="s">
        <v>662</v>
      </c>
      <c r="BN44" s="21" t="s">
        <v>654</v>
      </c>
      <c r="BO44" s="21">
        <v>75551.0</v>
      </c>
      <c r="BP44" s="21" t="s">
        <v>1148</v>
      </c>
      <c r="BQ44" s="21" t="s">
        <v>1149</v>
      </c>
      <c r="BR44" s="21" t="s">
        <v>665</v>
      </c>
      <c r="BT44" s="21" t="s">
        <v>1150</v>
      </c>
      <c r="BU44" s="21" t="s">
        <v>1151</v>
      </c>
      <c r="BV44" s="21" t="s">
        <v>656</v>
      </c>
      <c r="BW44" s="21" t="s">
        <v>668</v>
      </c>
      <c r="BX44" s="21" t="s">
        <v>669</v>
      </c>
      <c r="BY44" s="21" t="s">
        <v>670</v>
      </c>
      <c r="CC44" s="21" t="s">
        <v>656</v>
      </c>
      <c r="CZ44" s="21" t="s">
        <v>712</v>
      </c>
      <c r="DA44" s="21" t="s">
        <v>672</v>
      </c>
      <c r="DB44" s="21" t="s">
        <v>830</v>
      </c>
      <c r="EO44" s="21">
        <v>2010.0</v>
      </c>
      <c r="EP44" s="21">
        <v>2009.0</v>
      </c>
      <c r="EQ44" s="21" t="s">
        <v>674</v>
      </c>
      <c r="ES44" s="21" t="s">
        <v>675</v>
      </c>
      <c r="EV44" s="21" t="s">
        <v>1083</v>
      </c>
      <c r="FC44" s="21" t="s">
        <v>1152</v>
      </c>
      <c r="FD44" s="21" t="s">
        <v>656</v>
      </c>
      <c r="FF44" s="21">
        <v>1115.0</v>
      </c>
      <c r="FH44" s="21" t="s">
        <v>656</v>
      </c>
      <c r="FI44" s="21" t="s">
        <v>656</v>
      </c>
      <c r="FL44" s="21" t="s">
        <v>656</v>
      </c>
      <c r="FO44" s="21">
        <v>0.0</v>
      </c>
      <c r="FP44" s="21">
        <v>105183.0</v>
      </c>
      <c r="FQ44" s="21">
        <v>2415.0</v>
      </c>
      <c r="FR44" s="21">
        <v>4000.0</v>
      </c>
      <c r="FS44" s="21">
        <v>1800.0</v>
      </c>
      <c r="FT44" s="21">
        <v>0.0</v>
      </c>
      <c r="FV44" s="21">
        <v>2.1</v>
      </c>
      <c r="FW44" s="21">
        <v>113398.0</v>
      </c>
      <c r="FX44" s="21">
        <v>0.0</v>
      </c>
      <c r="FY44" s="21">
        <v>0.0</v>
      </c>
      <c r="FZ44" s="21">
        <v>0.0</v>
      </c>
      <c r="GA44" s="21">
        <v>0.0</v>
      </c>
      <c r="GB44" s="21" t="s">
        <v>656</v>
      </c>
      <c r="GF44" s="21">
        <v>1191.0</v>
      </c>
      <c r="GG44" s="21">
        <v>1200000.0</v>
      </c>
      <c r="GH44" s="21">
        <v>1480.0</v>
      </c>
      <c r="GI44" s="21" t="s">
        <v>774</v>
      </c>
      <c r="GK44" s="25">
        <v>39906.0</v>
      </c>
      <c r="GL44" s="21" t="s">
        <v>656</v>
      </c>
      <c r="GM44" s="21" t="s">
        <v>679</v>
      </c>
      <c r="GN44" s="21" t="s">
        <v>656</v>
      </c>
      <c r="GQ44" s="21" t="s">
        <v>656</v>
      </c>
      <c r="HK44" s="21" t="s">
        <v>721</v>
      </c>
      <c r="HL44" s="21" t="s">
        <v>659</v>
      </c>
      <c r="HM44" s="21" t="s">
        <v>659</v>
      </c>
      <c r="HN44" s="21" t="s">
        <v>659</v>
      </c>
      <c r="HO44" s="21" t="s">
        <v>656</v>
      </c>
      <c r="HP44" s="21" t="s">
        <v>659</v>
      </c>
      <c r="HQ44" s="21" t="s">
        <v>806</v>
      </c>
      <c r="HT44" s="21" t="s">
        <v>760</v>
      </c>
      <c r="IF44" s="21" t="s">
        <v>659</v>
      </c>
      <c r="IG44" s="21" t="s">
        <v>1153</v>
      </c>
      <c r="IH44" s="21" t="s">
        <v>656</v>
      </c>
      <c r="II44" s="21" t="s">
        <v>656</v>
      </c>
      <c r="IN44" s="21" t="s">
        <v>761</v>
      </c>
      <c r="IO44" s="21" t="s">
        <v>762</v>
      </c>
      <c r="OU44" s="21" t="s">
        <v>762</v>
      </c>
      <c r="OZ44" s="21" t="s">
        <v>659</v>
      </c>
      <c r="PF44" s="21" t="s">
        <v>659</v>
      </c>
      <c r="PT44" s="21" t="s">
        <v>659</v>
      </c>
      <c r="WL44" s="21" t="s">
        <v>1154</v>
      </c>
      <c r="WM44" s="21" t="s">
        <v>1155</v>
      </c>
      <c r="WN44" s="21" t="s">
        <v>1156</v>
      </c>
      <c r="WO44" s="21">
        <v>7.134202324E9</v>
      </c>
      <c r="WT44" s="21" t="s">
        <v>1157</v>
      </c>
      <c r="WU44" s="21" t="s">
        <v>1158</v>
      </c>
      <c r="WV44" s="21" t="s">
        <v>1159</v>
      </c>
      <c r="WW44" s="21" t="s">
        <v>1160</v>
      </c>
      <c r="WX44" s="21" t="s">
        <v>1161</v>
      </c>
    </row>
    <row r="45">
      <c r="A45" s="21">
        <v>256.0</v>
      </c>
      <c r="B45" s="22">
        <v>45121.0</v>
      </c>
      <c r="C45" s="21">
        <v>2023.0</v>
      </c>
      <c r="D45" s="21">
        <v>2.0230064E7</v>
      </c>
      <c r="E45" s="21">
        <v>38543.0</v>
      </c>
      <c r="F45" s="21" t="s">
        <v>778</v>
      </c>
      <c r="G45" s="21">
        <v>32099.0</v>
      </c>
      <c r="H45" s="21" t="s">
        <v>651</v>
      </c>
      <c r="I45" s="21" t="s">
        <v>652</v>
      </c>
      <c r="J45" s="21" t="s">
        <v>653</v>
      </c>
      <c r="K45" s="21" t="s">
        <v>654</v>
      </c>
      <c r="L45" s="21">
        <v>77002.0</v>
      </c>
      <c r="M45" s="23">
        <v>45092.84375</v>
      </c>
      <c r="N45" s="21" t="s">
        <v>1162</v>
      </c>
      <c r="O45" s="21" t="s">
        <v>659</v>
      </c>
      <c r="P45" s="21">
        <v>32.0260005</v>
      </c>
      <c r="Q45" s="21">
        <v>-104.1177934</v>
      </c>
      <c r="R45" s="21">
        <v>1370222.0</v>
      </c>
      <c r="S45" s="24">
        <v>45092.87986111111</v>
      </c>
      <c r="T45" s="21">
        <v>1370381.0</v>
      </c>
      <c r="U45" s="21" t="s">
        <v>657</v>
      </c>
      <c r="W45" s="21">
        <v>1.0</v>
      </c>
      <c r="X45" s="21">
        <v>0.0</v>
      </c>
      <c r="Y45" s="21">
        <v>0.0</v>
      </c>
      <c r="Z45" s="21" t="s">
        <v>656</v>
      </c>
      <c r="AF45" s="21">
        <v>0.0</v>
      </c>
      <c r="AG45" s="21" t="s">
        <v>656</v>
      </c>
      <c r="AM45" s="21">
        <v>0.0</v>
      </c>
      <c r="AN45" s="21" t="s">
        <v>658</v>
      </c>
      <c r="AO45" s="21" t="s">
        <v>659</v>
      </c>
      <c r="AQ45" s="24">
        <v>45092.84375</v>
      </c>
      <c r="AR45" s="24">
        <v>45093.625</v>
      </c>
      <c r="AT45" s="21" t="s">
        <v>659</v>
      </c>
      <c r="AU45" s="21" t="s">
        <v>660</v>
      </c>
      <c r="AV45" s="24">
        <v>45092.84375</v>
      </c>
      <c r="AW45" s="21" t="s">
        <v>659</v>
      </c>
      <c r="AX45" s="24">
        <v>45092.84375</v>
      </c>
      <c r="AY45" s="21" t="s">
        <v>765</v>
      </c>
      <c r="BA45" s="21">
        <v>1.0</v>
      </c>
      <c r="BB45" s="21" t="s">
        <v>656</v>
      </c>
      <c r="BI45" s="21">
        <v>0.0</v>
      </c>
      <c r="BJ45" s="24">
        <v>45092.84375</v>
      </c>
      <c r="BK45" s="24">
        <v>45092.84375</v>
      </c>
      <c r="BM45" s="21" t="s">
        <v>662</v>
      </c>
      <c r="BN45" s="21" t="s">
        <v>1163</v>
      </c>
      <c r="BO45" s="21">
        <v>88263.0</v>
      </c>
      <c r="BP45" s="21" t="s">
        <v>1164</v>
      </c>
      <c r="BQ45" s="21" t="s">
        <v>1165</v>
      </c>
      <c r="BR45" s="21" t="s">
        <v>892</v>
      </c>
      <c r="BS45" s="21" t="s">
        <v>1166</v>
      </c>
      <c r="BT45" s="21" t="s">
        <v>1167</v>
      </c>
      <c r="BU45" s="21" t="s">
        <v>1168</v>
      </c>
      <c r="BV45" s="21" t="s">
        <v>656</v>
      </c>
      <c r="BW45" s="21" t="s">
        <v>668</v>
      </c>
      <c r="BX45" s="21" t="s">
        <v>669</v>
      </c>
      <c r="BY45" s="21" t="s">
        <v>696</v>
      </c>
      <c r="BZ45" s="21" t="s">
        <v>673</v>
      </c>
      <c r="CC45" s="21" t="s">
        <v>656</v>
      </c>
      <c r="CZ45" s="21" t="s">
        <v>671</v>
      </c>
      <c r="DA45" s="21" t="s">
        <v>672</v>
      </c>
      <c r="DB45" s="21" t="s">
        <v>673</v>
      </c>
      <c r="EO45" s="21">
        <v>2021.0</v>
      </c>
      <c r="EP45" s="21" t="s">
        <v>684</v>
      </c>
      <c r="EQ45" s="21" t="s">
        <v>674</v>
      </c>
      <c r="ES45" s="21" t="s">
        <v>675</v>
      </c>
      <c r="EV45" s="21" t="s">
        <v>696</v>
      </c>
      <c r="FC45" s="21" t="s">
        <v>677</v>
      </c>
      <c r="FD45" s="21" t="s">
        <v>656</v>
      </c>
      <c r="FF45" s="21">
        <v>660.0</v>
      </c>
      <c r="FH45" s="21" t="s">
        <v>656</v>
      </c>
      <c r="FI45" s="21" t="s">
        <v>656</v>
      </c>
      <c r="FL45" s="21" t="s">
        <v>656</v>
      </c>
      <c r="FO45" s="21">
        <v>0.0</v>
      </c>
      <c r="FP45" s="21">
        <v>4.0</v>
      </c>
      <c r="FQ45" s="21">
        <v>0.0</v>
      </c>
      <c r="FR45" s="21">
        <v>695000.0</v>
      </c>
      <c r="FS45" s="21">
        <v>5000.0</v>
      </c>
      <c r="FT45" s="21">
        <v>0.0</v>
      </c>
      <c r="FV45" s="21">
        <v>4.26</v>
      </c>
      <c r="FW45" s="21">
        <v>700004.0</v>
      </c>
      <c r="FX45" s="21">
        <v>0.0</v>
      </c>
      <c r="FY45" s="21">
        <v>0.0</v>
      </c>
      <c r="FZ45" s="21">
        <v>0.0</v>
      </c>
      <c r="GA45" s="21">
        <v>0.0</v>
      </c>
      <c r="GB45" s="21" t="s">
        <v>656</v>
      </c>
      <c r="GF45" s="21">
        <v>1050.0</v>
      </c>
      <c r="GG45" s="21">
        <v>7000.0</v>
      </c>
      <c r="GH45" s="21">
        <v>1380.0</v>
      </c>
      <c r="GI45" s="21" t="s">
        <v>719</v>
      </c>
      <c r="GK45" s="25">
        <v>44340.0</v>
      </c>
      <c r="GL45" s="21" t="s">
        <v>656</v>
      </c>
      <c r="GM45" s="21" t="s">
        <v>679</v>
      </c>
      <c r="GN45" s="21" t="s">
        <v>656</v>
      </c>
      <c r="GQ45" s="21" t="s">
        <v>656</v>
      </c>
      <c r="HK45" s="21" t="s">
        <v>680</v>
      </c>
      <c r="HL45" s="21" t="s">
        <v>659</v>
      </c>
      <c r="HM45" s="21" t="s">
        <v>659</v>
      </c>
      <c r="HN45" s="21" t="s">
        <v>659</v>
      </c>
      <c r="HO45" s="21" t="s">
        <v>659</v>
      </c>
      <c r="HP45" s="21" t="s">
        <v>656</v>
      </c>
      <c r="HQ45" s="21" t="s">
        <v>698</v>
      </c>
      <c r="HS45" s="21" t="s">
        <v>699</v>
      </c>
      <c r="HT45" s="21" t="s">
        <v>723</v>
      </c>
      <c r="HU45" s="21" t="s">
        <v>1114</v>
      </c>
      <c r="IH45" s="21" t="s">
        <v>656</v>
      </c>
      <c r="II45" s="21" t="s">
        <v>656</v>
      </c>
      <c r="IN45" s="21" t="s">
        <v>786</v>
      </c>
      <c r="IO45" s="21" t="s">
        <v>943</v>
      </c>
      <c r="QG45" s="21" t="s">
        <v>943</v>
      </c>
      <c r="QL45" s="21" t="s">
        <v>659</v>
      </c>
      <c r="QP45" s="21" t="s">
        <v>789</v>
      </c>
      <c r="QQ45" s="21" t="s">
        <v>656</v>
      </c>
      <c r="WL45" s="21" t="s">
        <v>1116</v>
      </c>
      <c r="WM45" s="21" t="s">
        <v>1169</v>
      </c>
      <c r="WN45" s="21" t="s">
        <v>748</v>
      </c>
      <c r="WO45" s="21" t="s">
        <v>1170</v>
      </c>
      <c r="WT45" s="21" t="s">
        <v>819</v>
      </c>
      <c r="WU45" s="21" t="s">
        <v>1144</v>
      </c>
      <c r="WV45" s="21" t="s">
        <v>843</v>
      </c>
      <c r="WW45" s="21" t="s">
        <v>820</v>
      </c>
      <c r="WX45" s="21" t="s">
        <v>1171</v>
      </c>
    </row>
    <row r="46">
      <c r="A46" s="21">
        <v>266.0</v>
      </c>
      <c r="B46" s="22">
        <v>45085.0</v>
      </c>
      <c r="C46" s="21">
        <v>2023.0</v>
      </c>
      <c r="D46" s="21">
        <v>2.0230054E7</v>
      </c>
      <c r="E46" s="21">
        <v>38149.0</v>
      </c>
      <c r="F46" s="21" t="s">
        <v>701</v>
      </c>
      <c r="G46" s="21">
        <v>31202.0</v>
      </c>
      <c r="H46" s="21" t="s">
        <v>1172</v>
      </c>
      <c r="I46" s="21" t="s">
        <v>652</v>
      </c>
      <c r="J46" s="21" t="s">
        <v>653</v>
      </c>
      <c r="K46" s="21" t="s">
        <v>654</v>
      </c>
      <c r="L46" s="21">
        <v>77002.0</v>
      </c>
      <c r="M46" s="23">
        <v>45057.68125</v>
      </c>
      <c r="N46" s="21" t="s">
        <v>655</v>
      </c>
      <c r="O46" s="21" t="s">
        <v>659</v>
      </c>
      <c r="P46" s="21">
        <v>35.160292</v>
      </c>
      <c r="Q46" s="21">
        <v>-94.325093</v>
      </c>
      <c r="R46" s="21">
        <v>1367017.0</v>
      </c>
      <c r="S46" s="24">
        <v>45057.68125</v>
      </c>
      <c r="T46" s="21" t="s">
        <v>1173</v>
      </c>
      <c r="U46" s="21" t="s">
        <v>657</v>
      </c>
      <c r="W46" s="21">
        <v>100.0</v>
      </c>
      <c r="X46" s="21">
        <v>31.0</v>
      </c>
      <c r="Y46" s="21">
        <v>0.0</v>
      </c>
      <c r="Z46" s="21" t="s">
        <v>656</v>
      </c>
      <c r="AF46" s="21">
        <v>0.0</v>
      </c>
      <c r="AG46" s="21" t="s">
        <v>656</v>
      </c>
      <c r="AM46" s="21">
        <v>0.0</v>
      </c>
      <c r="AN46" s="21" t="s">
        <v>658</v>
      </c>
      <c r="AO46" s="21" t="s">
        <v>659</v>
      </c>
      <c r="AQ46" s="24">
        <v>45057.99930555555</v>
      </c>
      <c r="AR46" s="24">
        <v>45061.6875</v>
      </c>
      <c r="AT46" s="21" t="s">
        <v>656</v>
      </c>
      <c r="AW46" s="21" t="s">
        <v>659</v>
      </c>
      <c r="AX46" s="24">
        <v>45057.58541666667</v>
      </c>
      <c r="AY46" s="21" t="s">
        <v>1174</v>
      </c>
      <c r="BA46" s="21">
        <v>100.0</v>
      </c>
      <c r="BB46" s="21" t="s">
        <v>656</v>
      </c>
      <c r="BC46" s="21" t="s">
        <v>704</v>
      </c>
      <c r="BE46" s="24">
        <v>45057.600694444445</v>
      </c>
      <c r="BF46" s="21" t="s">
        <v>704</v>
      </c>
      <c r="BH46" s="24">
        <v>45057.600694444445</v>
      </c>
      <c r="BI46" s="21">
        <v>0.0</v>
      </c>
      <c r="BJ46" s="24">
        <v>45057.58541666667</v>
      </c>
      <c r="BK46" s="24">
        <v>45057.58541666667</v>
      </c>
      <c r="BM46" s="21" t="s">
        <v>662</v>
      </c>
      <c r="BN46" s="21" t="s">
        <v>961</v>
      </c>
      <c r="BO46" s="21">
        <v>72936.0</v>
      </c>
      <c r="BP46" s="21" t="s">
        <v>663</v>
      </c>
      <c r="BQ46" s="21" t="s">
        <v>1175</v>
      </c>
      <c r="BR46" s="21" t="s">
        <v>665</v>
      </c>
      <c r="BT46" s="21" t="s">
        <v>1176</v>
      </c>
      <c r="BU46" s="21" t="s">
        <v>1177</v>
      </c>
      <c r="BV46" s="21" t="s">
        <v>656</v>
      </c>
      <c r="BW46" s="21" t="s">
        <v>738</v>
      </c>
      <c r="BX46" s="21" t="s">
        <v>739</v>
      </c>
      <c r="BY46" s="21" t="s">
        <v>740</v>
      </c>
      <c r="CA46" s="21">
        <v>36.0</v>
      </c>
      <c r="CB46" s="21" t="s">
        <v>656</v>
      </c>
      <c r="CC46" s="21" t="s">
        <v>656</v>
      </c>
      <c r="CZ46" s="21" t="s">
        <v>671</v>
      </c>
      <c r="DA46" s="21" t="s">
        <v>741</v>
      </c>
      <c r="DB46" s="21" t="s">
        <v>714</v>
      </c>
      <c r="DC46" s="21" t="s">
        <v>715</v>
      </c>
      <c r="DD46" s="21">
        <v>4.0</v>
      </c>
      <c r="DE46" s="21" t="s">
        <v>656</v>
      </c>
      <c r="DF46" s="21">
        <v>0.156</v>
      </c>
      <c r="DG46" s="21">
        <v>35000.0</v>
      </c>
      <c r="DH46" s="21" t="s">
        <v>684</v>
      </c>
      <c r="DI46" s="21" t="s">
        <v>696</v>
      </c>
      <c r="DJ46" s="21" t="s">
        <v>684</v>
      </c>
      <c r="DK46" s="21" t="s">
        <v>684</v>
      </c>
      <c r="DL46" s="21" t="s">
        <v>696</v>
      </c>
      <c r="DM46" s="21" t="s">
        <v>684</v>
      </c>
      <c r="DN46" s="21" t="s">
        <v>684</v>
      </c>
      <c r="EO46" s="21">
        <v>1970.0</v>
      </c>
      <c r="EP46" s="21" t="s">
        <v>684</v>
      </c>
      <c r="EQ46" s="21" t="s">
        <v>674</v>
      </c>
      <c r="ES46" s="21" t="s">
        <v>675</v>
      </c>
      <c r="EV46" s="21" t="s">
        <v>718</v>
      </c>
      <c r="FC46" s="21" t="s">
        <v>677</v>
      </c>
      <c r="FD46" s="21" t="s">
        <v>656</v>
      </c>
      <c r="FF46" s="21">
        <v>93.0</v>
      </c>
      <c r="FH46" s="21" t="s">
        <v>656</v>
      </c>
      <c r="FI46" s="21" t="s">
        <v>656</v>
      </c>
      <c r="FL46" s="21" t="s">
        <v>656</v>
      </c>
      <c r="FO46" s="21">
        <v>0.0</v>
      </c>
      <c r="FP46" s="21">
        <v>207.0</v>
      </c>
      <c r="FQ46" s="21">
        <v>64.0</v>
      </c>
      <c r="FR46" s="21">
        <v>40000.0</v>
      </c>
      <c r="FS46" s="21">
        <v>0.0</v>
      </c>
      <c r="FT46" s="21">
        <v>0.0</v>
      </c>
      <c r="FV46" s="21">
        <v>2.07</v>
      </c>
      <c r="FW46" s="21">
        <v>40271.0</v>
      </c>
      <c r="FX46" s="21">
        <v>0.0</v>
      </c>
      <c r="FY46" s="21">
        <v>0.0</v>
      </c>
      <c r="FZ46" s="21">
        <v>0.0</v>
      </c>
      <c r="GA46" s="21">
        <v>0.0</v>
      </c>
      <c r="GB46" s="21" t="s">
        <v>656</v>
      </c>
      <c r="GF46" s="21">
        <v>730.0</v>
      </c>
      <c r="GG46" s="21">
        <v>300.0</v>
      </c>
      <c r="GH46" s="21">
        <v>900.0</v>
      </c>
      <c r="GI46" s="21" t="s">
        <v>774</v>
      </c>
      <c r="GK46" s="25">
        <v>41256.0</v>
      </c>
      <c r="GL46" s="21" t="s">
        <v>656</v>
      </c>
      <c r="GM46" s="21" t="s">
        <v>679</v>
      </c>
      <c r="GN46" s="21" t="s">
        <v>656</v>
      </c>
      <c r="GQ46" s="21" t="s">
        <v>656</v>
      </c>
      <c r="GS46" s="21" t="s">
        <v>720</v>
      </c>
      <c r="GT46" s="21" t="s">
        <v>720</v>
      </c>
      <c r="GU46" s="21">
        <v>7633.0</v>
      </c>
      <c r="GV46" s="21" t="s">
        <v>656</v>
      </c>
      <c r="HB46" s="21" t="s">
        <v>659</v>
      </c>
      <c r="HC46" s="21" t="s">
        <v>1178</v>
      </c>
      <c r="HD46" s="21" t="s">
        <v>656</v>
      </c>
      <c r="HK46" s="21" t="s">
        <v>721</v>
      </c>
      <c r="HL46" s="21" t="s">
        <v>656</v>
      </c>
      <c r="HQ46" s="21" t="s">
        <v>1127</v>
      </c>
      <c r="HS46" s="21" t="s">
        <v>699</v>
      </c>
      <c r="HT46" s="21" t="s">
        <v>723</v>
      </c>
      <c r="HU46" s="21" t="s">
        <v>1179</v>
      </c>
      <c r="IH46" s="21" t="s">
        <v>656</v>
      </c>
      <c r="II46" s="21" t="s">
        <v>656</v>
      </c>
      <c r="IN46" s="21" t="s">
        <v>725</v>
      </c>
      <c r="IO46" s="21" t="s">
        <v>900</v>
      </c>
      <c r="IP46" s="21" t="s">
        <v>900</v>
      </c>
      <c r="IQ46" s="21" t="s">
        <v>1014</v>
      </c>
      <c r="IX46" s="21" t="s">
        <v>659</v>
      </c>
      <c r="IY46" s="21" t="s">
        <v>1180</v>
      </c>
      <c r="JB46" s="21" t="s">
        <v>659</v>
      </c>
      <c r="JF46" s="21" t="s">
        <v>659</v>
      </c>
      <c r="JG46" s="21" t="s">
        <v>659</v>
      </c>
      <c r="JH46" s="21">
        <v>1970.0</v>
      </c>
      <c r="JI46" s="21" t="s">
        <v>656</v>
      </c>
      <c r="JJ46" s="21" t="s">
        <v>656</v>
      </c>
      <c r="JS46" s="21" t="s">
        <v>659</v>
      </c>
      <c r="QW46" s="21" t="s">
        <v>656</v>
      </c>
      <c r="TI46" s="21" t="s">
        <v>656</v>
      </c>
      <c r="TL46" s="21" t="s">
        <v>656</v>
      </c>
      <c r="TZ46" s="21" t="s">
        <v>656</v>
      </c>
      <c r="UY46" s="21" t="s">
        <v>659</v>
      </c>
      <c r="WL46" s="21" t="s">
        <v>977</v>
      </c>
      <c r="WM46" s="21" t="s">
        <v>978</v>
      </c>
      <c r="WN46" s="21" t="s">
        <v>979</v>
      </c>
      <c r="WO46" s="21" t="s">
        <v>980</v>
      </c>
      <c r="WQ46" s="21" t="s">
        <v>1181</v>
      </c>
      <c r="WR46" s="21" t="s">
        <v>1182</v>
      </c>
      <c r="WS46" s="21" t="s">
        <v>1183</v>
      </c>
      <c r="WT46" s="21" t="s">
        <v>819</v>
      </c>
      <c r="WU46" s="21" t="s">
        <v>984</v>
      </c>
      <c r="WV46" s="21" t="s">
        <v>843</v>
      </c>
      <c r="WW46" s="21" t="s">
        <v>820</v>
      </c>
      <c r="WX46" s="21" t="s">
        <v>1184</v>
      </c>
    </row>
    <row r="47">
      <c r="A47" s="21">
        <v>283.0</v>
      </c>
      <c r="B47" s="22">
        <v>45030.0</v>
      </c>
      <c r="C47" s="21">
        <v>2023.0</v>
      </c>
      <c r="D47" s="21">
        <v>2.0230034E7</v>
      </c>
      <c r="E47" s="21">
        <v>38145.0</v>
      </c>
      <c r="F47" s="21" t="s">
        <v>778</v>
      </c>
      <c r="G47" s="21">
        <v>32099.0</v>
      </c>
      <c r="H47" s="21" t="s">
        <v>651</v>
      </c>
      <c r="I47" s="21" t="s">
        <v>652</v>
      </c>
      <c r="J47" s="21" t="s">
        <v>653</v>
      </c>
      <c r="K47" s="21" t="s">
        <v>654</v>
      </c>
      <c r="L47" s="21">
        <v>77002.0</v>
      </c>
      <c r="M47" s="23">
        <v>45000.635416666664</v>
      </c>
      <c r="N47" s="21" t="s">
        <v>655</v>
      </c>
      <c r="O47" s="21" t="s">
        <v>659</v>
      </c>
      <c r="P47" s="21">
        <v>28.069311</v>
      </c>
      <c r="Q47" s="21">
        <v>-99.923707</v>
      </c>
      <c r="R47" s="21">
        <v>1362685.0</v>
      </c>
      <c r="S47" s="24">
        <v>45005.72361111111</v>
      </c>
      <c r="T47" s="21">
        <v>1362815.0</v>
      </c>
      <c r="U47" s="21" t="s">
        <v>657</v>
      </c>
      <c r="W47" s="21">
        <v>15.12</v>
      </c>
      <c r="X47" s="21">
        <v>1.67</v>
      </c>
      <c r="Y47" s="21">
        <v>20.0</v>
      </c>
      <c r="Z47" s="21" t="s">
        <v>656</v>
      </c>
      <c r="AF47" s="21">
        <v>0.0</v>
      </c>
      <c r="AG47" s="21" t="s">
        <v>656</v>
      </c>
      <c r="AM47" s="21">
        <v>0.0</v>
      </c>
      <c r="AN47" s="21" t="s">
        <v>658</v>
      </c>
      <c r="AO47" s="21" t="s">
        <v>659</v>
      </c>
      <c r="AQ47" s="24">
        <v>45000.63888888889</v>
      </c>
      <c r="AR47" s="24">
        <v>45044.645833333336</v>
      </c>
      <c r="AT47" s="21" t="s">
        <v>656</v>
      </c>
      <c r="AW47" s="21" t="s">
        <v>656</v>
      </c>
      <c r="BC47" s="21" t="s">
        <v>704</v>
      </c>
      <c r="BE47" s="24">
        <v>45000.6375</v>
      </c>
      <c r="BF47" s="21" t="s">
        <v>704</v>
      </c>
      <c r="BH47" s="24">
        <v>45000.63888888889</v>
      </c>
      <c r="BI47" s="21">
        <v>0.0</v>
      </c>
      <c r="BJ47" s="24">
        <v>45000.635416666664</v>
      </c>
      <c r="BK47" s="24">
        <v>45000.635416666664</v>
      </c>
      <c r="BM47" s="21" t="s">
        <v>662</v>
      </c>
      <c r="BN47" s="21" t="s">
        <v>654</v>
      </c>
      <c r="BO47" s="21">
        <v>78045.0</v>
      </c>
      <c r="BP47" s="21" t="s">
        <v>1010</v>
      </c>
      <c r="BQ47" s="21" t="s">
        <v>822</v>
      </c>
      <c r="BR47" s="21" t="s">
        <v>892</v>
      </c>
      <c r="BS47" s="21" t="s">
        <v>1185</v>
      </c>
      <c r="BT47" s="21" t="s">
        <v>1186</v>
      </c>
      <c r="BU47" s="21" t="s">
        <v>1186</v>
      </c>
      <c r="BV47" s="21" t="s">
        <v>656</v>
      </c>
      <c r="BW47" s="21" t="s">
        <v>668</v>
      </c>
      <c r="BX47" s="21" t="s">
        <v>739</v>
      </c>
      <c r="BY47" s="21" t="s">
        <v>740</v>
      </c>
      <c r="CA47" s="21">
        <v>72.0</v>
      </c>
      <c r="CB47" s="21" t="s">
        <v>656</v>
      </c>
      <c r="CC47" s="21" t="s">
        <v>656</v>
      </c>
      <c r="CZ47" s="21" t="s">
        <v>671</v>
      </c>
      <c r="DA47" s="21" t="s">
        <v>741</v>
      </c>
      <c r="DB47" s="21" t="s">
        <v>714</v>
      </c>
      <c r="DC47" s="21" t="s">
        <v>715</v>
      </c>
      <c r="DD47" s="21">
        <v>12.0</v>
      </c>
      <c r="DE47" s="21" t="s">
        <v>656</v>
      </c>
      <c r="DF47" s="21">
        <v>0.25</v>
      </c>
      <c r="DG47" s="21">
        <v>60000.0</v>
      </c>
      <c r="DH47" s="21" t="s">
        <v>684</v>
      </c>
      <c r="DI47" s="21" t="s">
        <v>771</v>
      </c>
      <c r="DK47" s="21" t="s">
        <v>684</v>
      </c>
      <c r="DL47" s="21" t="s">
        <v>824</v>
      </c>
      <c r="DN47" s="21" t="s">
        <v>659</v>
      </c>
      <c r="EO47" s="21">
        <v>2012.0</v>
      </c>
      <c r="EP47" s="21">
        <v>2012.0</v>
      </c>
      <c r="EQ47" s="21" t="s">
        <v>674</v>
      </c>
      <c r="ES47" s="21" t="s">
        <v>675</v>
      </c>
      <c r="EV47" s="21" t="s">
        <v>718</v>
      </c>
      <c r="FC47" s="21" t="s">
        <v>677</v>
      </c>
      <c r="FD47" s="21" t="s">
        <v>656</v>
      </c>
      <c r="FF47" s="21">
        <v>157.0</v>
      </c>
      <c r="FH47" s="21" t="s">
        <v>656</v>
      </c>
      <c r="FI47" s="21" t="s">
        <v>656</v>
      </c>
      <c r="FL47" s="21" t="s">
        <v>656</v>
      </c>
      <c r="FO47" s="21">
        <v>200000.0</v>
      </c>
      <c r="FP47" s="21">
        <v>35.0</v>
      </c>
      <c r="FQ47" s="21">
        <v>4.0</v>
      </c>
      <c r="FR47" s="21">
        <v>150000.0</v>
      </c>
      <c r="FS47" s="21">
        <v>68.0</v>
      </c>
      <c r="FT47" s="21">
        <v>0.0</v>
      </c>
      <c r="FV47" s="21">
        <v>2.31</v>
      </c>
      <c r="FW47" s="21">
        <v>350107.0</v>
      </c>
      <c r="FX47" s="21">
        <v>0.0</v>
      </c>
      <c r="FY47" s="21">
        <v>0.0</v>
      </c>
      <c r="FZ47" s="21">
        <v>0.0</v>
      </c>
      <c r="GA47" s="21">
        <v>0.0</v>
      </c>
      <c r="GB47" s="21" t="s">
        <v>656</v>
      </c>
      <c r="GF47" s="21">
        <v>75.0</v>
      </c>
      <c r="GG47" s="21">
        <v>350.0</v>
      </c>
      <c r="GH47" s="21">
        <v>1440.0</v>
      </c>
      <c r="GI47" s="21" t="s">
        <v>774</v>
      </c>
      <c r="GK47" s="25">
        <v>40967.0</v>
      </c>
      <c r="GL47" s="21" t="s">
        <v>656</v>
      </c>
      <c r="GM47" s="21" t="s">
        <v>679</v>
      </c>
      <c r="GN47" s="21" t="s">
        <v>656</v>
      </c>
      <c r="GQ47" s="21" t="s">
        <v>656</v>
      </c>
      <c r="GS47" s="21" t="s">
        <v>720</v>
      </c>
      <c r="GT47" s="21" t="s">
        <v>720</v>
      </c>
      <c r="GU47" s="21">
        <v>268.0</v>
      </c>
      <c r="GV47" s="21" t="s">
        <v>656</v>
      </c>
      <c r="GZ47" s="21" t="s">
        <v>659</v>
      </c>
      <c r="HD47" s="21" t="s">
        <v>659</v>
      </c>
      <c r="HI47" s="21" t="s">
        <v>659</v>
      </c>
      <c r="HJ47" s="21" t="s">
        <v>1187</v>
      </c>
      <c r="HK47" s="21" t="s">
        <v>680</v>
      </c>
      <c r="HL47" s="21" t="s">
        <v>656</v>
      </c>
      <c r="HQ47" s="21" t="s">
        <v>1127</v>
      </c>
      <c r="HS47" s="21" t="s">
        <v>699</v>
      </c>
      <c r="HT47" s="21" t="s">
        <v>723</v>
      </c>
      <c r="HU47" s="21" t="s">
        <v>1084</v>
      </c>
      <c r="IH47" s="21" t="s">
        <v>656</v>
      </c>
      <c r="II47" s="21" t="s">
        <v>656</v>
      </c>
      <c r="IN47" s="21" t="s">
        <v>725</v>
      </c>
      <c r="IO47" s="21" t="s">
        <v>726</v>
      </c>
      <c r="IP47" s="21" t="s">
        <v>726</v>
      </c>
      <c r="JT47" s="21" t="s">
        <v>696</v>
      </c>
      <c r="JU47" s="21" t="s">
        <v>1070</v>
      </c>
      <c r="JX47" s="21" t="s">
        <v>659</v>
      </c>
      <c r="KB47" s="21" t="s">
        <v>659</v>
      </c>
      <c r="KD47" s="21" t="s">
        <v>659</v>
      </c>
      <c r="KE47" s="21" t="s">
        <v>1188</v>
      </c>
      <c r="KF47" s="21" t="s">
        <v>659</v>
      </c>
      <c r="KL47" s="21" t="s">
        <v>656</v>
      </c>
      <c r="KM47" s="21" t="s">
        <v>656</v>
      </c>
      <c r="KN47" s="21" t="s">
        <v>728</v>
      </c>
      <c r="KO47" s="21" t="s">
        <v>659</v>
      </c>
      <c r="QW47" s="21" t="s">
        <v>656</v>
      </c>
      <c r="TI47" s="21" t="s">
        <v>656</v>
      </c>
      <c r="TL47" s="21" t="s">
        <v>904</v>
      </c>
      <c r="TM47" s="21">
        <v>2023.0</v>
      </c>
      <c r="TP47" s="21">
        <v>2023.0</v>
      </c>
      <c r="TV47" s="21" t="s">
        <v>659</v>
      </c>
      <c r="TZ47" s="21" t="s">
        <v>656</v>
      </c>
      <c r="WL47" s="21" t="s">
        <v>1189</v>
      </c>
      <c r="WM47" s="21" t="s">
        <v>1190</v>
      </c>
      <c r="WN47" s="21" t="s">
        <v>1191</v>
      </c>
      <c r="WO47" s="21" t="s">
        <v>1192</v>
      </c>
      <c r="WT47" s="21" t="s">
        <v>1193</v>
      </c>
      <c r="WU47" s="21" t="s">
        <v>1194</v>
      </c>
      <c r="WV47" s="21" t="s">
        <v>1195</v>
      </c>
      <c r="WW47" s="21" t="s">
        <v>1196</v>
      </c>
      <c r="WX47" s="21" t="s">
        <v>1197</v>
      </c>
    </row>
    <row r="48">
      <c r="A48" s="21">
        <v>287.0</v>
      </c>
      <c r="B48" s="22">
        <v>45012.0</v>
      </c>
      <c r="C48" s="21">
        <v>2023.0</v>
      </c>
      <c r="D48" s="21">
        <v>2.0230029E7</v>
      </c>
      <c r="E48" s="21">
        <v>38131.0</v>
      </c>
      <c r="F48" s="21" t="s">
        <v>778</v>
      </c>
      <c r="G48" s="21">
        <v>32099.0</v>
      </c>
      <c r="H48" s="21" t="s">
        <v>651</v>
      </c>
      <c r="I48" s="21" t="s">
        <v>652</v>
      </c>
      <c r="J48" s="21" t="s">
        <v>653</v>
      </c>
      <c r="K48" s="21" t="s">
        <v>654</v>
      </c>
      <c r="L48" s="21">
        <v>77002.0</v>
      </c>
      <c r="M48" s="23">
        <v>44988.61944444444</v>
      </c>
      <c r="N48" s="21" t="s">
        <v>655</v>
      </c>
      <c r="O48" s="21" t="s">
        <v>656</v>
      </c>
      <c r="P48" s="21">
        <v>31.655385</v>
      </c>
      <c r="Q48" s="21">
        <v>-102.057297</v>
      </c>
      <c r="R48" s="21">
        <v>1361380.0</v>
      </c>
      <c r="S48" s="24">
        <v>44988.700694444444</v>
      </c>
      <c r="T48" s="21">
        <v>1361508.0</v>
      </c>
      <c r="U48" s="21" t="s">
        <v>657</v>
      </c>
      <c r="W48" s="21">
        <v>3690.0</v>
      </c>
      <c r="X48" s="21">
        <v>0.0</v>
      </c>
      <c r="Y48" s="21">
        <v>0.0</v>
      </c>
      <c r="Z48" s="21" t="s">
        <v>656</v>
      </c>
      <c r="AF48" s="21">
        <v>0.0</v>
      </c>
      <c r="AG48" s="21" t="s">
        <v>656</v>
      </c>
      <c r="AM48" s="21">
        <v>0.0</v>
      </c>
      <c r="AN48" s="21" t="s">
        <v>1198</v>
      </c>
      <c r="AT48" s="21" t="s">
        <v>656</v>
      </c>
      <c r="AW48" s="21" t="s">
        <v>656</v>
      </c>
      <c r="BC48" s="21" t="s">
        <v>704</v>
      </c>
      <c r="BE48" s="24">
        <v>44988.583333333336</v>
      </c>
      <c r="BF48" s="21" t="s">
        <v>704</v>
      </c>
      <c r="BH48" s="24">
        <v>44988.583333333336</v>
      </c>
      <c r="BI48" s="21">
        <v>0.0</v>
      </c>
      <c r="BJ48" s="24">
        <v>44988.61944444444</v>
      </c>
      <c r="BK48" s="24">
        <v>44988.61944444444</v>
      </c>
      <c r="BM48" s="21" t="s">
        <v>662</v>
      </c>
      <c r="BN48" s="21" t="s">
        <v>654</v>
      </c>
      <c r="BO48" s="21">
        <v>79765.0</v>
      </c>
      <c r="BP48" s="21" t="s">
        <v>1199</v>
      </c>
      <c r="BQ48" s="21" t="s">
        <v>1200</v>
      </c>
      <c r="BR48" s="21" t="s">
        <v>892</v>
      </c>
      <c r="BS48" s="21" t="s">
        <v>1185</v>
      </c>
      <c r="BT48" s="21" t="s">
        <v>1201</v>
      </c>
      <c r="BU48" s="21">
        <v>2.0150013E7</v>
      </c>
      <c r="BV48" s="21" t="s">
        <v>656</v>
      </c>
      <c r="BW48" s="21" t="s">
        <v>668</v>
      </c>
      <c r="BX48" s="21" t="s">
        <v>669</v>
      </c>
      <c r="BY48" s="21" t="s">
        <v>670</v>
      </c>
      <c r="CC48" s="21" t="s">
        <v>656</v>
      </c>
      <c r="CZ48" s="21" t="s">
        <v>671</v>
      </c>
      <c r="DA48" s="21" t="s">
        <v>741</v>
      </c>
      <c r="DB48" s="21" t="s">
        <v>756</v>
      </c>
      <c r="EH48" s="21" t="s">
        <v>757</v>
      </c>
      <c r="EI48" s="21" t="s">
        <v>1202</v>
      </c>
      <c r="EK48" s="21" t="s">
        <v>684</v>
      </c>
      <c r="EO48" s="21">
        <v>2015.0</v>
      </c>
      <c r="EP48" s="21" t="s">
        <v>684</v>
      </c>
      <c r="EQ48" s="21" t="s">
        <v>674</v>
      </c>
      <c r="ES48" s="21" t="s">
        <v>675</v>
      </c>
      <c r="EV48" s="21" t="s">
        <v>676</v>
      </c>
      <c r="FC48" s="21" t="s">
        <v>677</v>
      </c>
      <c r="FD48" s="21" t="s">
        <v>656</v>
      </c>
      <c r="FF48" s="21">
        <v>353.0</v>
      </c>
      <c r="FH48" s="21" t="s">
        <v>656</v>
      </c>
      <c r="FI48" s="21" t="s">
        <v>656</v>
      </c>
      <c r="FL48" s="21" t="s">
        <v>656</v>
      </c>
      <c r="FO48" s="21">
        <v>0.0</v>
      </c>
      <c r="FP48" s="21">
        <v>9815.0</v>
      </c>
      <c r="FQ48" s="21">
        <v>0.0</v>
      </c>
      <c r="FR48" s="21">
        <v>109000.0</v>
      </c>
      <c r="FS48" s="21">
        <v>1000.0</v>
      </c>
      <c r="FT48" s="21">
        <v>0.0</v>
      </c>
      <c r="FV48" s="21">
        <v>2.66</v>
      </c>
      <c r="FW48" s="21">
        <v>119815.0</v>
      </c>
      <c r="FX48" s="21">
        <v>0.0</v>
      </c>
      <c r="FY48" s="21">
        <v>0.0</v>
      </c>
      <c r="FZ48" s="21">
        <v>0.0</v>
      </c>
      <c r="GA48" s="21">
        <v>0.0</v>
      </c>
      <c r="GB48" s="21" t="s">
        <v>656</v>
      </c>
      <c r="GF48" s="21">
        <v>1000.0</v>
      </c>
      <c r="GG48" s="21">
        <v>61000.0</v>
      </c>
      <c r="GH48" s="21">
        <v>1440.0</v>
      </c>
      <c r="GI48" s="21" t="s">
        <v>774</v>
      </c>
      <c r="GK48" s="25">
        <v>42125.0</v>
      </c>
      <c r="GL48" s="21" t="s">
        <v>656</v>
      </c>
      <c r="GM48" s="21" t="s">
        <v>679</v>
      </c>
      <c r="GN48" s="21" t="s">
        <v>656</v>
      </c>
      <c r="GQ48" s="21" t="s">
        <v>656</v>
      </c>
      <c r="GS48" s="21" t="s">
        <v>720</v>
      </c>
      <c r="GT48" s="21" t="s">
        <v>720</v>
      </c>
      <c r="GU48" s="21">
        <v>30096.0</v>
      </c>
      <c r="GV48" s="21" t="s">
        <v>659</v>
      </c>
      <c r="HD48" s="21" t="s">
        <v>656</v>
      </c>
      <c r="HK48" s="21" t="s">
        <v>680</v>
      </c>
      <c r="HL48" s="21" t="s">
        <v>659</v>
      </c>
      <c r="HM48" s="21" t="s">
        <v>659</v>
      </c>
      <c r="HN48" s="21" t="s">
        <v>659</v>
      </c>
      <c r="HO48" s="21" t="s">
        <v>656</v>
      </c>
      <c r="HP48" s="21" t="s">
        <v>656</v>
      </c>
      <c r="HQ48" s="21" t="s">
        <v>698</v>
      </c>
      <c r="HS48" s="21" t="s">
        <v>699</v>
      </c>
      <c r="HT48" s="21" t="s">
        <v>723</v>
      </c>
      <c r="HU48" s="21" t="s">
        <v>885</v>
      </c>
      <c r="IH48" s="21" t="s">
        <v>656</v>
      </c>
      <c r="II48" s="21" t="s">
        <v>656</v>
      </c>
      <c r="IN48" s="21" t="s">
        <v>761</v>
      </c>
      <c r="IO48" s="21" t="s">
        <v>1203</v>
      </c>
      <c r="OU48" s="21" t="s">
        <v>1203</v>
      </c>
      <c r="PO48" s="21" t="s">
        <v>1204</v>
      </c>
      <c r="PZ48" s="21" t="s">
        <v>659</v>
      </c>
      <c r="WL48" s="21" t="s">
        <v>1116</v>
      </c>
      <c r="WM48" s="21" t="s">
        <v>1169</v>
      </c>
      <c r="WN48" s="21" t="s">
        <v>748</v>
      </c>
      <c r="WO48" s="21" t="s">
        <v>1205</v>
      </c>
      <c r="WT48" s="21" t="s">
        <v>1193</v>
      </c>
      <c r="WU48" s="21" t="s">
        <v>1194</v>
      </c>
      <c r="WV48" s="21">
        <v>7.139897077E9</v>
      </c>
      <c r="WW48" s="21" t="s">
        <v>1196</v>
      </c>
      <c r="WX48" s="21" t="s">
        <v>1206</v>
      </c>
    </row>
    <row r="49">
      <c r="A49" s="21">
        <v>289.0</v>
      </c>
      <c r="B49" s="22">
        <v>45000.0</v>
      </c>
      <c r="C49" s="21">
        <v>2023.0</v>
      </c>
      <c r="D49" s="21">
        <v>2.0230027E7</v>
      </c>
      <c r="E49" s="21">
        <v>37923.0</v>
      </c>
      <c r="F49" s="21" t="s">
        <v>778</v>
      </c>
      <c r="G49" s="21">
        <v>602.0</v>
      </c>
      <c r="H49" s="21" t="s">
        <v>859</v>
      </c>
      <c r="I49" s="21" t="s">
        <v>652</v>
      </c>
      <c r="J49" s="21" t="s">
        <v>653</v>
      </c>
      <c r="K49" s="21" t="s">
        <v>654</v>
      </c>
      <c r="L49" s="21">
        <v>77002.0</v>
      </c>
      <c r="M49" s="23">
        <v>44973.333333333336</v>
      </c>
      <c r="N49" s="21" t="s">
        <v>655</v>
      </c>
      <c r="O49" s="21" t="s">
        <v>656</v>
      </c>
      <c r="P49" s="21">
        <v>35.3308333</v>
      </c>
      <c r="Q49" s="21">
        <v>-91.5486111</v>
      </c>
      <c r="R49" s="21">
        <v>1360128.0</v>
      </c>
      <c r="S49" s="24">
        <v>44973.34166666667</v>
      </c>
      <c r="T49" s="21" t="s">
        <v>1207</v>
      </c>
      <c r="U49" s="21" t="s">
        <v>657</v>
      </c>
      <c r="W49" s="21">
        <v>75.0</v>
      </c>
      <c r="X49" s="21">
        <v>0.0</v>
      </c>
      <c r="Y49" s="21">
        <v>0.0</v>
      </c>
      <c r="Z49" s="21" t="s">
        <v>656</v>
      </c>
      <c r="AF49" s="21">
        <v>0.0</v>
      </c>
      <c r="AG49" s="21" t="s">
        <v>656</v>
      </c>
      <c r="AM49" s="21">
        <v>0.0</v>
      </c>
      <c r="AN49" s="21" t="s">
        <v>658</v>
      </c>
      <c r="AO49" s="21" t="s">
        <v>656</v>
      </c>
      <c r="AP49" s="21" t="s">
        <v>1208</v>
      </c>
      <c r="AW49" s="21" t="s">
        <v>659</v>
      </c>
      <c r="AX49" s="24">
        <v>44973.322916666664</v>
      </c>
      <c r="AY49" s="21" t="s">
        <v>696</v>
      </c>
      <c r="AZ49" s="21" t="s">
        <v>1209</v>
      </c>
      <c r="BA49" s="21">
        <v>0.0</v>
      </c>
      <c r="BB49" s="21" t="s">
        <v>656</v>
      </c>
      <c r="BC49" s="21" t="s">
        <v>1119</v>
      </c>
      <c r="BD49" s="21" t="s">
        <v>1210</v>
      </c>
      <c r="BF49" s="21" t="s">
        <v>1119</v>
      </c>
      <c r="BG49" s="21" t="s">
        <v>1210</v>
      </c>
      <c r="BI49" s="21">
        <v>0.0</v>
      </c>
      <c r="BJ49" s="24">
        <v>44973.333333333336</v>
      </c>
      <c r="BK49" s="24">
        <v>44973.333333333336</v>
      </c>
      <c r="BM49" s="21" t="s">
        <v>662</v>
      </c>
      <c r="BN49" s="21" t="s">
        <v>961</v>
      </c>
      <c r="BO49" s="21">
        <v>72010.0</v>
      </c>
      <c r="BP49" s="21" t="s">
        <v>1211</v>
      </c>
      <c r="BQ49" s="21" t="s">
        <v>1212</v>
      </c>
      <c r="BR49" s="21" t="s">
        <v>665</v>
      </c>
      <c r="BT49" s="21" t="s">
        <v>1213</v>
      </c>
      <c r="BU49" s="21" t="s">
        <v>1214</v>
      </c>
      <c r="BV49" s="21" t="s">
        <v>656</v>
      </c>
      <c r="BW49" s="21" t="s">
        <v>738</v>
      </c>
      <c r="BX49" s="21" t="s">
        <v>739</v>
      </c>
      <c r="BY49" s="21" t="s">
        <v>740</v>
      </c>
      <c r="CA49" s="21">
        <v>36.0</v>
      </c>
      <c r="CB49" s="21" t="s">
        <v>656</v>
      </c>
      <c r="CC49" s="21" t="s">
        <v>656</v>
      </c>
      <c r="CZ49" s="21" t="s">
        <v>712</v>
      </c>
      <c r="DA49" s="21" t="s">
        <v>741</v>
      </c>
      <c r="DB49" s="21" t="s">
        <v>714</v>
      </c>
      <c r="DC49" s="21" t="s">
        <v>715</v>
      </c>
      <c r="DD49" s="21">
        <v>4.0</v>
      </c>
      <c r="DE49" s="21" t="s">
        <v>656</v>
      </c>
      <c r="DF49" s="21">
        <v>0.125</v>
      </c>
      <c r="DG49" s="21">
        <v>35000.0</v>
      </c>
      <c r="DH49" s="21" t="s">
        <v>684</v>
      </c>
      <c r="DI49" s="21" t="s">
        <v>696</v>
      </c>
      <c r="DJ49" s="21" t="s">
        <v>684</v>
      </c>
      <c r="DK49" s="21" t="s">
        <v>684</v>
      </c>
      <c r="DL49" s="21" t="s">
        <v>743</v>
      </c>
      <c r="DN49" s="21" t="s">
        <v>656</v>
      </c>
      <c r="EO49" s="21">
        <v>1966.0</v>
      </c>
      <c r="EP49" s="21" t="s">
        <v>684</v>
      </c>
      <c r="EQ49" s="21" t="s">
        <v>674</v>
      </c>
      <c r="ES49" s="21" t="s">
        <v>675</v>
      </c>
      <c r="EV49" s="21" t="s">
        <v>696</v>
      </c>
      <c r="EW49" s="21" t="s">
        <v>1215</v>
      </c>
      <c r="FC49" s="21" t="s">
        <v>677</v>
      </c>
      <c r="FD49" s="21" t="s">
        <v>659</v>
      </c>
      <c r="FE49" s="21" t="s">
        <v>1216</v>
      </c>
      <c r="FF49" s="21">
        <v>93.0</v>
      </c>
      <c r="FH49" s="21" t="s">
        <v>656</v>
      </c>
      <c r="FI49" s="21" t="s">
        <v>656</v>
      </c>
      <c r="FO49" s="21">
        <v>0.0</v>
      </c>
      <c r="FP49" s="21">
        <v>179.0</v>
      </c>
      <c r="FQ49" s="21">
        <v>0.0</v>
      </c>
      <c r="FR49" s="21">
        <v>54920.0</v>
      </c>
      <c r="FS49" s="21">
        <v>95080.0</v>
      </c>
      <c r="FT49" s="21">
        <v>800.0</v>
      </c>
      <c r="FU49" s="21" t="s">
        <v>1217</v>
      </c>
      <c r="FV49" s="21">
        <v>2.38</v>
      </c>
      <c r="FW49" s="21">
        <v>150979.0</v>
      </c>
      <c r="FX49" s="21">
        <v>0.0</v>
      </c>
      <c r="FY49" s="21">
        <v>0.0</v>
      </c>
      <c r="FZ49" s="21">
        <v>0.0</v>
      </c>
      <c r="GA49" s="21">
        <v>0.0</v>
      </c>
      <c r="GB49" s="21" t="s">
        <v>656</v>
      </c>
      <c r="GF49" s="21">
        <v>300.0</v>
      </c>
      <c r="GG49" s="21">
        <v>100.0</v>
      </c>
      <c r="GH49" s="21">
        <v>893.0</v>
      </c>
      <c r="GI49" s="21" t="s">
        <v>774</v>
      </c>
      <c r="GK49" s="25">
        <v>40998.0</v>
      </c>
      <c r="GL49" s="21" t="s">
        <v>656</v>
      </c>
      <c r="GM49" s="21" t="s">
        <v>679</v>
      </c>
      <c r="GN49" s="21" t="s">
        <v>656</v>
      </c>
      <c r="GQ49" s="21" t="s">
        <v>659</v>
      </c>
      <c r="GR49" s="21" t="s">
        <v>659</v>
      </c>
      <c r="GU49" s="21">
        <v>175.0</v>
      </c>
      <c r="GV49" s="21" t="s">
        <v>656</v>
      </c>
      <c r="HB49" s="21" t="s">
        <v>659</v>
      </c>
      <c r="HC49" s="21" t="s">
        <v>1218</v>
      </c>
      <c r="HD49" s="21" t="s">
        <v>656</v>
      </c>
      <c r="HK49" s="21" t="s">
        <v>721</v>
      </c>
      <c r="HL49" s="21" t="s">
        <v>656</v>
      </c>
      <c r="HQ49" s="21" t="s">
        <v>941</v>
      </c>
      <c r="HT49" s="21" t="s">
        <v>682</v>
      </c>
      <c r="IH49" s="21" t="s">
        <v>656</v>
      </c>
      <c r="II49" s="21" t="s">
        <v>656</v>
      </c>
      <c r="IN49" s="21" t="s">
        <v>867</v>
      </c>
      <c r="IO49" s="21" t="s">
        <v>1141</v>
      </c>
      <c r="KP49" s="21" t="s">
        <v>1141</v>
      </c>
      <c r="KS49" s="21" t="s">
        <v>1142</v>
      </c>
      <c r="KV49" s="21" t="s">
        <v>659</v>
      </c>
      <c r="KZ49" s="21" t="s">
        <v>659</v>
      </c>
      <c r="LA49" s="21" t="s">
        <v>1219</v>
      </c>
      <c r="WL49" s="21" t="s">
        <v>977</v>
      </c>
      <c r="WM49" s="21" t="s">
        <v>978</v>
      </c>
      <c r="WN49" s="21" t="s">
        <v>979</v>
      </c>
      <c r="WO49" s="21" t="s">
        <v>1220</v>
      </c>
      <c r="WQ49" s="21" t="s">
        <v>1221</v>
      </c>
      <c r="WR49" s="21" t="s">
        <v>1222</v>
      </c>
      <c r="WS49" s="21" t="s">
        <v>1223</v>
      </c>
      <c r="WT49" s="21" t="s">
        <v>819</v>
      </c>
      <c r="WU49" s="21" t="s">
        <v>984</v>
      </c>
      <c r="WV49" s="21" t="s">
        <v>843</v>
      </c>
      <c r="WW49" s="21" t="s">
        <v>820</v>
      </c>
      <c r="WX49" s="21" t="s">
        <v>1224</v>
      </c>
    </row>
    <row r="50">
      <c r="A50" s="21">
        <v>293.0</v>
      </c>
      <c r="B50" s="22">
        <v>44987.0</v>
      </c>
      <c r="C50" s="21">
        <v>2023.0</v>
      </c>
      <c r="D50" s="21">
        <v>2.0230023E7</v>
      </c>
      <c r="E50" s="21">
        <v>38904.0</v>
      </c>
      <c r="F50" s="21" t="s">
        <v>778</v>
      </c>
      <c r="G50" s="21">
        <v>602.0</v>
      </c>
      <c r="H50" s="21" t="s">
        <v>859</v>
      </c>
      <c r="I50" s="21" t="s">
        <v>652</v>
      </c>
      <c r="J50" s="21" t="s">
        <v>653</v>
      </c>
      <c r="K50" s="21" t="s">
        <v>654</v>
      </c>
      <c r="L50" s="21">
        <v>77002.0</v>
      </c>
      <c r="M50" s="23">
        <v>44961.43402777778</v>
      </c>
      <c r="N50" s="21" t="s">
        <v>655</v>
      </c>
      <c r="O50" s="21" t="s">
        <v>656</v>
      </c>
      <c r="P50" s="21">
        <v>35.742674</v>
      </c>
      <c r="Q50" s="21">
        <v>-94.043179</v>
      </c>
      <c r="R50" s="21">
        <v>1359244.0</v>
      </c>
      <c r="S50" s="24">
        <v>44961.44861111111</v>
      </c>
      <c r="T50" s="21" t="s">
        <v>1225</v>
      </c>
      <c r="U50" s="21" t="s">
        <v>657</v>
      </c>
      <c r="W50" s="21">
        <v>590.0</v>
      </c>
      <c r="X50" s="21">
        <v>12000.0</v>
      </c>
      <c r="Y50" s="21">
        <v>0.0</v>
      </c>
      <c r="Z50" s="21" t="s">
        <v>656</v>
      </c>
      <c r="AF50" s="21">
        <v>0.0</v>
      </c>
      <c r="AG50" s="21" t="s">
        <v>656</v>
      </c>
      <c r="AM50" s="21">
        <v>0.0</v>
      </c>
      <c r="AN50" s="21" t="s">
        <v>658</v>
      </c>
      <c r="AO50" s="21" t="s">
        <v>659</v>
      </c>
      <c r="AQ50" s="24">
        <v>44961.635416666664</v>
      </c>
      <c r="AR50" s="24">
        <v>44978.333333333336</v>
      </c>
      <c r="AT50" s="21" t="s">
        <v>656</v>
      </c>
      <c r="AW50" s="21" t="s">
        <v>656</v>
      </c>
      <c r="BC50" s="21" t="s">
        <v>704</v>
      </c>
      <c r="BE50" s="24">
        <v>44961.59375</v>
      </c>
      <c r="BF50" s="21" t="s">
        <v>704</v>
      </c>
      <c r="BH50" s="24">
        <v>44961.635416666664</v>
      </c>
      <c r="BI50" s="21">
        <v>0.0</v>
      </c>
      <c r="BJ50" s="24">
        <v>44961.43402777778</v>
      </c>
      <c r="BK50" s="24">
        <v>44961.416666666664</v>
      </c>
      <c r="BM50" s="21" t="s">
        <v>662</v>
      </c>
      <c r="BN50" s="21" t="s">
        <v>961</v>
      </c>
      <c r="BO50" s="21">
        <v>72959.0</v>
      </c>
      <c r="BP50" s="21" t="s">
        <v>663</v>
      </c>
      <c r="BQ50" s="21" t="s">
        <v>1226</v>
      </c>
      <c r="BR50" s="21" t="s">
        <v>665</v>
      </c>
      <c r="BT50" s="21" t="s">
        <v>1227</v>
      </c>
      <c r="BU50" s="21" t="s">
        <v>1227</v>
      </c>
      <c r="BV50" s="21" t="s">
        <v>656</v>
      </c>
      <c r="BW50" s="21" t="s">
        <v>738</v>
      </c>
      <c r="BX50" s="21" t="s">
        <v>739</v>
      </c>
      <c r="BY50" s="21" t="s">
        <v>740</v>
      </c>
      <c r="CA50" s="21">
        <v>36.0</v>
      </c>
      <c r="CB50" s="21" t="s">
        <v>656</v>
      </c>
      <c r="CC50" s="21" t="s">
        <v>656</v>
      </c>
      <c r="CZ50" s="21" t="s">
        <v>712</v>
      </c>
      <c r="DA50" s="21" t="s">
        <v>741</v>
      </c>
      <c r="DB50" s="21" t="s">
        <v>714</v>
      </c>
      <c r="DC50" s="21" t="s">
        <v>715</v>
      </c>
      <c r="DD50" s="21">
        <v>20.0</v>
      </c>
      <c r="DE50" s="21" t="s">
        <v>656</v>
      </c>
      <c r="DF50" s="21">
        <v>0.25</v>
      </c>
      <c r="DG50" s="21">
        <v>60000.0</v>
      </c>
      <c r="DH50" s="21" t="s">
        <v>684</v>
      </c>
      <c r="DI50" s="21" t="s">
        <v>848</v>
      </c>
      <c r="DK50" s="21" t="s">
        <v>849</v>
      </c>
      <c r="DL50" s="21" t="s">
        <v>743</v>
      </c>
      <c r="DN50" s="21" t="s">
        <v>656</v>
      </c>
      <c r="EO50" s="21">
        <v>1968.0</v>
      </c>
      <c r="EP50" s="21" t="s">
        <v>684</v>
      </c>
      <c r="EQ50" s="21" t="s">
        <v>674</v>
      </c>
      <c r="ES50" s="21" t="s">
        <v>675</v>
      </c>
      <c r="EV50" s="21" t="s">
        <v>805</v>
      </c>
      <c r="FC50" s="21" t="s">
        <v>677</v>
      </c>
      <c r="FD50" s="21" t="s">
        <v>656</v>
      </c>
      <c r="FF50" s="21">
        <v>436.0</v>
      </c>
      <c r="FH50" s="21" t="s">
        <v>656</v>
      </c>
      <c r="FI50" s="21" t="s">
        <v>656</v>
      </c>
      <c r="FL50" s="21" t="s">
        <v>656</v>
      </c>
      <c r="FO50" s="21">
        <v>0.0</v>
      </c>
      <c r="FP50" s="21">
        <v>1416.0</v>
      </c>
      <c r="FQ50" s="21">
        <v>28800.0</v>
      </c>
      <c r="FR50" s="21">
        <v>395000.0</v>
      </c>
      <c r="FS50" s="21">
        <v>2500.0</v>
      </c>
      <c r="FT50" s="21">
        <v>0.0</v>
      </c>
      <c r="FV50" s="21">
        <v>2.4</v>
      </c>
      <c r="FW50" s="21">
        <v>427716.0</v>
      </c>
      <c r="FX50" s="21">
        <v>0.0</v>
      </c>
      <c r="FY50" s="21">
        <v>0.0</v>
      </c>
      <c r="FZ50" s="21">
        <v>0.0</v>
      </c>
      <c r="GA50" s="21">
        <v>0.0</v>
      </c>
      <c r="GB50" s="21" t="s">
        <v>656</v>
      </c>
      <c r="GF50" s="21">
        <v>790.0</v>
      </c>
      <c r="GG50" s="21">
        <v>110.0</v>
      </c>
      <c r="GH50" s="21">
        <v>1000.0</v>
      </c>
      <c r="GI50" s="21" t="s">
        <v>774</v>
      </c>
      <c r="GK50" s="25">
        <v>40998.0</v>
      </c>
      <c r="GL50" s="21" t="s">
        <v>656</v>
      </c>
      <c r="GM50" s="21" t="s">
        <v>679</v>
      </c>
      <c r="GN50" s="21" t="s">
        <v>656</v>
      </c>
      <c r="GQ50" s="21" t="s">
        <v>656</v>
      </c>
      <c r="GS50" s="21" t="s">
        <v>1228</v>
      </c>
      <c r="GT50" s="21" t="s">
        <v>1228</v>
      </c>
      <c r="GU50" s="21">
        <v>95825.0</v>
      </c>
      <c r="GV50" s="21" t="s">
        <v>659</v>
      </c>
      <c r="HD50" s="21" t="s">
        <v>656</v>
      </c>
      <c r="HK50" s="21" t="s">
        <v>721</v>
      </c>
      <c r="HL50" s="21" t="s">
        <v>659</v>
      </c>
      <c r="HM50" s="21" t="s">
        <v>659</v>
      </c>
      <c r="HN50" s="21" t="s">
        <v>659</v>
      </c>
      <c r="HO50" s="21" t="s">
        <v>656</v>
      </c>
      <c r="HP50" s="21" t="s">
        <v>656</v>
      </c>
      <c r="HQ50" s="21" t="s">
        <v>806</v>
      </c>
      <c r="HT50" s="21" t="s">
        <v>723</v>
      </c>
      <c r="HU50" s="21" t="s">
        <v>1229</v>
      </c>
      <c r="IH50" s="21" t="s">
        <v>656</v>
      </c>
      <c r="II50" s="21" t="s">
        <v>656</v>
      </c>
      <c r="IN50" s="21" t="s">
        <v>808</v>
      </c>
      <c r="IO50" s="21" t="s">
        <v>1104</v>
      </c>
      <c r="NS50" s="21" t="s">
        <v>1104</v>
      </c>
      <c r="NU50" s="21" t="s">
        <v>659</v>
      </c>
      <c r="OE50" s="21" t="s">
        <v>1105</v>
      </c>
      <c r="OR50" s="21" t="s">
        <v>659</v>
      </c>
      <c r="OS50" s="21" t="s">
        <v>1230</v>
      </c>
      <c r="OT50" s="21">
        <v>1250.0</v>
      </c>
      <c r="QW50" s="21" t="s">
        <v>659</v>
      </c>
      <c r="QX50" s="21" t="s">
        <v>659</v>
      </c>
      <c r="RA50" s="21" t="s">
        <v>659</v>
      </c>
      <c r="RE50" s="21">
        <v>2022.0</v>
      </c>
      <c r="RF50" s="21" t="s">
        <v>810</v>
      </c>
      <c r="RG50" s="21" t="s">
        <v>811</v>
      </c>
      <c r="RI50" s="21" t="s">
        <v>812</v>
      </c>
      <c r="RK50" s="21">
        <v>2015.0</v>
      </c>
      <c r="RL50" s="21" t="s">
        <v>810</v>
      </c>
      <c r="RM50" s="21" t="s">
        <v>811</v>
      </c>
      <c r="RO50" s="21" t="s">
        <v>812</v>
      </c>
      <c r="SK50" s="21">
        <v>2022.0</v>
      </c>
      <c r="SL50" s="21" t="s">
        <v>810</v>
      </c>
      <c r="SM50" s="21" t="s">
        <v>812</v>
      </c>
      <c r="SO50" s="21" t="s">
        <v>813</v>
      </c>
      <c r="SP50" s="21">
        <v>2015.0</v>
      </c>
      <c r="SQ50" s="21" t="s">
        <v>810</v>
      </c>
      <c r="SR50" s="21" t="s">
        <v>812</v>
      </c>
      <c r="ST50" s="21" t="s">
        <v>813</v>
      </c>
      <c r="TI50" s="21" t="s">
        <v>656</v>
      </c>
      <c r="TL50" s="21" t="s">
        <v>656</v>
      </c>
      <c r="TZ50" s="21" t="s">
        <v>656</v>
      </c>
      <c r="WL50" s="21" t="s">
        <v>977</v>
      </c>
      <c r="WM50" s="21" t="s">
        <v>978</v>
      </c>
      <c r="WN50" s="21" t="s">
        <v>979</v>
      </c>
      <c r="WO50" s="21" t="s">
        <v>1220</v>
      </c>
      <c r="WQ50" s="21" t="s">
        <v>1181</v>
      </c>
      <c r="WR50" s="21" t="s">
        <v>1231</v>
      </c>
      <c r="WS50" s="21" t="s">
        <v>1183</v>
      </c>
      <c r="WT50" s="21" t="s">
        <v>819</v>
      </c>
      <c r="WU50" s="21" t="s">
        <v>984</v>
      </c>
      <c r="WV50" s="21" t="s">
        <v>843</v>
      </c>
      <c r="WW50" s="21" t="s">
        <v>820</v>
      </c>
      <c r="WX50" s="21" t="s">
        <v>1232</v>
      </c>
    </row>
    <row r="51">
      <c r="A51" s="21">
        <v>299.0</v>
      </c>
      <c r="B51" s="22">
        <v>44972.0</v>
      </c>
      <c r="C51" s="21">
        <v>2023.0</v>
      </c>
      <c r="D51" s="21">
        <v>2.0230017E7</v>
      </c>
      <c r="E51" s="21">
        <v>38123.0</v>
      </c>
      <c r="F51" s="21" t="s">
        <v>778</v>
      </c>
      <c r="G51" s="21">
        <v>5304.0</v>
      </c>
      <c r="H51" s="21" t="s">
        <v>932</v>
      </c>
      <c r="I51" s="21" t="s">
        <v>652</v>
      </c>
      <c r="J51" s="21" t="s">
        <v>653</v>
      </c>
      <c r="K51" s="21" t="s">
        <v>654</v>
      </c>
      <c r="L51" s="21">
        <v>77002.0</v>
      </c>
      <c r="M51" s="23">
        <v>44942.3125</v>
      </c>
      <c r="N51" s="21" t="s">
        <v>933</v>
      </c>
      <c r="O51" s="21" t="s">
        <v>656</v>
      </c>
      <c r="P51" s="21">
        <v>29.66381</v>
      </c>
      <c r="Q51" s="21">
        <v>-82.84643</v>
      </c>
      <c r="R51" s="21">
        <v>1357823.0</v>
      </c>
      <c r="S51" s="24">
        <v>44942.65555555555</v>
      </c>
      <c r="T51" s="21" t="s">
        <v>1233</v>
      </c>
      <c r="U51" s="21" t="s">
        <v>657</v>
      </c>
      <c r="W51" s="21">
        <v>102600.0</v>
      </c>
      <c r="X51" s="21">
        <v>0.0</v>
      </c>
      <c r="Y51" s="21">
        <v>0.0</v>
      </c>
      <c r="Z51" s="21" t="s">
        <v>656</v>
      </c>
      <c r="AF51" s="21">
        <v>0.0</v>
      </c>
      <c r="AG51" s="21" t="s">
        <v>656</v>
      </c>
      <c r="AM51" s="21">
        <v>0.0</v>
      </c>
      <c r="AN51" s="21" t="s">
        <v>658</v>
      </c>
      <c r="AO51" s="21" t="s">
        <v>656</v>
      </c>
      <c r="AP51" s="21" t="s">
        <v>1234</v>
      </c>
      <c r="AT51" s="21" t="s">
        <v>656</v>
      </c>
      <c r="AW51" s="21" t="s">
        <v>656</v>
      </c>
      <c r="BI51" s="21">
        <v>0.0</v>
      </c>
      <c r="BJ51" s="24">
        <v>44942.291666666664</v>
      </c>
      <c r="BK51" s="24">
        <v>44942.291666666664</v>
      </c>
      <c r="BM51" s="21" t="s">
        <v>662</v>
      </c>
      <c r="BN51" s="21" t="s">
        <v>934</v>
      </c>
      <c r="BO51" s="21">
        <v>32693.0</v>
      </c>
      <c r="BP51" s="21" t="s">
        <v>1235</v>
      </c>
      <c r="BQ51" s="21" t="s">
        <v>1236</v>
      </c>
      <c r="BR51" s="21" t="s">
        <v>735</v>
      </c>
      <c r="BS51" s="21" t="s">
        <v>1237</v>
      </c>
      <c r="BT51" s="21" t="s">
        <v>1238</v>
      </c>
      <c r="BU51" s="21" t="s">
        <v>1239</v>
      </c>
      <c r="BV51" s="21" t="s">
        <v>656</v>
      </c>
      <c r="BW51" s="21" t="s">
        <v>668</v>
      </c>
      <c r="BX51" s="21" t="s">
        <v>669</v>
      </c>
      <c r="BY51" s="21" t="s">
        <v>670</v>
      </c>
      <c r="CC51" s="21" t="s">
        <v>656</v>
      </c>
      <c r="CZ51" s="21" t="s">
        <v>712</v>
      </c>
      <c r="DA51" s="21" t="s">
        <v>672</v>
      </c>
      <c r="DB51" s="21" t="s">
        <v>673</v>
      </c>
      <c r="EO51" s="21">
        <v>2000.0</v>
      </c>
      <c r="EP51" s="21">
        <v>2000.0</v>
      </c>
      <c r="EQ51" s="21" t="s">
        <v>674</v>
      </c>
      <c r="ES51" s="21" t="s">
        <v>696</v>
      </c>
      <c r="FB51" s="21" t="s">
        <v>1240</v>
      </c>
      <c r="FC51" s="21" t="s">
        <v>677</v>
      </c>
      <c r="FD51" s="21" t="s">
        <v>656</v>
      </c>
      <c r="FF51" s="21">
        <v>737.0</v>
      </c>
      <c r="FH51" s="21" t="s">
        <v>656</v>
      </c>
      <c r="FI51" s="21" t="s">
        <v>656</v>
      </c>
      <c r="FL51" s="21" t="s">
        <v>656</v>
      </c>
      <c r="FO51" s="21">
        <v>0.0</v>
      </c>
      <c r="FP51" s="21">
        <v>400140.0</v>
      </c>
      <c r="FQ51" s="21">
        <v>0.0</v>
      </c>
      <c r="FR51" s="21">
        <v>0.0</v>
      </c>
      <c r="FS51" s="21">
        <v>0.0</v>
      </c>
      <c r="FT51" s="21">
        <v>1000.0</v>
      </c>
      <c r="FU51" s="21" t="s">
        <v>1241</v>
      </c>
      <c r="FV51" s="21">
        <v>3.9</v>
      </c>
      <c r="FW51" s="21">
        <v>401140.0</v>
      </c>
      <c r="FX51" s="21">
        <v>0.0</v>
      </c>
      <c r="FY51" s="21">
        <v>0.0</v>
      </c>
      <c r="FZ51" s="21">
        <v>0.0</v>
      </c>
      <c r="GA51" s="21">
        <v>0.0</v>
      </c>
      <c r="GB51" s="21" t="s">
        <v>656</v>
      </c>
      <c r="GF51" s="21">
        <v>740.0</v>
      </c>
      <c r="GG51" s="21">
        <v>1100.0</v>
      </c>
      <c r="GH51" s="21">
        <v>1268.0</v>
      </c>
      <c r="GI51" s="21" t="s">
        <v>719</v>
      </c>
      <c r="GK51" s="25">
        <v>44105.0</v>
      </c>
      <c r="GL51" s="21" t="s">
        <v>656</v>
      </c>
      <c r="GM51" s="21" t="s">
        <v>679</v>
      </c>
      <c r="GN51" s="21" t="s">
        <v>656</v>
      </c>
      <c r="GQ51" s="21" t="s">
        <v>656</v>
      </c>
      <c r="HK51" s="21" t="s">
        <v>721</v>
      </c>
      <c r="HL51" s="21" t="s">
        <v>659</v>
      </c>
      <c r="HM51" s="21" t="s">
        <v>659</v>
      </c>
      <c r="HN51" s="21" t="s">
        <v>659</v>
      </c>
      <c r="HO51" s="21" t="s">
        <v>656</v>
      </c>
      <c r="HP51" s="21" t="s">
        <v>659</v>
      </c>
      <c r="HQ51" s="21" t="s">
        <v>698</v>
      </c>
      <c r="HS51" s="21" t="s">
        <v>699</v>
      </c>
      <c r="HT51" s="21" t="s">
        <v>723</v>
      </c>
      <c r="HU51" s="21" t="s">
        <v>942</v>
      </c>
      <c r="IH51" s="21" t="s">
        <v>656</v>
      </c>
      <c r="II51" s="21" t="s">
        <v>656</v>
      </c>
      <c r="IN51" s="21" t="s">
        <v>761</v>
      </c>
      <c r="IO51" s="21" t="s">
        <v>886</v>
      </c>
      <c r="OU51" s="21" t="s">
        <v>886</v>
      </c>
      <c r="PI51" s="21" t="s">
        <v>696</v>
      </c>
      <c r="PJ51" s="21" t="s">
        <v>1242</v>
      </c>
      <c r="QE51" s="21" t="s">
        <v>659</v>
      </c>
      <c r="QF51" s="21" t="s">
        <v>1243</v>
      </c>
      <c r="WL51" s="21" t="s">
        <v>1244</v>
      </c>
      <c r="WM51" s="21" t="s">
        <v>989</v>
      </c>
      <c r="WN51" s="21" t="s">
        <v>1245</v>
      </c>
      <c r="WO51" s="21" t="s">
        <v>1246</v>
      </c>
      <c r="WT51" s="21" t="s">
        <v>945</v>
      </c>
      <c r="WU51" s="21" t="s">
        <v>1144</v>
      </c>
      <c r="WV51" s="21" t="s">
        <v>948</v>
      </c>
      <c r="WW51" s="21" t="s">
        <v>947</v>
      </c>
      <c r="WX51" s="21" t="s">
        <v>1247</v>
      </c>
    </row>
    <row r="52">
      <c r="A52" s="21">
        <v>303.0</v>
      </c>
      <c r="B52" s="22">
        <v>44957.0</v>
      </c>
      <c r="C52" s="21">
        <v>2023.0</v>
      </c>
      <c r="D52" s="21">
        <v>2.0230011E7</v>
      </c>
      <c r="E52" s="21">
        <v>37650.0</v>
      </c>
      <c r="F52" s="21" t="s">
        <v>701</v>
      </c>
      <c r="G52" s="21">
        <v>5304.0</v>
      </c>
      <c r="H52" s="21" t="s">
        <v>932</v>
      </c>
      <c r="I52" s="21" t="s">
        <v>652</v>
      </c>
      <c r="J52" s="21" t="s">
        <v>653</v>
      </c>
      <c r="K52" s="21" t="s">
        <v>654</v>
      </c>
      <c r="L52" s="21">
        <v>77002.0</v>
      </c>
      <c r="M52" s="23">
        <v>44928.61944444444</v>
      </c>
      <c r="N52" s="21" t="s">
        <v>933</v>
      </c>
      <c r="O52" s="21" t="s">
        <v>656</v>
      </c>
      <c r="P52" s="21">
        <v>27.94194</v>
      </c>
      <c r="Q52" s="21">
        <v>-82.73361</v>
      </c>
      <c r="R52" s="21">
        <v>1356612.0</v>
      </c>
      <c r="S52" s="24">
        <v>44928.660416666666</v>
      </c>
      <c r="T52" s="21" t="s">
        <v>1248</v>
      </c>
      <c r="U52" s="21" t="s">
        <v>657</v>
      </c>
      <c r="W52" s="21">
        <v>3450.0</v>
      </c>
      <c r="X52" s="21">
        <v>0.0</v>
      </c>
      <c r="Y52" s="21">
        <v>0.0</v>
      </c>
      <c r="Z52" s="21" t="s">
        <v>656</v>
      </c>
      <c r="AF52" s="21">
        <v>0.0</v>
      </c>
      <c r="AG52" s="21" t="s">
        <v>656</v>
      </c>
      <c r="AM52" s="21">
        <v>0.0</v>
      </c>
      <c r="AN52" s="21" t="s">
        <v>658</v>
      </c>
      <c r="AO52" s="21" t="s">
        <v>659</v>
      </c>
      <c r="AQ52" s="24">
        <v>44928.541666666664</v>
      </c>
      <c r="AR52" s="24">
        <v>44928.583333333336</v>
      </c>
      <c r="AT52" s="21" t="s">
        <v>659</v>
      </c>
      <c r="AU52" s="21" t="s">
        <v>661</v>
      </c>
      <c r="AV52" s="24">
        <v>44928.46875</v>
      </c>
      <c r="AW52" s="21" t="s">
        <v>656</v>
      </c>
      <c r="BI52" s="21">
        <v>0.0</v>
      </c>
      <c r="BJ52" s="24">
        <v>44928.541666666664</v>
      </c>
      <c r="BK52" s="24">
        <v>44928.538194444445</v>
      </c>
      <c r="BM52" s="21" t="s">
        <v>662</v>
      </c>
      <c r="BN52" s="21" t="s">
        <v>934</v>
      </c>
      <c r="BO52" s="21">
        <v>34624.0</v>
      </c>
      <c r="BP52" s="21" t="s">
        <v>1249</v>
      </c>
      <c r="BQ52" s="21" t="s">
        <v>1250</v>
      </c>
      <c r="BR52" s="21" t="s">
        <v>735</v>
      </c>
      <c r="BS52" s="21">
        <v>39858.0</v>
      </c>
      <c r="BT52" s="21" t="s">
        <v>1251</v>
      </c>
      <c r="BU52" s="21" t="s">
        <v>1252</v>
      </c>
      <c r="BV52" s="21" t="s">
        <v>656</v>
      </c>
      <c r="BW52" s="21" t="s">
        <v>668</v>
      </c>
      <c r="BX52" s="21" t="s">
        <v>669</v>
      </c>
      <c r="BY52" s="21" t="s">
        <v>670</v>
      </c>
      <c r="CC52" s="21" t="s">
        <v>656</v>
      </c>
      <c r="CZ52" s="21" t="s">
        <v>712</v>
      </c>
      <c r="DA52" s="21" t="s">
        <v>920</v>
      </c>
      <c r="DB52" s="21" t="s">
        <v>1253</v>
      </c>
      <c r="EO52" s="21" t="s">
        <v>684</v>
      </c>
      <c r="EP52" s="21" t="s">
        <v>684</v>
      </c>
      <c r="EQ52" s="21" t="s">
        <v>1081</v>
      </c>
      <c r="ER52" s="21" t="s">
        <v>1254</v>
      </c>
      <c r="ES52" s="21" t="s">
        <v>696</v>
      </c>
      <c r="FB52" s="21" t="s">
        <v>1255</v>
      </c>
      <c r="FC52" s="21" t="s">
        <v>1256</v>
      </c>
      <c r="FD52" s="21" t="s">
        <v>656</v>
      </c>
      <c r="FF52" s="21">
        <v>51.0</v>
      </c>
      <c r="FH52" s="21" t="s">
        <v>656</v>
      </c>
      <c r="FI52" s="21" t="s">
        <v>656</v>
      </c>
      <c r="FL52" s="21" t="s">
        <v>656</v>
      </c>
      <c r="FO52" s="21">
        <v>0.0</v>
      </c>
      <c r="FP52" s="21">
        <v>13455.0</v>
      </c>
      <c r="FQ52" s="21">
        <v>0.0</v>
      </c>
      <c r="FR52" s="21">
        <v>1500.0</v>
      </c>
      <c r="FS52" s="21">
        <v>0.0</v>
      </c>
      <c r="FT52" s="21">
        <v>0.0</v>
      </c>
      <c r="FV52" s="21">
        <v>3.9</v>
      </c>
      <c r="FW52" s="21">
        <v>14955.0</v>
      </c>
      <c r="FX52" s="21">
        <v>0.0</v>
      </c>
      <c r="FY52" s="21">
        <v>0.0</v>
      </c>
      <c r="FZ52" s="21">
        <v>0.0</v>
      </c>
      <c r="GA52" s="21">
        <v>0.0</v>
      </c>
      <c r="GB52" s="21" t="s">
        <v>656</v>
      </c>
      <c r="GF52" s="21">
        <v>116.0</v>
      </c>
      <c r="GG52" s="21">
        <v>2300.0</v>
      </c>
      <c r="GH52" s="21">
        <v>275.0</v>
      </c>
      <c r="GI52" s="21" t="s">
        <v>719</v>
      </c>
      <c r="GK52" s="25">
        <v>23011.0</v>
      </c>
      <c r="GL52" s="21" t="s">
        <v>656</v>
      </c>
      <c r="GM52" s="21" t="s">
        <v>679</v>
      </c>
      <c r="GN52" s="21" t="s">
        <v>656</v>
      </c>
      <c r="GQ52" s="21" t="s">
        <v>659</v>
      </c>
      <c r="GR52" s="21" t="s">
        <v>659</v>
      </c>
      <c r="HK52" s="21" t="s">
        <v>721</v>
      </c>
      <c r="HL52" s="21" t="s">
        <v>659</v>
      </c>
      <c r="HM52" s="21" t="s">
        <v>659</v>
      </c>
      <c r="HN52" s="21" t="s">
        <v>659</v>
      </c>
      <c r="HO52" s="21" t="s">
        <v>656</v>
      </c>
      <c r="HP52" s="21" t="s">
        <v>659</v>
      </c>
      <c r="HQ52" s="21" t="s">
        <v>696</v>
      </c>
      <c r="HR52" s="21" t="s">
        <v>1257</v>
      </c>
      <c r="HT52" s="21" t="s">
        <v>723</v>
      </c>
      <c r="HU52" s="21" t="s">
        <v>1258</v>
      </c>
      <c r="IH52" s="21" t="s">
        <v>656</v>
      </c>
      <c r="II52" s="21" t="s">
        <v>656</v>
      </c>
      <c r="IN52" s="21" t="s">
        <v>761</v>
      </c>
      <c r="IO52" s="21" t="s">
        <v>762</v>
      </c>
      <c r="OU52" s="21" t="s">
        <v>762</v>
      </c>
      <c r="PE52" s="21" t="s">
        <v>659</v>
      </c>
      <c r="QE52" s="21" t="s">
        <v>659</v>
      </c>
      <c r="QF52" s="21" t="s">
        <v>1259</v>
      </c>
      <c r="WL52" s="21" t="s">
        <v>1244</v>
      </c>
      <c r="WM52" s="21" t="s">
        <v>1260</v>
      </c>
      <c r="WN52" s="21" t="s">
        <v>1245</v>
      </c>
      <c r="WO52" s="21" t="s">
        <v>1246</v>
      </c>
      <c r="WT52" s="21" t="s">
        <v>945</v>
      </c>
      <c r="WU52" s="21" t="s">
        <v>1144</v>
      </c>
      <c r="WV52" s="21" t="s">
        <v>948</v>
      </c>
      <c r="WW52" s="21" t="s">
        <v>947</v>
      </c>
      <c r="WX52" s="21" t="s">
        <v>1261</v>
      </c>
    </row>
    <row r="53">
      <c r="A53" s="21">
        <v>304.0</v>
      </c>
      <c r="B53" s="22">
        <v>44949.0</v>
      </c>
      <c r="C53" s="21">
        <v>2022.0</v>
      </c>
      <c r="D53" s="21">
        <v>2.0230009E7</v>
      </c>
      <c r="E53" s="21">
        <v>37855.0</v>
      </c>
      <c r="F53" s="21" t="s">
        <v>778</v>
      </c>
      <c r="G53" s="21">
        <v>32099.0</v>
      </c>
      <c r="H53" s="21" t="s">
        <v>651</v>
      </c>
      <c r="I53" s="21" t="s">
        <v>652</v>
      </c>
      <c r="J53" s="21" t="s">
        <v>653</v>
      </c>
      <c r="K53" s="21" t="s">
        <v>654</v>
      </c>
      <c r="L53" s="21">
        <v>77002.0</v>
      </c>
      <c r="M53" s="23">
        <v>44925.052083333336</v>
      </c>
      <c r="N53" s="21" t="s">
        <v>1162</v>
      </c>
      <c r="O53" s="21" t="s">
        <v>656</v>
      </c>
      <c r="P53" s="21">
        <v>32.062524</v>
      </c>
      <c r="Q53" s="21">
        <v>-103.693085</v>
      </c>
      <c r="R53" s="21">
        <v>1356334.0</v>
      </c>
      <c r="S53" s="24">
        <v>44925.30625</v>
      </c>
      <c r="T53" s="21">
        <v>1356507.0</v>
      </c>
      <c r="U53" s="21" t="s">
        <v>657</v>
      </c>
      <c r="W53" s="21">
        <v>1500.0</v>
      </c>
      <c r="X53" s="21">
        <v>0.0</v>
      </c>
      <c r="Y53" s="21">
        <v>0.0</v>
      </c>
      <c r="Z53" s="21" t="s">
        <v>656</v>
      </c>
      <c r="AF53" s="21">
        <v>0.0</v>
      </c>
      <c r="AG53" s="21" t="s">
        <v>656</v>
      </c>
      <c r="AM53" s="21">
        <v>0.0</v>
      </c>
      <c r="AN53" s="21" t="s">
        <v>658</v>
      </c>
      <c r="AO53" s="21" t="s">
        <v>659</v>
      </c>
      <c r="AQ53" s="24">
        <v>44925.10208333333</v>
      </c>
      <c r="AR53" s="24">
        <v>44925.645833333336</v>
      </c>
      <c r="AT53" s="21" t="s">
        <v>659</v>
      </c>
      <c r="AU53" s="21" t="s">
        <v>660</v>
      </c>
      <c r="AV53" s="24">
        <v>44925.10208333333</v>
      </c>
      <c r="AW53" s="21" t="s">
        <v>659</v>
      </c>
      <c r="AX53" s="24">
        <v>44925.052083333336</v>
      </c>
      <c r="AY53" s="21" t="s">
        <v>765</v>
      </c>
      <c r="BA53" s="21">
        <v>1500.0</v>
      </c>
      <c r="BB53" s="21" t="s">
        <v>659</v>
      </c>
      <c r="BI53" s="21">
        <v>0.0</v>
      </c>
      <c r="BJ53" s="24">
        <v>44925.052083333336</v>
      </c>
      <c r="BK53" s="24">
        <v>44925.10208333333</v>
      </c>
      <c r="BM53" s="21" t="s">
        <v>662</v>
      </c>
      <c r="BN53" s="21" t="s">
        <v>1163</v>
      </c>
      <c r="BO53" s="21">
        <v>88252.0</v>
      </c>
      <c r="BP53" s="21" t="s">
        <v>1262</v>
      </c>
      <c r="BQ53" s="21" t="s">
        <v>1263</v>
      </c>
      <c r="BR53" s="21" t="s">
        <v>735</v>
      </c>
      <c r="BS53" s="21" t="s">
        <v>1185</v>
      </c>
      <c r="BT53" s="21" t="s">
        <v>1264</v>
      </c>
      <c r="BU53" s="21" t="s">
        <v>1264</v>
      </c>
      <c r="BV53" s="21" t="s">
        <v>656</v>
      </c>
      <c r="BW53" s="21" t="s">
        <v>668</v>
      </c>
      <c r="BX53" s="21" t="s">
        <v>669</v>
      </c>
      <c r="BY53" s="21" t="s">
        <v>670</v>
      </c>
      <c r="CC53" s="21" t="s">
        <v>656</v>
      </c>
      <c r="CZ53" s="21" t="s">
        <v>671</v>
      </c>
      <c r="DA53" s="21" t="s">
        <v>672</v>
      </c>
      <c r="DB53" s="21" t="s">
        <v>673</v>
      </c>
      <c r="EO53" s="21">
        <v>2021.0</v>
      </c>
      <c r="EP53" s="21" t="s">
        <v>684</v>
      </c>
      <c r="EQ53" s="21" t="s">
        <v>674</v>
      </c>
      <c r="ES53" s="21" t="s">
        <v>696</v>
      </c>
      <c r="FB53" s="21" t="s">
        <v>1265</v>
      </c>
      <c r="FC53" s="21" t="s">
        <v>677</v>
      </c>
      <c r="FD53" s="21" t="s">
        <v>656</v>
      </c>
      <c r="FF53" s="21">
        <v>660.0</v>
      </c>
      <c r="FH53" s="21" t="s">
        <v>656</v>
      </c>
      <c r="FI53" s="21" t="s">
        <v>656</v>
      </c>
      <c r="FL53" s="21" t="s">
        <v>656</v>
      </c>
      <c r="FO53" s="21">
        <v>0.0</v>
      </c>
      <c r="FP53" s="21">
        <v>6720.0</v>
      </c>
      <c r="FQ53" s="21">
        <v>0.0</v>
      </c>
      <c r="FR53" s="21">
        <v>2600000.0</v>
      </c>
      <c r="FS53" s="21">
        <v>4320.0</v>
      </c>
      <c r="FT53" s="21">
        <v>4000.0</v>
      </c>
      <c r="FU53" s="21" t="s">
        <v>1266</v>
      </c>
      <c r="FV53" s="21">
        <v>4.48</v>
      </c>
      <c r="FW53" s="21">
        <v>2615040.0</v>
      </c>
      <c r="FX53" s="21">
        <v>0.0</v>
      </c>
      <c r="FY53" s="21">
        <v>0.0</v>
      </c>
      <c r="FZ53" s="21">
        <v>0.0</v>
      </c>
      <c r="GA53" s="21">
        <v>0.0</v>
      </c>
      <c r="GB53" s="21" t="s">
        <v>656</v>
      </c>
      <c r="GF53" s="21">
        <v>1150.0</v>
      </c>
      <c r="GG53" s="21">
        <v>10000.0</v>
      </c>
      <c r="GH53" s="21">
        <v>1440.0</v>
      </c>
      <c r="GI53" s="21" t="s">
        <v>719</v>
      </c>
      <c r="GK53" s="25">
        <v>43201.0</v>
      </c>
      <c r="GL53" s="21" t="s">
        <v>656</v>
      </c>
      <c r="GM53" s="21" t="s">
        <v>679</v>
      </c>
      <c r="GN53" s="21" t="s">
        <v>656</v>
      </c>
      <c r="GQ53" s="21" t="s">
        <v>656</v>
      </c>
      <c r="HK53" s="21" t="s">
        <v>680</v>
      </c>
      <c r="HL53" s="21" t="s">
        <v>659</v>
      </c>
      <c r="HM53" s="21" t="s">
        <v>659</v>
      </c>
      <c r="HN53" s="21" t="s">
        <v>659</v>
      </c>
      <c r="HO53" s="21" t="s">
        <v>659</v>
      </c>
      <c r="HP53" s="21" t="s">
        <v>659</v>
      </c>
      <c r="HQ53" s="21" t="s">
        <v>806</v>
      </c>
      <c r="HT53" s="21" t="s">
        <v>723</v>
      </c>
      <c r="HU53" s="21" t="s">
        <v>1114</v>
      </c>
      <c r="IH53" s="21" t="s">
        <v>656</v>
      </c>
      <c r="II53" s="21" t="s">
        <v>656</v>
      </c>
      <c r="IN53" s="21" t="s">
        <v>761</v>
      </c>
      <c r="IO53" s="21" t="s">
        <v>886</v>
      </c>
      <c r="OU53" s="21" t="s">
        <v>886</v>
      </c>
      <c r="PI53" s="21" t="s">
        <v>696</v>
      </c>
      <c r="PJ53" s="21" t="s">
        <v>1267</v>
      </c>
      <c r="PU53" s="21" t="s">
        <v>659</v>
      </c>
      <c r="WL53" s="21" t="s">
        <v>1116</v>
      </c>
      <c r="WM53" s="21" t="s">
        <v>1169</v>
      </c>
      <c r="WN53" s="21" t="s">
        <v>748</v>
      </c>
      <c r="WO53" s="21" t="s">
        <v>1268</v>
      </c>
      <c r="WT53" s="21" t="s">
        <v>1193</v>
      </c>
      <c r="WU53" s="21" t="s">
        <v>1194</v>
      </c>
      <c r="WV53" s="21" t="s">
        <v>1195</v>
      </c>
      <c r="WW53" s="21" t="s">
        <v>1196</v>
      </c>
      <c r="WX53" s="21" t="s">
        <v>1269</v>
      </c>
    </row>
    <row r="54">
      <c r="A54" s="21">
        <v>309.0</v>
      </c>
      <c r="B54" s="22">
        <v>44936.0</v>
      </c>
      <c r="C54" s="21">
        <v>2022.0</v>
      </c>
      <c r="D54" s="21">
        <v>2.0230002E7</v>
      </c>
      <c r="E54" s="21">
        <v>37562.0</v>
      </c>
      <c r="F54" s="21" t="s">
        <v>701</v>
      </c>
      <c r="G54" s="21">
        <v>19610.0</v>
      </c>
      <c r="H54" s="21" t="s">
        <v>1270</v>
      </c>
      <c r="I54" s="21" t="s">
        <v>652</v>
      </c>
      <c r="J54" s="21" t="s">
        <v>653</v>
      </c>
      <c r="K54" s="21" t="s">
        <v>654</v>
      </c>
      <c r="L54" s="21">
        <v>77002.0</v>
      </c>
      <c r="M54" s="23">
        <v>44913.8125</v>
      </c>
      <c r="N54" s="21" t="s">
        <v>1162</v>
      </c>
      <c r="O54" s="21" t="s">
        <v>656</v>
      </c>
      <c r="P54" s="21">
        <v>35.426197</v>
      </c>
      <c r="Q54" s="21">
        <v>-108.236103</v>
      </c>
      <c r="R54" s="21">
        <v>1355332.0</v>
      </c>
      <c r="S54" s="24">
        <v>44913.93819444445</v>
      </c>
      <c r="T54" s="21">
        <v>1355407.0</v>
      </c>
      <c r="U54" s="21" t="s">
        <v>657</v>
      </c>
      <c r="W54" s="21">
        <v>13414.0</v>
      </c>
      <c r="X54" s="21">
        <v>0.0</v>
      </c>
      <c r="Y54" s="21">
        <v>0.0</v>
      </c>
      <c r="Z54" s="21" t="s">
        <v>656</v>
      </c>
      <c r="AF54" s="21">
        <v>0.0</v>
      </c>
      <c r="AG54" s="21" t="s">
        <v>656</v>
      </c>
      <c r="AM54" s="21">
        <v>0.0</v>
      </c>
      <c r="AN54" s="21" t="s">
        <v>658</v>
      </c>
      <c r="AO54" s="21" t="s">
        <v>659</v>
      </c>
      <c r="AQ54" s="24">
        <v>44913.8125</v>
      </c>
      <c r="AR54" s="24">
        <v>44913.989583333336</v>
      </c>
      <c r="AT54" s="21" t="s">
        <v>656</v>
      </c>
      <c r="AW54" s="21" t="s">
        <v>656</v>
      </c>
      <c r="BI54" s="21">
        <v>0.0</v>
      </c>
      <c r="BJ54" s="24">
        <v>44913.8125</v>
      </c>
      <c r="BK54" s="24">
        <v>44913.854166666664</v>
      </c>
      <c r="BM54" s="21" t="s">
        <v>662</v>
      </c>
      <c r="BN54" s="21" t="s">
        <v>1163</v>
      </c>
      <c r="BO54" s="21">
        <v>87020.0</v>
      </c>
      <c r="BP54" s="21" t="s">
        <v>1271</v>
      </c>
      <c r="BQ54" s="21" t="s">
        <v>1272</v>
      </c>
      <c r="BR54" s="21" t="s">
        <v>735</v>
      </c>
      <c r="BS54" s="21" t="s">
        <v>1185</v>
      </c>
      <c r="BT54" s="21" t="s">
        <v>1273</v>
      </c>
      <c r="BU54" s="21" t="s">
        <v>1274</v>
      </c>
      <c r="BV54" s="21" t="s">
        <v>656</v>
      </c>
      <c r="BW54" s="21" t="s">
        <v>668</v>
      </c>
      <c r="BX54" s="21" t="s">
        <v>669</v>
      </c>
      <c r="BY54" s="21" t="s">
        <v>670</v>
      </c>
      <c r="CC54" s="21" t="s">
        <v>656</v>
      </c>
      <c r="CZ54" s="21" t="s">
        <v>712</v>
      </c>
      <c r="DA54" s="21" t="s">
        <v>672</v>
      </c>
      <c r="DB54" s="21" t="s">
        <v>830</v>
      </c>
      <c r="EO54" s="21">
        <v>1960.0</v>
      </c>
      <c r="EP54" s="21" t="s">
        <v>684</v>
      </c>
      <c r="EQ54" s="21" t="s">
        <v>674</v>
      </c>
      <c r="ES54" s="21" t="s">
        <v>696</v>
      </c>
      <c r="FB54" s="21" t="s">
        <v>1275</v>
      </c>
      <c r="FC54" s="21" t="s">
        <v>677</v>
      </c>
      <c r="FD54" s="21" t="s">
        <v>656</v>
      </c>
      <c r="FF54" s="21">
        <v>660.0</v>
      </c>
      <c r="FH54" s="21" t="s">
        <v>656</v>
      </c>
      <c r="FI54" s="21" t="s">
        <v>656</v>
      </c>
      <c r="FL54" s="21" t="s">
        <v>656</v>
      </c>
      <c r="FO54" s="21">
        <v>0.0</v>
      </c>
      <c r="FP54" s="21">
        <v>81155.0</v>
      </c>
      <c r="FQ54" s="21">
        <v>0.0</v>
      </c>
      <c r="FR54" s="21">
        <v>1164.0</v>
      </c>
      <c r="FS54" s="21">
        <v>100.0</v>
      </c>
      <c r="FT54" s="21">
        <v>0.0</v>
      </c>
      <c r="FV54" s="21">
        <v>6.05</v>
      </c>
      <c r="FW54" s="21">
        <v>82419.0</v>
      </c>
      <c r="FX54" s="21">
        <v>0.0</v>
      </c>
      <c r="FY54" s="21">
        <v>0.0</v>
      </c>
      <c r="FZ54" s="21">
        <v>0.0</v>
      </c>
      <c r="GA54" s="21">
        <v>0.0</v>
      </c>
      <c r="GB54" s="21" t="s">
        <v>656</v>
      </c>
      <c r="GF54" s="21">
        <v>900.0</v>
      </c>
      <c r="GG54" s="21">
        <v>13414.0</v>
      </c>
      <c r="GH54" s="21">
        <v>1008.0</v>
      </c>
      <c r="GI54" s="21" t="s">
        <v>719</v>
      </c>
      <c r="GK54" s="25">
        <v>22068.0</v>
      </c>
      <c r="GL54" s="21" t="s">
        <v>957</v>
      </c>
      <c r="GM54" s="21" t="s">
        <v>679</v>
      </c>
      <c r="GN54" s="21" t="s">
        <v>659</v>
      </c>
      <c r="GO54" s="21" t="s">
        <v>656</v>
      </c>
      <c r="GP54" s="21" t="s">
        <v>1276</v>
      </c>
      <c r="GQ54" s="21" t="s">
        <v>656</v>
      </c>
      <c r="HK54" s="21" t="s">
        <v>721</v>
      </c>
      <c r="HL54" s="21" t="s">
        <v>656</v>
      </c>
      <c r="HQ54" s="21" t="s">
        <v>1113</v>
      </c>
      <c r="HS54" s="21" t="s">
        <v>699</v>
      </c>
      <c r="HT54" s="21" t="s">
        <v>723</v>
      </c>
      <c r="HU54" s="21" t="s">
        <v>1114</v>
      </c>
      <c r="IH54" s="21" t="s">
        <v>656</v>
      </c>
      <c r="II54" s="21" t="s">
        <v>656</v>
      </c>
      <c r="IN54" s="21" t="s">
        <v>867</v>
      </c>
      <c r="IO54" s="21" t="s">
        <v>868</v>
      </c>
      <c r="KP54" s="21" t="s">
        <v>868</v>
      </c>
      <c r="KT54" s="21" t="s">
        <v>869</v>
      </c>
      <c r="KV54" s="21" t="s">
        <v>659</v>
      </c>
      <c r="KZ54" s="21" t="s">
        <v>659</v>
      </c>
      <c r="LA54" s="21" t="s">
        <v>1277</v>
      </c>
      <c r="VX54" s="21" t="s">
        <v>659</v>
      </c>
      <c r="WL54" s="21" t="s">
        <v>1116</v>
      </c>
      <c r="WM54" s="21" t="s">
        <v>1169</v>
      </c>
      <c r="WN54" s="21" t="s">
        <v>748</v>
      </c>
      <c r="WO54" s="21" t="s">
        <v>1205</v>
      </c>
      <c r="WT54" s="21" t="s">
        <v>1193</v>
      </c>
      <c r="WU54" s="21" t="s">
        <v>1194</v>
      </c>
      <c r="WV54" s="21" t="s">
        <v>1195</v>
      </c>
      <c r="WW54" s="21" t="s">
        <v>1196</v>
      </c>
      <c r="WX54" s="21" t="s">
        <v>1278</v>
      </c>
    </row>
    <row r="55">
      <c r="A55" s="21">
        <v>326.0</v>
      </c>
      <c r="B55" s="22">
        <v>44874.0</v>
      </c>
      <c r="C55" s="21">
        <v>2022.0</v>
      </c>
      <c r="D55" s="21">
        <v>2.0220119E7</v>
      </c>
      <c r="E55" s="21">
        <v>38107.0</v>
      </c>
      <c r="F55" s="21" t="s">
        <v>778</v>
      </c>
      <c r="G55" s="21">
        <v>26330.0</v>
      </c>
      <c r="H55" s="21" t="s">
        <v>950</v>
      </c>
      <c r="I55" s="21" t="s">
        <v>652</v>
      </c>
      <c r="J55" s="21" t="s">
        <v>653</v>
      </c>
      <c r="K55" s="21" t="s">
        <v>654</v>
      </c>
      <c r="L55" s="21">
        <v>77002.0</v>
      </c>
      <c r="M55" s="23">
        <v>44855.876388888886</v>
      </c>
      <c r="N55" s="21" t="s">
        <v>655</v>
      </c>
      <c r="O55" s="21" t="s">
        <v>659</v>
      </c>
      <c r="P55" s="21">
        <v>33.978415</v>
      </c>
      <c r="Q55" s="21">
        <v>-96.007316</v>
      </c>
      <c r="R55" s="21">
        <v>1350720.0</v>
      </c>
      <c r="S55" s="24">
        <v>44858.59722222222</v>
      </c>
      <c r="T55" s="21" t="s">
        <v>1279</v>
      </c>
      <c r="U55" s="21" t="s">
        <v>657</v>
      </c>
      <c r="W55" s="21">
        <v>16619.0</v>
      </c>
      <c r="X55" s="21">
        <v>0.0</v>
      </c>
      <c r="Y55" s="21">
        <v>0.0</v>
      </c>
      <c r="Z55" s="21" t="s">
        <v>656</v>
      </c>
      <c r="AF55" s="21">
        <v>0.0</v>
      </c>
      <c r="AG55" s="21" t="s">
        <v>656</v>
      </c>
      <c r="AM55" s="21">
        <v>0.0</v>
      </c>
      <c r="AN55" s="21" t="s">
        <v>1280</v>
      </c>
      <c r="AO55" s="21" t="s">
        <v>656</v>
      </c>
      <c r="AP55" s="21" t="s">
        <v>1281</v>
      </c>
      <c r="AT55" s="21" t="s">
        <v>656</v>
      </c>
      <c r="AW55" s="21" t="s">
        <v>656</v>
      </c>
      <c r="BI55" s="21">
        <v>0.0</v>
      </c>
      <c r="BJ55" s="24">
        <v>44858.350694444445</v>
      </c>
      <c r="BK55" s="24">
        <v>44858.350694444445</v>
      </c>
      <c r="BM55" s="21" t="s">
        <v>662</v>
      </c>
      <c r="BN55" s="21" t="s">
        <v>860</v>
      </c>
      <c r="BO55" s="21">
        <v>74723.0</v>
      </c>
      <c r="BP55" s="21" t="s">
        <v>663</v>
      </c>
      <c r="BQ55" s="21" t="s">
        <v>1282</v>
      </c>
      <c r="BR55" s="21" t="s">
        <v>665</v>
      </c>
      <c r="BT55" s="21" t="s">
        <v>1283</v>
      </c>
      <c r="BU55" s="21" t="s">
        <v>1284</v>
      </c>
      <c r="BV55" s="21" t="s">
        <v>656</v>
      </c>
      <c r="BW55" s="21" t="s">
        <v>668</v>
      </c>
      <c r="BX55" s="21" t="s">
        <v>669</v>
      </c>
      <c r="BY55" s="21" t="s">
        <v>670</v>
      </c>
      <c r="CC55" s="21" t="s">
        <v>656</v>
      </c>
      <c r="CZ55" s="21" t="s">
        <v>671</v>
      </c>
      <c r="DA55" s="21" t="s">
        <v>672</v>
      </c>
      <c r="DB55" s="21" t="s">
        <v>673</v>
      </c>
      <c r="EO55" s="21">
        <v>2008.0</v>
      </c>
      <c r="EP55" s="21" t="s">
        <v>684</v>
      </c>
      <c r="EQ55" s="21" t="s">
        <v>674</v>
      </c>
      <c r="ES55" s="21" t="s">
        <v>696</v>
      </c>
      <c r="FB55" s="21" t="s">
        <v>1285</v>
      </c>
      <c r="FC55" s="21" t="s">
        <v>677</v>
      </c>
      <c r="FD55" s="21" t="s">
        <v>656</v>
      </c>
      <c r="FF55" s="21">
        <v>660.0</v>
      </c>
      <c r="FH55" s="21" t="s">
        <v>656</v>
      </c>
      <c r="FI55" s="21" t="s">
        <v>656</v>
      </c>
      <c r="FL55" s="21" t="s">
        <v>656</v>
      </c>
      <c r="FO55" s="21">
        <v>0.0</v>
      </c>
      <c r="FP55" s="21">
        <v>86086.0</v>
      </c>
      <c r="FQ55" s="21">
        <v>0.0</v>
      </c>
      <c r="FR55" s="21">
        <v>2700.0</v>
      </c>
      <c r="FS55" s="21">
        <v>0.0</v>
      </c>
      <c r="FT55" s="21">
        <v>0.0</v>
      </c>
      <c r="FV55" s="21">
        <v>5.18</v>
      </c>
      <c r="FW55" s="21">
        <v>88786.0</v>
      </c>
      <c r="FX55" s="21">
        <v>0.0</v>
      </c>
      <c r="FY55" s="21">
        <v>0.0</v>
      </c>
      <c r="FZ55" s="21">
        <v>0.0</v>
      </c>
      <c r="GA55" s="21">
        <v>0.0</v>
      </c>
      <c r="GB55" s="21" t="s">
        <v>656</v>
      </c>
      <c r="GF55" s="21">
        <v>350.0</v>
      </c>
      <c r="GG55" s="21">
        <v>175000.0</v>
      </c>
      <c r="GH55" s="21">
        <v>1650.0</v>
      </c>
      <c r="GI55" s="21" t="s">
        <v>774</v>
      </c>
      <c r="GK55" s="25">
        <v>39918.0</v>
      </c>
      <c r="GL55" s="21" t="s">
        <v>656</v>
      </c>
      <c r="GM55" s="21" t="s">
        <v>679</v>
      </c>
      <c r="GN55" s="21" t="s">
        <v>656</v>
      </c>
      <c r="GQ55" s="21" t="s">
        <v>656</v>
      </c>
      <c r="HK55" s="21" t="s">
        <v>721</v>
      </c>
      <c r="HL55" s="21" t="s">
        <v>659</v>
      </c>
      <c r="HM55" s="21" t="s">
        <v>659</v>
      </c>
      <c r="HN55" s="21" t="s">
        <v>659</v>
      </c>
      <c r="HO55" s="21" t="s">
        <v>659</v>
      </c>
      <c r="HP55" s="21" t="s">
        <v>659</v>
      </c>
      <c r="HQ55" s="21" t="s">
        <v>681</v>
      </c>
      <c r="HT55" s="21" t="s">
        <v>723</v>
      </c>
      <c r="HU55" s="21" t="s">
        <v>1286</v>
      </c>
      <c r="IH55" s="21" t="s">
        <v>656</v>
      </c>
      <c r="II55" s="21" t="s">
        <v>656</v>
      </c>
      <c r="IN55" s="21" t="s">
        <v>761</v>
      </c>
      <c r="IO55" s="21" t="s">
        <v>886</v>
      </c>
      <c r="OU55" s="21" t="s">
        <v>886</v>
      </c>
      <c r="PI55" s="21" t="s">
        <v>696</v>
      </c>
      <c r="PJ55" s="21" t="s">
        <v>1287</v>
      </c>
      <c r="QE55" s="21" t="s">
        <v>659</v>
      </c>
      <c r="QF55" s="21" t="s">
        <v>1288</v>
      </c>
      <c r="VY55" s="21" t="s">
        <v>659</v>
      </c>
      <c r="WL55" s="21" t="s">
        <v>854</v>
      </c>
      <c r="WN55" s="21" t="s">
        <v>857</v>
      </c>
      <c r="WO55" s="21">
        <v>1.405576823E10</v>
      </c>
      <c r="WQ55" s="21" t="s">
        <v>854</v>
      </c>
      <c r="WR55" s="21" t="s">
        <v>857</v>
      </c>
      <c r="WS55" s="21">
        <v>1.405576823E10</v>
      </c>
      <c r="WT55" s="21" t="s">
        <v>854</v>
      </c>
      <c r="WU55" s="21" t="s">
        <v>1289</v>
      </c>
      <c r="WV55" s="21">
        <v>1.405576823E10</v>
      </c>
      <c r="WW55" s="21" t="s">
        <v>857</v>
      </c>
      <c r="WX55" s="21" t="s">
        <v>1290</v>
      </c>
    </row>
    <row r="56">
      <c r="A56" s="21">
        <v>335.0</v>
      </c>
      <c r="B56" s="22">
        <v>44868.0</v>
      </c>
      <c r="C56" s="21">
        <v>2022.0</v>
      </c>
      <c r="D56" s="21">
        <v>2.0220115E7</v>
      </c>
      <c r="E56" s="21">
        <v>38227.0</v>
      </c>
      <c r="F56" s="21" t="s">
        <v>778</v>
      </c>
      <c r="G56" s="21">
        <v>15105.0</v>
      </c>
      <c r="H56" s="21" t="s">
        <v>794</v>
      </c>
      <c r="I56" s="21" t="s">
        <v>652</v>
      </c>
      <c r="J56" s="21" t="s">
        <v>653</v>
      </c>
      <c r="K56" s="21" t="s">
        <v>654</v>
      </c>
      <c r="L56" s="21">
        <v>77002.0</v>
      </c>
      <c r="M56" s="23">
        <v>44837.0125</v>
      </c>
      <c r="N56" s="21" t="s">
        <v>655</v>
      </c>
      <c r="O56" s="21" t="s">
        <v>659</v>
      </c>
      <c r="P56" s="21">
        <v>39.572498</v>
      </c>
      <c r="Q56" s="21">
        <v>-89.979352</v>
      </c>
      <c r="R56" s="21">
        <v>1348876.0</v>
      </c>
      <c r="S56" s="24">
        <v>44837.08611111111</v>
      </c>
      <c r="T56" s="21">
        <v>1349019.0</v>
      </c>
      <c r="U56" s="21" t="s">
        <v>657</v>
      </c>
      <c r="W56" s="21">
        <v>7100.0</v>
      </c>
      <c r="X56" s="21">
        <v>0.0</v>
      </c>
      <c r="Y56" s="21">
        <v>0.0</v>
      </c>
      <c r="Z56" s="21" t="s">
        <v>656</v>
      </c>
      <c r="AF56" s="21">
        <v>0.0</v>
      </c>
      <c r="AG56" s="21" t="s">
        <v>656</v>
      </c>
      <c r="AM56" s="21">
        <v>0.0</v>
      </c>
      <c r="AN56" s="21" t="s">
        <v>658</v>
      </c>
      <c r="AO56" s="21" t="s">
        <v>659</v>
      </c>
      <c r="AQ56" s="24">
        <v>44837.020833333336</v>
      </c>
      <c r="AR56" s="24">
        <v>44840.458333333336</v>
      </c>
      <c r="AW56" s="21" t="s">
        <v>659</v>
      </c>
      <c r="AX56" s="24">
        <v>44837.0125</v>
      </c>
      <c r="AY56" s="21" t="s">
        <v>765</v>
      </c>
      <c r="BA56" s="21">
        <v>7100.0</v>
      </c>
      <c r="BB56" s="21" t="s">
        <v>656</v>
      </c>
      <c r="BI56" s="21">
        <v>2.0</v>
      </c>
      <c r="BJ56" s="24">
        <v>44837.01458333333</v>
      </c>
      <c r="BK56" s="24">
        <v>44837.020833333336</v>
      </c>
      <c r="BM56" s="21" t="s">
        <v>662</v>
      </c>
      <c r="BN56" s="21" t="s">
        <v>1291</v>
      </c>
      <c r="BO56" s="21">
        <v>62692.0</v>
      </c>
      <c r="BP56" s="21" t="s">
        <v>1292</v>
      </c>
      <c r="BQ56" s="21" t="s">
        <v>1293</v>
      </c>
      <c r="BR56" s="21" t="s">
        <v>735</v>
      </c>
      <c r="BS56" s="21" t="s">
        <v>1294</v>
      </c>
      <c r="BT56" s="21" t="s">
        <v>1295</v>
      </c>
      <c r="BU56" s="21" t="s">
        <v>1296</v>
      </c>
      <c r="BV56" s="21" t="s">
        <v>656</v>
      </c>
      <c r="BW56" s="21" t="s">
        <v>668</v>
      </c>
      <c r="BX56" s="21" t="s">
        <v>739</v>
      </c>
      <c r="BY56" s="21" t="s">
        <v>740</v>
      </c>
      <c r="CA56" s="21">
        <v>168.0</v>
      </c>
      <c r="CB56" s="21" t="s">
        <v>656</v>
      </c>
      <c r="CC56" s="21" t="s">
        <v>656</v>
      </c>
      <c r="CZ56" s="21" t="s">
        <v>712</v>
      </c>
      <c r="DA56" s="21" t="s">
        <v>1297</v>
      </c>
      <c r="DB56" s="21" t="s">
        <v>1298</v>
      </c>
      <c r="EO56" s="21">
        <v>2005.0</v>
      </c>
      <c r="EP56" s="21">
        <v>2005.0</v>
      </c>
      <c r="EQ56" s="21" t="s">
        <v>674</v>
      </c>
      <c r="ES56" s="21" t="s">
        <v>744</v>
      </c>
      <c r="EX56" s="21" t="s">
        <v>773</v>
      </c>
      <c r="EZ56" s="21">
        <v>72.0</v>
      </c>
      <c r="FA56" s="21">
        <v>48.0</v>
      </c>
      <c r="FC56" s="21" t="s">
        <v>677</v>
      </c>
      <c r="FD56" s="21" t="s">
        <v>656</v>
      </c>
      <c r="FF56" s="21">
        <v>481.0</v>
      </c>
      <c r="FH56" s="21" t="s">
        <v>656</v>
      </c>
      <c r="FI56" s="21" t="s">
        <v>656</v>
      </c>
      <c r="FL56" s="21" t="s">
        <v>656</v>
      </c>
      <c r="FO56" s="21">
        <v>0.0</v>
      </c>
      <c r="FP56" s="21">
        <v>31453.0</v>
      </c>
      <c r="FQ56" s="21">
        <v>0.0</v>
      </c>
      <c r="FR56" s="21">
        <v>736962.0</v>
      </c>
      <c r="FS56" s="21">
        <v>0.0</v>
      </c>
      <c r="FT56" s="21">
        <v>1427.0</v>
      </c>
      <c r="FU56" s="21" t="s">
        <v>1299</v>
      </c>
      <c r="FV56" s="21">
        <v>4.43</v>
      </c>
      <c r="FW56" s="21">
        <v>769842.0</v>
      </c>
      <c r="FX56" s="21">
        <v>0.0</v>
      </c>
      <c r="FY56" s="21">
        <v>0.0</v>
      </c>
      <c r="FZ56" s="21">
        <v>0.0</v>
      </c>
      <c r="GA56" s="21">
        <v>0.0</v>
      </c>
      <c r="GB56" s="21" t="s">
        <v>656</v>
      </c>
      <c r="GF56" s="21">
        <v>843.0</v>
      </c>
      <c r="GG56" s="21">
        <v>28900.0</v>
      </c>
      <c r="GH56" s="21">
        <v>845.0</v>
      </c>
      <c r="GI56" s="21" t="s">
        <v>774</v>
      </c>
      <c r="GK56" s="25">
        <v>38504.0</v>
      </c>
      <c r="GL56" s="21" t="s">
        <v>656</v>
      </c>
      <c r="GM56" s="21" t="s">
        <v>679</v>
      </c>
      <c r="GN56" s="21" t="s">
        <v>656</v>
      </c>
      <c r="GQ56" s="21" t="s">
        <v>656</v>
      </c>
      <c r="HK56" s="21" t="s">
        <v>1300</v>
      </c>
      <c r="HL56" s="21" t="s">
        <v>659</v>
      </c>
      <c r="HM56" s="21" t="s">
        <v>659</v>
      </c>
      <c r="HN56" s="21" t="s">
        <v>659</v>
      </c>
      <c r="HO56" s="21" t="s">
        <v>659</v>
      </c>
      <c r="HP56" s="21" t="s">
        <v>659</v>
      </c>
      <c r="HQ56" s="21" t="s">
        <v>941</v>
      </c>
      <c r="HT56" s="21" t="s">
        <v>723</v>
      </c>
      <c r="HU56" s="21" t="s">
        <v>1301</v>
      </c>
      <c r="IH56" s="21" t="s">
        <v>659</v>
      </c>
      <c r="II56" s="21" t="s">
        <v>656</v>
      </c>
      <c r="IJ56" s="21">
        <v>4.0</v>
      </c>
      <c r="IK56" s="21">
        <v>0.0</v>
      </c>
      <c r="IN56" s="21" t="s">
        <v>725</v>
      </c>
      <c r="IO56" s="21" t="s">
        <v>726</v>
      </c>
      <c r="IP56" s="21" t="s">
        <v>726</v>
      </c>
      <c r="JT56" s="21" t="s">
        <v>696</v>
      </c>
      <c r="JU56" s="21" t="s">
        <v>1302</v>
      </c>
      <c r="JV56" s="21" t="s">
        <v>659</v>
      </c>
      <c r="KC56" s="21" t="s">
        <v>659</v>
      </c>
      <c r="KF56" s="21" t="s">
        <v>659</v>
      </c>
      <c r="KL56" s="21" t="s">
        <v>659</v>
      </c>
      <c r="KM56" s="21" t="s">
        <v>656</v>
      </c>
      <c r="KN56" s="21" t="s">
        <v>656</v>
      </c>
      <c r="KO56" s="21" t="s">
        <v>659</v>
      </c>
      <c r="WL56" s="21" t="s">
        <v>945</v>
      </c>
      <c r="WM56" s="21" t="s">
        <v>1144</v>
      </c>
      <c r="WN56" s="21" t="s">
        <v>947</v>
      </c>
      <c r="WO56" s="21" t="s">
        <v>948</v>
      </c>
      <c r="WT56" s="21" t="s">
        <v>945</v>
      </c>
      <c r="WU56" s="21" t="s">
        <v>1144</v>
      </c>
      <c r="WV56" s="21" t="s">
        <v>948</v>
      </c>
      <c r="WW56" s="21" t="s">
        <v>947</v>
      </c>
      <c r="WX56" s="21" t="s">
        <v>1303</v>
      </c>
    </row>
    <row r="57">
      <c r="A57" s="21">
        <v>347.0</v>
      </c>
      <c r="B57" s="22">
        <v>44811.0</v>
      </c>
      <c r="C57" s="21">
        <v>2022.0</v>
      </c>
      <c r="D57" s="21">
        <v>2.0220097E7</v>
      </c>
      <c r="E57" s="21">
        <v>37086.0</v>
      </c>
      <c r="F57" s="21" t="s">
        <v>701</v>
      </c>
      <c r="G57" s="21">
        <v>602.0</v>
      </c>
      <c r="H57" s="21" t="s">
        <v>859</v>
      </c>
      <c r="I57" s="21" t="s">
        <v>652</v>
      </c>
      <c r="J57" s="21" t="s">
        <v>653</v>
      </c>
      <c r="K57" s="21" t="s">
        <v>654</v>
      </c>
      <c r="L57" s="21">
        <v>77002.0</v>
      </c>
      <c r="M57" s="23">
        <v>44804.72708333333</v>
      </c>
      <c r="N57" s="21" t="s">
        <v>655</v>
      </c>
      <c r="O57" s="21" t="s">
        <v>659</v>
      </c>
      <c r="P57" s="21">
        <v>33.6527893</v>
      </c>
      <c r="Q57" s="21">
        <v>-94.0982092</v>
      </c>
      <c r="R57" s="21">
        <v>1346087.0</v>
      </c>
      <c r="S57" s="24">
        <v>44804.82986111111</v>
      </c>
      <c r="T57" s="21">
        <v>1346509.0</v>
      </c>
      <c r="U57" s="21" t="s">
        <v>657</v>
      </c>
      <c r="W57" s="21">
        <v>2877.0</v>
      </c>
      <c r="X57" s="21">
        <v>0.0</v>
      </c>
      <c r="Y57" s="21">
        <v>0.0</v>
      </c>
      <c r="Z57" s="21" t="s">
        <v>656</v>
      </c>
      <c r="AF57" s="21">
        <v>0.0</v>
      </c>
      <c r="AG57" s="21" t="s">
        <v>656</v>
      </c>
      <c r="AM57" s="21">
        <v>0.0</v>
      </c>
      <c r="AN57" s="21" t="s">
        <v>658</v>
      </c>
      <c r="AO57" s="21" t="s">
        <v>656</v>
      </c>
      <c r="AP57" s="21" t="s">
        <v>1304</v>
      </c>
      <c r="AT57" s="21" t="s">
        <v>656</v>
      </c>
      <c r="AW57" s="21" t="s">
        <v>656</v>
      </c>
      <c r="BC57" s="21" t="s">
        <v>1119</v>
      </c>
      <c r="BD57" s="21" t="s">
        <v>1305</v>
      </c>
      <c r="BF57" s="21" t="s">
        <v>1119</v>
      </c>
      <c r="BG57" s="21" t="s">
        <v>1305</v>
      </c>
      <c r="BI57" s="21">
        <v>0.0</v>
      </c>
      <c r="BJ57" s="24">
        <v>44804.72708333333</v>
      </c>
      <c r="BK57" s="24">
        <v>44804.72708333333</v>
      </c>
      <c r="BM57" s="21" t="s">
        <v>662</v>
      </c>
      <c r="BN57" s="21" t="s">
        <v>961</v>
      </c>
      <c r="BO57" s="21">
        <v>71822.0</v>
      </c>
      <c r="BP57" s="21" t="s">
        <v>1306</v>
      </c>
      <c r="BQ57" s="21" t="s">
        <v>1307</v>
      </c>
      <c r="BR57" s="21" t="s">
        <v>665</v>
      </c>
      <c r="BT57" s="21" t="s">
        <v>1308</v>
      </c>
      <c r="BU57" s="21" t="s">
        <v>1309</v>
      </c>
      <c r="BV57" s="21" t="s">
        <v>656</v>
      </c>
      <c r="BW57" s="21" t="s">
        <v>738</v>
      </c>
      <c r="BX57" s="21" t="s">
        <v>669</v>
      </c>
      <c r="BY57" s="21" t="s">
        <v>670</v>
      </c>
      <c r="CC57" s="21" t="s">
        <v>656</v>
      </c>
      <c r="CZ57" s="21" t="s">
        <v>712</v>
      </c>
      <c r="DA57" s="21" t="s">
        <v>741</v>
      </c>
      <c r="DB57" s="21" t="s">
        <v>756</v>
      </c>
      <c r="EH57" s="21" t="s">
        <v>939</v>
      </c>
      <c r="EO57" s="21">
        <v>1968.0</v>
      </c>
      <c r="EP57" s="21" t="s">
        <v>684</v>
      </c>
      <c r="EQ57" s="21" t="s">
        <v>674</v>
      </c>
      <c r="ES57" s="21" t="s">
        <v>965</v>
      </c>
      <c r="ET57" s="21">
        <v>1.0</v>
      </c>
      <c r="EU57" s="21">
        <v>1.0</v>
      </c>
      <c r="FC57" s="21" t="s">
        <v>677</v>
      </c>
      <c r="FD57" s="21" t="s">
        <v>656</v>
      </c>
      <c r="FF57" s="21">
        <v>660.0</v>
      </c>
      <c r="FH57" s="21" t="s">
        <v>656</v>
      </c>
      <c r="FI57" s="21" t="s">
        <v>656</v>
      </c>
      <c r="FL57" s="21" t="s">
        <v>656</v>
      </c>
      <c r="FO57" s="21">
        <v>7000.0</v>
      </c>
      <c r="FP57" s="21">
        <v>27792.0</v>
      </c>
      <c r="FQ57" s="21">
        <v>0.0</v>
      </c>
      <c r="FR57" s="21">
        <v>195000.0</v>
      </c>
      <c r="FS57" s="21">
        <v>0.0</v>
      </c>
      <c r="FT57" s="21">
        <v>0.0</v>
      </c>
      <c r="FV57" s="21">
        <v>9.66</v>
      </c>
      <c r="FW57" s="21">
        <v>229792.0</v>
      </c>
      <c r="FX57" s="21">
        <v>0.0</v>
      </c>
      <c r="FY57" s="21">
        <v>0.0</v>
      </c>
      <c r="FZ57" s="21">
        <v>0.0</v>
      </c>
      <c r="GA57" s="21">
        <v>0.0</v>
      </c>
      <c r="GB57" s="21" t="s">
        <v>656</v>
      </c>
      <c r="GF57" s="21">
        <v>350.0</v>
      </c>
      <c r="GG57" s="21">
        <v>3000.0</v>
      </c>
      <c r="GH57" s="21">
        <v>500.0</v>
      </c>
      <c r="GI57" s="21" t="s">
        <v>774</v>
      </c>
      <c r="GK57" s="25">
        <v>24908.0</v>
      </c>
      <c r="GL57" s="21" t="s">
        <v>656</v>
      </c>
      <c r="GM57" s="21" t="s">
        <v>679</v>
      </c>
      <c r="GN57" s="21" t="s">
        <v>656</v>
      </c>
      <c r="GQ57" s="21" t="s">
        <v>656</v>
      </c>
      <c r="GU57" s="21">
        <v>21806.0</v>
      </c>
      <c r="GV57" s="21" t="s">
        <v>656</v>
      </c>
      <c r="GZ57" s="21" t="s">
        <v>659</v>
      </c>
      <c r="HD57" s="21" t="s">
        <v>659</v>
      </c>
      <c r="HG57" s="21" t="s">
        <v>659</v>
      </c>
      <c r="HK57" s="21" t="s">
        <v>721</v>
      </c>
      <c r="HL57" s="21" t="s">
        <v>659</v>
      </c>
      <c r="HM57" s="21" t="s">
        <v>659</v>
      </c>
      <c r="HN57" s="21" t="s">
        <v>659</v>
      </c>
      <c r="HO57" s="21" t="s">
        <v>656</v>
      </c>
      <c r="HP57" s="21" t="s">
        <v>656</v>
      </c>
      <c r="HQ57" s="21" t="s">
        <v>806</v>
      </c>
      <c r="HT57" s="21" t="s">
        <v>723</v>
      </c>
      <c r="HU57" s="21" t="s">
        <v>1310</v>
      </c>
      <c r="IH57" s="21" t="s">
        <v>656</v>
      </c>
      <c r="II57" s="21" t="s">
        <v>656</v>
      </c>
      <c r="IN57" s="21" t="s">
        <v>925</v>
      </c>
      <c r="IO57" s="21" t="s">
        <v>926</v>
      </c>
      <c r="MP57" s="21" t="s">
        <v>926</v>
      </c>
      <c r="MQ57" s="21" t="s">
        <v>927</v>
      </c>
      <c r="NA57" s="21" t="s">
        <v>684</v>
      </c>
      <c r="NG57" s="21" t="s">
        <v>684</v>
      </c>
      <c r="NI57" s="21" t="s">
        <v>659</v>
      </c>
      <c r="NJ57" s="21" t="s">
        <v>1311</v>
      </c>
      <c r="NK57" s="21" t="s">
        <v>1312</v>
      </c>
      <c r="NL57" s="21">
        <v>0.0</v>
      </c>
      <c r="NM57" s="21" t="s">
        <v>656</v>
      </c>
      <c r="WL57" s="21" t="s">
        <v>1313</v>
      </c>
      <c r="WM57" s="21" t="s">
        <v>1314</v>
      </c>
      <c r="WN57" s="21" t="s">
        <v>1131</v>
      </c>
      <c r="WT57" s="21" t="s">
        <v>854</v>
      </c>
      <c r="WU57" s="21" t="s">
        <v>1315</v>
      </c>
      <c r="WV57" s="21" t="s">
        <v>856</v>
      </c>
      <c r="WW57" s="21" t="s">
        <v>857</v>
      </c>
      <c r="WX57" s="21" t="s">
        <v>1316</v>
      </c>
    </row>
    <row r="58">
      <c r="A58" s="21">
        <v>350.0</v>
      </c>
      <c r="B58" s="22">
        <v>44792.0</v>
      </c>
      <c r="C58" s="21">
        <v>2022.0</v>
      </c>
      <c r="D58" s="21">
        <v>2.0220086E7</v>
      </c>
      <c r="E58" s="21">
        <v>37360.0</v>
      </c>
      <c r="F58" s="21" t="s">
        <v>778</v>
      </c>
      <c r="G58" s="21">
        <v>39147.0</v>
      </c>
      <c r="H58" s="21" t="s">
        <v>1317</v>
      </c>
      <c r="I58" s="21" t="s">
        <v>652</v>
      </c>
      <c r="J58" s="21" t="s">
        <v>653</v>
      </c>
      <c r="K58" s="21" t="s">
        <v>654</v>
      </c>
      <c r="L58" s="21">
        <v>77002.0</v>
      </c>
      <c r="M58" s="23">
        <v>44792.305555555555</v>
      </c>
      <c r="N58" s="21" t="s">
        <v>655</v>
      </c>
      <c r="O58" s="21" t="s">
        <v>659</v>
      </c>
      <c r="P58" s="21">
        <v>34.54791</v>
      </c>
      <c r="Q58" s="21">
        <v>-97.67068</v>
      </c>
      <c r="R58" s="21">
        <v>1344930.0</v>
      </c>
      <c r="S58" s="24">
        <v>44792.32430555556</v>
      </c>
      <c r="T58" s="21">
        <v>1348266.0</v>
      </c>
      <c r="U58" s="21" t="s">
        <v>657</v>
      </c>
      <c r="W58" s="21">
        <v>1000.0</v>
      </c>
      <c r="X58" s="21">
        <v>8935.6</v>
      </c>
      <c r="Y58" s="21">
        <v>0.0</v>
      </c>
      <c r="Z58" s="21" t="s">
        <v>656</v>
      </c>
      <c r="AF58" s="21">
        <v>0.0</v>
      </c>
      <c r="AG58" s="21" t="s">
        <v>656</v>
      </c>
      <c r="AM58" s="21">
        <v>0.0</v>
      </c>
      <c r="AN58" s="21" t="s">
        <v>658</v>
      </c>
      <c r="AO58" s="21" t="s">
        <v>659</v>
      </c>
      <c r="AQ58" s="24">
        <v>44792.3125</v>
      </c>
      <c r="AR58" s="24">
        <v>44793.75</v>
      </c>
      <c r="AT58" s="21" t="s">
        <v>656</v>
      </c>
      <c r="AW58" s="21" t="s">
        <v>656</v>
      </c>
      <c r="BC58" s="21" t="s">
        <v>704</v>
      </c>
      <c r="BE58" s="24">
        <v>44792.3125</v>
      </c>
      <c r="BF58" s="21" t="s">
        <v>704</v>
      </c>
      <c r="BH58" s="24">
        <v>44792.3125</v>
      </c>
      <c r="BI58" s="21">
        <v>0.0</v>
      </c>
      <c r="BJ58" s="24">
        <v>44792.305555555555</v>
      </c>
      <c r="BK58" s="24">
        <v>44792.305555555555</v>
      </c>
      <c r="BM58" s="21" t="s">
        <v>662</v>
      </c>
      <c r="BN58" s="21" t="s">
        <v>860</v>
      </c>
      <c r="BO58" s="21">
        <v>73052.0</v>
      </c>
      <c r="BP58" s="21" t="s">
        <v>663</v>
      </c>
      <c r="BQ58" s="21" t="s">
        <v>1318</v>
      </c>
      <c r="BR58" s="21" t="s">
        <v>665</v>
      </c>
      <c r="BT58" s="21" t="s">
        <v>1319</v>
      </c>
      <c r="BU58" s="21" t="s">
        <v>1320</v>
      </c>
      <c r="BV58" s="21" t="s">
        <v>656</v>
      </c>
      <c r="BW58" s="21" t="s">
        <v>668</v>
      </c>
      <c r="BX58" s="21" t="s">
        <v>669</v>
      </c>
      <c r="BY58" s="21" t="s">
        <v>670</v>
      </c>
      <c r="CC58" s="21" t="s">
        <v>656</v>
      </c>
      <c r="CZ58" s="21" t="s">
        <v>671</v>
      </c>
      <c r="DA58" s="21" t="s">
        <v>741</v>
      </c>
      <c r="DB58" s="21" t="s">
        <v>1321</v>
      </c>
      <c r="EO58" s="21">
        <v>2014.0</v>
      </c>
      <c r="EP58" s="21" t="s">
        <v>684</v>
      </c>
      <c r="EQ58" s="21" t="s">
        <v>1081</v>
      </c>
      <c r="ER58" s="21" t="s">
        <v>1322</v>
      </c>
      <c r="ES58" s="21" t="s">
        <v>675</v>
      </c>
      <c r="EV58" s="21" t="s">
        <v>1083</v>
      </c>
      <c r="FC58" s="21" t="s">
        <v>677</v>
      </c>
      <c r="FD58" s="21" t="s">
        <v>656</v>
      </c>
      <c r="FF58" s="21">
        <v>660.0</v>
      </c>
      <c r="FH58" s="21" t="s">
        <v>656</v>
      </c>
      <c r="FI58" s="21" t="s">
        <v>656</v>
      </c>
      <c r="FL58" s="21" t="s">
        <v>656</v>
      </c>
      <c r="FO58" s="21">
        <v>0.0</v>
      </c>
      <c r="FP58" s="21">
        <v>9130.0</v>
      </c>
      <c r="FQ58" s="21">
        <v>81582.0</v>
      </c>
      <c r="FR58" s="21">
        <v>13000.0</v>
      </c>
      <c r="FS58" s="21">
        <v>0.0</v>
      </c>
      <c r="FT58" s="21">
        <v>0.0</v>
      </c>
      <c r="FV58" s="21">
        <v>9.13</v>
      </c>
      <c r="FW58" s="21">
        <v>103712.0</v>
      </c>
      <c r="FX58" s="21">
        <v>0.0</v>
      </c>
      <c r="FY58" s="21">
        <v>0.0</v>
      </c>
      <c r="FZ58" s="21">
        <v>0.0</v>
      </c>
      <c r="GA58" s="21">
        <v>0.0</v>
      </c>
      <c r="GB58" s="21" t="s">
        <v>656</v>
      </c>
      <c r="GF58" s="21">
        <v>986.0</v>
      </c>
      <c r="GG58" s="21">
        <v>10000.0</v>
      </c>
      <c r="GH58" s="21">
        <v>1200.0</v>
      </c>
      <c r="GI58" s="21" t="s">
        <v>774</v>
      </c>
      <c r="GK58" s="25">
        <v>41978.0</v>
      </c>
      <c r="GL58" s="21" t="s">
        <v>656</v>
      </c>
      <c r="GM58" s="21" t="s">
        <v>679</v>
      </c>
      <c r="GN58" s="21" t="s">
        <v>656</v>
      </c>
      <c r="GQ58" s="21" t="s">
        <v>656</v>
      </c>
      <c r="GS58" s="21" t="s">
        <v>720</v>
      </c>
      <c r="GT58" s="21" t="s">
        <v>720</v>
      </c>
      <c r="GU58" s="21">
        <v>52800.0</v>
      </c>
      <c r="GV58" s="21" t="s">
        <v>656</v>
      </c>
      <c r="GZ58" s="21" t="s">
        <v>659</v>
      </c>
      <c r="HD58" s="21" t="s">
        <v>659</v>
      </c>
      <c r="HI58" s="21" t="s">
        <v>659</v>
      </c>
      <c r="HJ58" s="21" t="s">
        <v>1323</v>
      </c>
      <c r="HK58" s="21" t="s">
        <v>680</v>
      </c>
      <c r="HL58" s="21" t="s">
        <v>656</v>
      </c>
      <c r="HQ58" s="21" t="s">
        <v>698</v>
      </c>
      <c r="HS58" s="21" t="s">
        <v>699</v>
      </c>
      <c r="HT58" s="21" t="s">
        <v>682</v>
      </c>
      <c r="IH58" s="21" t="s">
        <v>656</v>
      </c>
      <c r="II58" s="21" t="s">
        <v>656</v>
      </c>
      <c r="IN58" s="21" t="s">
        <v>761</v>
      </c>
      <c r="IO58" s="21" t="s">
        <v>1324</v>
      </c>
      <c r="OU58" s="21" t="s">
        <v>1324</v>
      </c>
      <c r="PM58" s="21" t="s">
        <v>1322</v>
      </c>
      <c r="QE58" s="21" t="s">
        <v>659</v>
      </c>
      <c r="QF58" s="21" t="s">
        <v>1322</v>
      </c>
      <c r="WA58" s="21" t="s">
        <v>659</v>
      </c>
      <c r="WL58" s="21" t="s">
        <v>854</v>
      </c>
      <c r="WM58" s="21" t="s">
        <v>1289</v>
      </c>
      <c r="WN58" s="21" t="s">
        <v>857</v>
      </c>
      <c r="WO58" s="21">
        <v>4.05576823E9</v>
      </c>
      <c r="WQ58" s="21" t="s">
        <v>854</v>
      </c>
      <c r="WR58" s="21" t="s">
        <v>857</v>
      </c>
      <c r="WS58" s="21">
        <v>4.05576823E9</v>
      </c>
      <c r="WT58" s="21" t="s">
        <v>854</v>
      </c>
      <c r="WU58" s="21" t="s">
        <v>1289</v>
      </c>
      <c r="WV58" s="21">
        <v>4.05576823E9</v>
      </c>
      <c r="WW58" s="21" t="s">
        <v>857</v>
      </c>
      <c r="WX58" s="21" t="s">
        <v>1325</v>
      </c>
    </row>
    <row r="59">
      <c r="A59" s="21">
        <v>351.0</v>
      </c>
      <c r="B59" s="22">
        <v>44813.0</v>
      </c>
      <c r="C59" s="21">
        <v>2022.0</v>
      </c>
      <c r="D59" s="21">
        <v>2.02201E7</v>
      </c>
      <c r="E59" s="21">
        <v>37098.0</v>
      </c>
      <c r="F59" s="21" t="s">
        <v>701</v>
      </c>
      <c r="G59" s="21">
        <v>40069.0</v>
      </c>
      <c r="H59" s="21" t="s">
        <v>993</v>
      </c>
      <c r="I59" s="21" t="s">
        <v>652</v>
      </c>
      <c r="J59" s="21" t="s">
        <v>653</v>
      </c>
      <c r="K59" s="21" t="s">
        <v>654</v>
      </c>
      <c r="L59" s="21">
        <v>77002.0</v>
      </c>
      <c r="M59" s="23">
        <v>44790.413194444445</v>
      </c>
      <c r="N59" s="21" t="s">
        <v>655</v>
      </c>
      <c r="O59" s="21" t="s">
        <v>659</v>
      </c>
      <c r="P59" s="21">
        <v>28.304667</v>
      </c>
      <c r="Q59" s="21">
        <v>-93.269167</v>
      </c>
      <c r="R59" s="21">
        <v>1344742.0</v>
      </c>
      <c r="S59" s="24">
        <v>44790.45138888889</v>
      </c>
      <c r="T59" s="26">
        <v>1.3448931345524E13</v>
      </c>
      <c r="U59" s="21" t="s">
        <v>657</v>
      </c>
      <c r="W59" s="21">
        <v>5.6</v>
      </c>
      <c r="X59" s="21">
        <v>12839.7</v>
      </c>
      <c r="Y59" s="21">
        <v>98.11</v>
      </c>
      <c r="Z59" s="21" t="s">
        <v>656</v>
      </c>
      <c r="AF59" s="21">
        <v>0.0</v>
      </c>
      <c r="AG59" s="21" t="s">
        <v>656</v>
      </c>
      <c r="AM59" s="21">
        <v>0.0</v>
      </c>
      <c r="AN59" s="21" t="s">
        <v>1326</v>
      </c>
      <c r="AT59" s="21" t="s">
        <v>659</v>
      </c>
      <c r="AU59" s="21" t="s">
        <v>661</v>
      </c>
      <c r="AV59" s="24">
        <v>44791.78125</v>
      </c>
      <c r="AW59" s="21" t="s">
        <v>656</v>
      </c>
      <c r="BC59" s="21" t="s">
        <v>704</v>
      </c>
      <c r="BE59" s="24">
        <v>44619.708333333336</v>
      </c>
      <c r="BF59" s="21" t="s">
        <v>704</v>
      </c>
      <c r="BH59" s="24">
        <v>44790.364583333336</v>
      </c>
      <c r="BI59" s="21">
        <v>0.0</v>
      </c>
      <c r="BJ59" s="24">
        <v>44790.32152777778</v>
      </c>
      <c r="BK59" s="24">
        <v>44790.333333333336</v>
      </c>
      <c r="BM59" s="21" t="s">
        <v>705</v>
      </c>
      <c r="BT59" s="21" t="s">
        <v>995</v>
      </c>
      <c r="BU59" s="21" t="s">
        <v>1327</v>
      </c>
      <c r="CP59" s="21">
        <v>190.0</v>
      </c>
      <c r="CQ59" s="21" t="s">
        <v>708</v>
      </c>
      <c r="CV59" s="21" t="s">
        <v>997</v>
      </c>
      <c r="CW59" s="21" t="s">
        <v>998</v>
      </c>
      <c r="CX59" s="21">
        <v>550.0</v>
      </c>
      <c r="CY59" s="21" t="s">
        <v>711</v>
      </c>
      <c r="CZ59" s="21" t="s">
        <v>712</v>
      </c>
      <c r="DA59" s="21" t="s">
        <v>713</v>
      </c>
      <c r="DB59" s="21" t="s">
        <v>714</v>
      </c>
      <c r="DC59" s="21" t="s">
        <v>715</v>
      </c>
      <c r="DD59" s="21">
        <v>30.0</v>
      </c>
      <c r="DE59" s="21" t="s">
        <v>656</v>
      </c>
      <c r="DF59" s="21">
        <v>0.568</v>
      </c>
      <c r="DG59" s="21">
        <v>60000.0</v>
      </c>
      <c r="DH59" s="21" t="s">
        <v>1328</v>
      </c>
      <c r="DI59" s="21" t="s">
        <v>848</v>
      </c>
      <c r="DK59" s="21" t="s">
        <v>1329</v>
      </c>
      <c r="DL59" s="21" t="s">
        <v>696</v>
      </c>
      <c r="DM59" s="21" t="s">
        <v>1000</v>
      </c>
      <c r="DN59" s="21" t="s">
        <v>684</v>
      </c>
      <c r="EO59" s="21">
        <v>1975.0</v>
      </c>
      <c r="EP59" s="21">
        <v>1975.0</v>
      </c>
      <c r="EQ59" s="21" t="s">
        <v>674</v>
      </c>
      <c r="ES59" s="21" t="s">
        <v>675</v>
      </c>
      <c r="EV59" s="21" t="s">
        <v>718</v>
      </c>
      <c r="FC59" s="21" t="s">
        <v>677</v>
      </c>
      <c r="FD59" s="21" t="s">
        <v>656</v>
      </c>
      <c r="FF59" s="21">
        <v>717.0</v>
      </c>
      <c r="FH59" s="21" t="s">
        <v>656</v>
      </c>
      <c r="FI59" s="21" t="s">
        <v>656</v>
      </c>
      <c r="FL59" s="21" t="s">
        <v>656</v>
      </c>
      <c r="FO59" s="21">
        <v>0.0</v>
      </c>
      <c r="FP59" s="21">
        <v>53.0</v>
      </c>
      <c r="FQ59" s="21">
        <v>122106.0</v>
      </c>
      <c r="FR59" s="21">
        <v>482592.0</v>
      </c>
      <c r="FS59" s="21">
        <v>209195.0</v>
      </c>
      <c r="FT59" s="21">
        <v>0.0</v>
      </c>
      <c r="FV59" s="21">
        <v>9.51</v>
      </c>
      <c r="FW59" s="21">
        <v>813946.0</v>
      </c>
      <c r="FX59" s="21">
        <v>0.0</v>
      </c>
      <c r="FY59" s="21">
        <v>0.0</v>
      </c>
      <c r="FZ59" s="21">
        <v>0.0</v>
      </c>
      <c r="GA59" s="21">
        <v>0.0</v>
      </c>
      <c r="GB59" s="21" t="s">
        <v>656</v>
      </c>
      <c r="GF59" s="21">
        <v>300.0</v>
      </c>
      <c r="GG59" s="21">
        <v>0.0</v>
      </c>
      <c r="GH59" s="21">
        <v>1200.0</v>
      </c>
      <c r="GI59" s="21" t="s">
        <v>719</v>
      </c>
      <c r="GK59" s="25">
        <v>27456.0</v>
      </c>
      <c r="GL59" s="21" t="s">
        <v>656</v>
      </c>
      <c r="GM59" s="21" t="s">
        <v>679</v>
      </c>
      <c r="GN59" s="21" t="s">
        <v>656</v>
      </c>
      <c r="GQ59" s="21" t="s">
        <v>656</v>
      </c>
      <c r="GS59" s="21" t="s">
        <v>720</v>
      </c>
      <c r="GT59" s="21" t="s">
        <v>720</v>
      </c>
      <c r="GU59" s="21">
        <v>318991.0</v>
      </c>
      <c r="GV59" s="21" t="s">
        <v>659</v>
      </c>
      <c r="HD59" s="21" t="s">
        <v>659</v>
      </c>
      <c r="HI59" s="21" t="s">
        <v>659</v>
      </c>
      <c r="HJ59" s="21" t="s">
        <v>1001</v>
      </c>
      <c r="HK59" s="21" t="s">
        <v>1002</v>
      </c>
      <c r="HL59" s="21" t="s">
        <v>659</v>
      </c>
      <c r="HM59" s="21" t="s">
        <v>659</v>
      </c>
      <c r="HN59" s="21" t="s">
        <v>659</v>
      </c>
      <c r="HO59" s="21" t="s">
        <v>656</v>
      </c>
      <c r="HP59" s="21" t="s">
        <v>656</v>
      </c>
      <c r="HQ59" s="21" t="s">
        <v>696</v>
      </c>
      <c r="HR59" s="21" t="s">
        <v>1330</v>
      </c>
      <c r="HT59" s="21" t="s">
        <v>723</v>
      </c>
      <c r="HU59" s="21" t="s">
        <v>1331</v>
      </c>
      <c r="IH59" s="21" t="s">
        <v>656</v>
      </c>
      <c r="II59" s="21" t="s">
        <v>656</v>
      </c>
      <c r="IN59" s="21" t="s">
        <v>725</v>
      </c>
      <c r="IO59" s="21" t="s">
        <v>726</v>
      </c>
      <c r="IP59" s="21" t="s">
        <v>726</v>
      </c>
      <c r="JT59" s="21" t="s">
        <v>727</v>
      </c>
      <c r="JV59" s="21" t="s">
        <v>659</v>
      </c>
      <c r="KB59" s="21" t="s">
        <v>659</v>
      </c>
      <c r="KF59" s="21" t="s">
        <v>659</v>
      </c>
      <c r="KH59" s="21" t="s">
        <v>659</v>
      </c>
      <c r="KL59" s="21" t="s">
        <v>659</v>
      </c>
      <c r="KM59" s="21" t="s">
        <v>656</v>
      </c>
      <c r="KN59" s="21" t="s">
        <v>659</v>
      </c>
      <c r="KO59" s="21" t="s">
        <v>659</v>
      </c>
      <c r="QW59" s="21" t="s">
        <v>656</v>
      </c>
      <c r="TI59" s="21" t="s">
        <v>656</v>
      </c>
      <c r="TL59" s="21" t="s">
        <v>656</v>
      </c>
      <c r="TZ59" s="21" t="s">
        <v>656</v>
      </c>
      <c r="WL59" s="21" t="s">
        <v>729</v>
      </c>
      <c r="WN59" s="21" t="s">
        <v>731</v>
      </c>
      <c r="WT59" s="21" t="s">
        <v>1193</v>
      </c>
      <c r="WV59" s="21" t="s">
        <v>1195</v>
      </c>
      <c r="WW59" s="21" t="s">
        <v>1196</v>
      </c>
      <c r="WX59" s="21" t="s">
        <v>1332</v>
      </c>
    </row>
    <row r="60">
      <c r="A60" s="21">
        <v>352.0</v>
      </c>
      <c r="B60" s="22">
        <v>44802.0</v>
      </c>
      <c r="C60" s="21">
        <v>2022.0</v>
      </c>
      <c r="D60" s="21">
        <v>2.0220092E7</v>
      </c>
      <c r="E60" s="21">
        <v>37039.0</v>
      </c>
      <c r="F60" s="21" t="s">
        <v>701</v>
      </c>
      <c r="G60" s="21">
        <v>602.0</v>
      </c>
      <c r="H60" s="21" t="s">
        <v>859</v>
      </c>
      <c r="I60" s="21" t="s">
        <v>652</v>
      </c>
      <c r="J60" s="21" t="s">
        <v>653</v>
      </c>
      <c r="K60" s="21" t="s">
        <v>654</v>
      </c>
      <c r="L60" s="21">
        <v>77002.0</v>
      </c>
      <c r="M60" s="23">
        <v>44789.78194444445</v>
      </c>
      <c r="N60" s="21" t="s">
        <v>655</v>
      </c>
      <c r="O60" s="21" t="s">
        <v>659</v>
      </c>
      <c r="P60" s="21">
        <v>35.22697</v>
      </c>
      <c r="Q60" s="21">
        <v>-92.398986</v>
      </c>
      <c r="R60" s="21">
        <v>1344682.0</v>
      </c>
      <c r="S60" s="24">
        <v>44789.78680555556</v>
      </c>
      <c r="T60" s="21">
        <v>1344853.0</v>
      </c>
      <c r="U60" s="21" t="s">
        <v>657</v>
      </c>
      <c r="W60" s="21">
        <v>1.0</v>
      </c>
      <c r="X60" s="21">
        <v>14.6</v>
      </c>
      <c r="Y60" s="21">
        <v>0.0</v>
      </c>
      <c r="Z60" s="21" t="s">
        <v>656</v>
      </c>
      <c r="AF60" s="21">
        <v>0.0</v>
      </c>
      <c r="AG60" s="21" t="s">
        <v>656</v>
      </c>
      <c r="AM60" s="21">
        <v>0.0</v>
      </c>
      <c r="AN60" s="21" t="s">
        <v>658</v>
      </c>
      <c r="AO60" s="21" t="s">
        <v>659</v>
      </c>
      <c r="AQ60" s="24">
        <v>44789.95138888889</v>
      </c>
      <c r="AR60" s="24">
        <v>44791.47708333333</v>
      </c>
      <c r="AT60" s="21" t="s">
        <v>659</v>
      </c>
      <c r="AU60" s="21" t="s">
        <v>661</v>
      </c>
      <c r="AV60" s="24">
        <v>44789.299305555556</v>
      </c>
      <c r="AW60" s="21" t="s">
        <v>656</v>
      </c>
      <c r="BC60" s="21" t="s">
        <v>704</v>
      </c>
      <c r="BE60" s="24">
        <v>44789.944444444445</v>
      </c>
      <c r="BF60" s="21" t="s">
        <v>704</v>
      </c>
      <c r="BH60" s="24">
        <v>44789.95138888889</v>
      </c>
      <c r="BI60" s="21">
        <v>4.0</v>
      </c>
      <c r="BJ60" s="24">
        <v>44789.677083333336</v>
      </c>
      <c r="BK60" s="24">
        <v>44789.677083333336</v>
      </c>
      <c r="BM60" s="21" t="s">
        <v>662</v>
      </c>
      <c r="BN60" s="21" t="s">
        <v>961</v>
      </c>
      <c r="BO60" s="21">
        <v>72058.0</v>
      </c>
      <c r="BP60" s="21" t="s">
        <v>1333</v>
      </c>
      <c r="BQ60" s="21" t="s">
        <v>1334</v>
      </c>
      <c r="BR60" s="21" t="s">
        <v>665</v>
      </c>
      <c r="BT60" s="21" t="s">
        <v>1335</v>
      </c>
      <c r="BU60" s="21" t="s">
        <v>1336</v>
      </c>
      <c r="BV60" s="21" t="s">
        <v>656</v>
      </c>
      <c r="BW60" s="21" t="s">
        <v>738</v>
      </c>
      <c r="BX60" s="21" t="s">
        <v>739</v>
      </c>
      <c r="BY60" s="21" t="s">
        <v>1337</v>
      </c>
      <c r="CA60" s="21">
        <v>36.0</v>
      </c>
      <c r="CB60" s="21" t="s">
        <v>656</v>
      </c>
      <c r="CC60" s="21" t="s">
        <v>656</v>
      </c>
      <c r="CZ60" s="21" t="s">
        <v>712</v>
      </c>
      <c r="DA60" s="21" t="s">
        <v>741</v>
      </c>
      <c r="DB60" s="21" t="s">
        <v>714</v>
      </c>
      <c r="DC60" s="21" t="s">
        <v>715</v>
      </c>
      <c r="DD60" s="21">
        <v>4.0</v>
      </c>
      <c r="DE60" s="21" t="s">
        <v>656</v>
      </c>
      <c r="DF60" s="21">
        <v>0.188</v>
      </c>
      <c r="DG60" s="21">
        <v>30000.0</v>
      </c>
      <c r="DH60" s="21" t="s">
        <v>684</v>
      </c>
      <c r="DI60" s="21" t="s">
        <v>1338</v>
      </c>
      <c r="DK60" s="21" t="s">
        <v>684</v>
      </c>
      <c r="DL60" s="21" t="s">
        <v>743</v>
      </c>
      <c r="DN60" s="21" t="s">
        <v>684</v>
      </c>
      <c r="EO60" s="21">
        <v>1957.0</v>
      </c>
      <c r="EP60" s="21" t="s">
        <v>684</v>
      </c>
      <c r="EQ60" s="21" t="s">
        <v>674</v>
      </c>
      <c r="ES60" s="21" t="s">
        <v>675</v>
      </c>
      <c r="EV60" s="21" t="s">
        <v>718</v>
      </c>
      <c r="FC60" s="21" t="s">
        <v>1256</v>
      </c>
      <c r="FD60" s="21" t="s">
        <v>659</v>
      </c>
      <c r="FE60" s="21" t="s">
        <v>1216</v>
      </c>
      <c r="FF60" s="21">
        <v>55.0</v>
      </c>
      <c r="FH60" s="21" t="s">
        <v>656</v>
      </c>
      <c r="FI60" s="21" t="s">
        <v>656</v>
      </c>
      <c r="FO60" s="21">
        <v>0.0</v>
      </c>
      <c r="FP60" s="21">
        <v>9.0</v>
      </c>
      <c r="FQ60" s="21">
        <v>135.0</v>
      </c>
      <c r="FR60" s="21">
        <v>69351.0</v>
      </c>
      <c r="FS60" s="21">
        <v>0.0</v>
      </c>
      <c r="FT60" s="21">
        <v>852.0</v>
      </c>
      <c r="FU60" s="21" t="s">
        <v>1339</v>
      </c>
      <c r="FV60" s="21">
        <v>9.28</v>
      </c>
      <c r="FW60" s="21">
        <v>70347.0</v>
      </c>
      <c r="FX60" s="21">
        <v>0.0</v>
      </c>
      <c r="FY60" s="21">
        <v>0.0</v>
      </c>
      <c r="FZ60" s="21">
        <v>2.0</v>
      </c>
      <c r="GA60" s="21">
        <v>1.0</v>
      </c>
      <c r="GB60" s="21" t="s">
        <v>656</v>
      </c>
      <c r="GF60" s="21">
        <v>260.0</v>
      </c>
      <c r="GG60" s="21">
        <v>3534.0</v>
      </c>
      <c r="GH60" s="21">
        <v>310.0</v>
      </c>
      <c r="GI60" s="21" t="s">
        <v>774</v>
      </c>
      <c r="GK60" s="25">
        <v>40998.0</v>
      </c>
      <c r="GL60" s="21" t="s">
        <v>957</v>
      </c>
      <c r="GM60" s="21" t="s">
        <v>679</v>
      </c>
      <c r="GN60" s="21" t="s">
        <v>656</v>
      </c>
      <c r="GQ60" s="21" t="s">
        <v>659</v>
      </c>
      <c r="GR60" s="21" t="s">
        <v>659</v>
      </c>
      <c r="GS60" s="21" t="s">
        <v>720</v>
      </c>
      <c r="GT60" s="21" t="s">
        <v>720</v>
      </c>
      <c r="GU60" s="21">
        <v>8661.0</v>
      </c>
      <c r="GV60" s="21" t="s">
        <v>656</v>
      </c>
      <c r="GX60" s="21" t="s">
        <v>659</v>
      </c>
      <c r="GZ60" s="21" t="s">
        <v>659</v>
      </c>
      <c r="HB60" s="21" t="s">
        <v>659</v>
      </c>
      <c r="HC60" s="21" t="s">
        <v>1340</v>
      </c>
      <c r="HD60" s="21" t="s">
        <v>656</v>
      </c>
      <c r="HK60" s="21" t="s">
        <v>721</v>
      </c>
      <c r="HL60" s="21" t="s">
        <v>656</v>
      </c>
      <c r="HQ60" s="21" t="s">
        <v>696</v>
      </c>
      <c r="HR60" s="21" t="s">
        <v>1341</v>
      </c>
      <c r="HT60" s="21" t="s">
        <v>723</v>
      </c>
      <c r="HU60" s="21" t="s">
        <v>1342</v>
      </c>
      <c r="IH60" s="21" t="s">
        <v>656</v>
      </c>
      <c r="II60" s="21" t="s">
        <v>656</v>
      </c>
      <c r="IN60" s="21" t="s">
        <v>808</v>
      </c>
      <c r="IO60" s="21" t="s">
        <v>809</v>
      </c>
      <c r="NS60" s="21" t="s">
        <v>809</v>
      </c>
      <c r="NT60" s="21" t="s">
        <v>659</v>
      </c>
      <c r="OC60" s="21" t="s">
        <v>659</v>
      </c>
      <c r="OD60" s="21" t="s">
        <v>1343</v>
      </c>
      <c r="OR60" s="21" t="s">
        <v>659</v>
      </c>
      <c r="OS60" s="21" t="s">
        <v>1343</v>
      </c>
      <c r="OT60" s="21" t="s">
        <v>684</v>
      </c>
      <c r="QW60" s="21" t="s">
        <v>656</v>
      </c>
      <c r="TI60" s="21" t="s">
        <v>659</v>
      </c>
      <c r="TJ60" s="21">
        <v>2018.0</v>
      </c>
      <c r="TK60" s="21">
        <v>388.0</v>
      </c>
      <c r="TL60" s="21" t="s">
        <v>1344</v>
      </c>
      <c r="TN60" s="21">
        <v>2020.0</v>
      </c>
      <c r="TO60" s="21">
        <v>2020.0</v>
      </c>
      <c r="TP60" s="21">
        <v>2020.0</v>
      </c>
      <c r="TU60" s="21" t="s">
        <v>659</v>
      </c>
      <c r="TV60" s="21" t="s">
        <v>659</v>
      </c>
      <c r="TZ60" s="21" t="s">
        <v>656</v>
      </c>
      <c r="UN60" s="21" t="s">
        <v>659</v>
      </c>
      <c r="WL60" s="21" t="s">
        <v>977</v>
      </c>
      <c r="WM60" s="21" t="s">
        <v>978</v>
      </c>
      <c r="WN60" s="21" t="s">
        <v>979</v>
      </c>
      <c r="WO60" s="21" t="s">
        <v>1220</v>
      </c>
      <c r="WQ60" s="21" t="s">
        <v>1221</v>
      </c>
      <c r="WR60" s="21" t="s">
        <v>1222</v>
      </c>
      <c r="WS60" s="21" t="s">
        <v>1345</v>
      </c>
      <c r="WT60" s="21" t="s">
        <v>854</v>
      </c>
      <c r="WU60" s="21" t="s">
        <v>1289</v>
      </c>
      <c r="WV60" s="21" t="s">
        <v>1346</v>
      </c>
      <c r="WW60" s="21" t="s">
        <v>857</v>
      </c>
      <c r="WX60" s="21" t="s">
        <v>1347</v>
      </c>
    </row>
    <row r="61">
      <c r="A61" s="21">
        <v>361.0</v>
      </c>
      <c r="B61" s="22">
        <v>44792.0</v>
      </c>
      <c r="C61" s="21">
        <v>2022.0</v>
      </c>
      <c r="D61" s="21">
        <v>2.0220087E7</v>
      </c>
      <c r="E61" s="21">
        <v>39728.0</v>
      </c>
      <c r="F61" s="21" t="s">
        <v>778</v>
      </c>
      <c r="G61" s="21">
        <v>18152.0</v>
      </c>
      <c r="H61" s="21" t="s">
        <v>702</v>
      </c>
      <c r="I61" s="21" t="s">
        <v>652</v>
      </c>
      <c r="J61" s="21" t="s">
        <v>653</v>
      </c>
      <c r="K61" s="21" t="s">
        <v>654</v>
      </c>
      <c r="L61" s="21">
        <v>77002.0</v>
      </c>
      <c r="M61" s="23">
        <v>44765.69583333333</v>
      </c>
      <c r="N61" s="21" t="s">
        <v>655</v>
      </c>
      <c r="O61" s="21" t="s">
        <v>659</v>
      </c>
      <c r="P61" s="21">
        <v>28.248333</v>
      </c>
      <c r="Q61" s="21">
        <v>-91.693333</v>
      </c>
      <c r="R61" s="21">
        <v>1342409.0</v>
      </c>
      <c r="S61" s="24">
        <v>44766.73333333333</v>
      </c>
      <c r="T61" s="26">
        <v>1.3426241345136E13</v>
      </c>
      <c r="U61" s="21" t="s">
        <v>657</v>
      </c>
      <c r="W61" s="21">
        <v>2647.87</v>
      </c>
      <c r="X61" s="21">
        <v>29414.76</v>
      </c>
      <c r="Y61" s="21">
        <v>28.89</v>
      </c>
      <c r="Z61" s="21" t="s">
        <v>656</v>
      </c>
      <c r="AF61" s="21">
        <v>0.0</v>
      </c>
      <c r="AG61" s="21" t="s">
        <v>656</v>
      </c>
      <c r="AM61" s="21">
        <v>0.0</v>
      </c>
      <c r="AN61" s="21" t="s">
        <v>994</v>
      </c>
      <c r="AT61" s="21" t="s">
        <v>659</v>
      </c>
      <c r="AU61" s="21" t="s">
        <v>660</v>
      </c>
      <c r="AV61" s="24">
        <v>44766.740277777775</v>
      </c>
      <c r="AW61" s="21" t="s">
        <v>656</v>
      </c>
      <c r="BC61" s="21" t="s">
        <v>1119</v>
      </c>
      <c r="BD61" s="21" t="s">
        <v>1348</v>
      </c>
      <c r="BF61" s="21" t="s">
        <v>1119</v>
      </c>
      <c r="BG61" s="21" t="s">
        <v>1348</v>
      </c>
      <c r="BI61" s="21">
        <v>0.0</v>
      </c>
      <c r="BJ61" s="24">
        <v>44765.69583333333</v>
      </c>
      <c r="BK61" s="24">
        <v>44765.69583333333</v>
      </c>
      <c r="BL61" s="24">
        <v>44794.572916666664</v>
      </c>
      <c r="BM61" s="21" t="s">
        <v>705</v>
      </c>
      <c r="BT61" s="21" t="s">
        <v>1349</v>
      </c>
      <c r="BU61" s="21" t="s">
        <v>1350</v>
      </c>
      <c r="CP61" s="21">
        <v>260.0</v>
      </c>
      <c r="CQ61" s="21" t="s">
        <v>708</v>
      </c>
      <c r="CV61" s="21" t="s">
        <v>997</v>
      </c>
      <c r="CW61" s="21" t="s">
        <v>710</v>
      </c>
      <c r="CX61" s="21">
        <v>330.0</v>
      </c>
      <c r="CY61" s="21" t="s">
        <v>711</v>
      </c>
      <c r="CZ61" s="21" t="s">
        <v>712</v>
      </c>
      <c r="DA61" s="21" t="s">
        <v>713</v>
      </c>
      <c r="DB61" s="21" t="s">
        <v>714</v>
      </c>
      <c r="DC61" s="21" t="s">
        <v>715</v>
      </c>
      <c r="DD61" s="21">
        <v>8.625</v>
      </c>
      <c r="DE61" s="21" t="s">
        <v>656</v>
      </c>
      <c r="DF61" s="21">
        <v>0.438</v>
      </c>
      <c r="DG61" s="21">
        <v>24000.0</v>
      </c>
      <c r="DH61" s="21" t="s">
        <v>1062</v>
      </c>
      <c r="DI61" s="21" t="s">
        <v>696</v>
      </c>
      <c r="DJ61" s="21" t="s">
        <v>684</v>
      </c>
      <c r="DK61" s="21" t="s">
        <v>684</v>
      </c>
      <c r="DL61" s="21" t="s">
        <v>696</v>
      </c>
      <c r="DM61" s="21" t="s">
        <v>877</v>
      </c>
      <c r="DN61" s="21" t="s">
        <v>659</v>
      </c>
      <c r="EO61" s="21">
        <v>1973.0</v>
      </c>
      <c r="EP61" s="21">
        <v>1973.0</v>
      </c>
      <c r="EQ61" s="21" t="s">
        <v>674</v>
      </c>
      <c r="ES61" s="21" t="s">
        <v>675</v>
      </c>
      <c r="EV61" s="21" t="s">
        <v>718</v>
      </c>
      <c r="FC61" s="21" t="s">
        <v>677</v>
      </c>
      <c r="FD61" s="21" t="s">
        <v>656</v>
      </c>
      <c r="FF61" s="21">
        <v>165.0</v>
      </c>
      <c r="FH61" s="21" t="s">
        <v>656</v>
      </c>
      <c r="FI61" s="21" t="s">
        <v>656</v>
      </c>
      <c r="FL61" s="21" t="s">
        <v>656</v>
      </c>
      <c r="FO61" s="21">
        <v>0.0</v>
      </c>
      <c r="FP61" s="21">
        <v>21845.0</v>
      </c>
      <c r="FQ61" s="21">
        <v>242672.0</v>
      </c>
      <c r="FR61" s="21">
        <v>375000.0</v>
      </c>
      <c r="FS61" s="21">
        <v>75000.0</v>
      </c>
      <c r="FT61" s="21">
        <v>0.0</v>
      </c>
      <c r="FV61" s="21">
        <v>8.25</v>
      </c>
      <c r="FW61" s="21">
        <v>714517.0</v>
      </c>
      <c r="FX61" s="21">
        <v>0.0</v>
      </c>
      <c r="FY61" s="21">
        <v>0.0</v>
      </c>
      <c r="FZ61" s="21">
        <v>0.0</v>
      </c>
      <c r="GA61" s="21">
        <v>0.0</v>
      </c>
      <c r="GB61" s="21" t="s">
        <v>656</v>
      </c>
      <c r="GF61" s="21">
        <v>735.0</v>
      </c>
      <c r="GG61" s="21">
        <v>10.0</v>
      </c>
      <c r="GH61" s="21">
        <v>1306.0</v>
      </c>
      <c r="GI61" s="21" t="s">
        <v>719</v>
      </c>
      <c r="GK61" s="25">
        <v>28126.0</v>
      </c>
      <c r="GL61" s="21" t="s">
        <v>656</v>
      </c>
      <c r="GM61" s="21" t="s">
        <v>679</v>
      </c>
      <c r="GN61" s="21" t="s">
        <v>656</v>
      </c>
      <c r="GQ61" s="21" t="s">
        <v>656</v>
      </c>
      <c r="GU61" s="21">
        <v>31680.0</v>
      </c>
      <c r="GV61" s="21" t="s">
        <v>656</v>
      </c>
      <c r="GY61" s="21" t="s">
        <v>659</v>
      </c>
      <c r="HD61" s="21" t="s">
        <v>659</v>
      </c>
      <c r="HG61" s="21" t="s">
        <v>659</v>
      </c>
      <c r="HI61" s="21" t="s">
        <v>659</v>
      </c>
      <c r="HJ61" s="21" t="s">
        <v>1351</v>
      </c>
      <c r="HK61" s="21" t="s">
        <v>721</v>
      </c>
      <c r="HL61" s="21" t="s">
        <v>659</v>
      </c>
      <c r="HM61" s="21" t="s">
        <v>659</v>
      </c>
      <c r="HN61" s="21" t="s">
        <v>659</v>
      </c>
      <c r="HO61" s="21" t="s">
        <v>656</v>
      </c>
      <c r="HP61" s="21" t="s">
        <v>656</v>
      </c>
      <c r="HQ61" s="21" t="s">
        <v>696</v>
      </c>
      <c r="HR61" s="21" t="s">
        <v>1330</v>
      </c>
      <c r="HT61" s="21" t="s">
        <v>723</v>
      </c>
      <c r="HU61" s="21" t="s">
        <v>1096</v>
      </c>
      <c r="IH61" s="21" t="s">
        <v>656</v>
      </c>
      <c r="II61" s="21" t="s">
        <v>656</v>
      </c>
      <c r="IN61" s="21" t="s">
        <v>725</v>
      </c>
      <c r="IO61" s="21" t="s">
        <v>726</v>
      </c>
      <c r="IP61" s="21" t="s">
        <v>726</v>
      </c>
      <c r="JT61" s="21" t="s">
        <v>727</v>
      </c>
      <c r="JV61" s="21" t="s">
        <v>659</v>
      </c>
      <c r="KB61" s="21" t="s">
        <v>659</v>
      </c>
      <c r="KF61" s="21" t="s">
        <v>659</v>
      </c>
      <c r="KH61" s="21" t="s">
        <v>659</v>
      </c>
      <c r="KL61" s="21" t="s">
        <v>659</v>
      </c>
      <c r="KM61" s="21" t="s">
        <v>656</v>
      </c>
      <c r="KN61" s="21" t="s">
        <v>656</v>
      </c>
      <c r="KO61" s="21" t="s">
        <v>659</v>
      </c>
      <c r="QW61" s="21" t="s">
        <v>656</v>
      </c>
      <c r="TI61" s="21" t="s">
        <v>656</v>
      </c>
      <c r="TL61" s="21" t="s">
        <v>656</v>
      </c>
      <c r="TZ61" s="21" t="s">
        <v>656</v>
      </c>
      <c r="WL61" s="21" t="s">
        <v>729</v>
      </c>
      <c r="WM61" s="21" t="s">
        <v>872</v>
      </c>
      <c r="WN61" s="21" t="s">
        <v>731</v>
      </c>
      <c r="WO61" s="21" t="s">
        <v>990</v>
      </c>
      <c r="WT61" s="21" t="s">
        <v>689</v>
      </c>
      <c r="WU61" s="21" t="s">
        <v>991</v>
      </c>
      <c r="WV61" s="21" t="s">
        <v>1352</v>
      </c>
      <c r="WW61" s="21" t="s">
        <v>690</v>
      </c>
      <c r="WX61" s="21" t="s">
        <v>1353</v>
      </c>
    </row>
    <row r="62">
      <c r="A62" s="21">
        <v>362.0</v>
      </c>
      <c r="B62" s="22">
        <v>44789.0</v>
      </c>
      <c r="C62" s="21">
        <v>2022.0</v>
      </c>
      <c r="D62" s="21">
        <v>2.0220085E7</v>
      </c>
      <c r="E62" s="21">
        <v>37840.0</v>
      </c>
      <c r="F62" s="21" t="s">
        <v>778</v>
      </c>
      <c r="G62" s="21">
        <v>32099.0</v>
      </c>
      <c r="H62" s="21" t="s">
        <v>651</v>
      </c>
      <c r="I62" s="21" t="s">
        <v>652</v>
      </c>
      <c r="J62" s="21" t="s">
        <v>653</v>
      </c>
      <c r="K62" s="21" t="s">
        <v>654</v>
      </c>
      <c r="L62" s="21">
        <v>77002.0</v>
      </c>
      <c r="M62" s="23">
        <v>44764.42361111111</v>
      </c>
      <c r="N62" s="21" t="s">
        <v>655</v>
      </c>
      <c r="O62" s="21" t="s">
        <v>659</v>
      </c>
      <c r="P62" s="21">
        <v>32.36651</v>
      </c>
      <c r="Q62" s="21">
        <v>-93.35471</v>
      </c>
      <c r="R62" s="21">
        <v>1342244.0</v>
      </c>
      <c r="S62" s="24">
        <v>44764.481944444444</v>
      </c>
      <c r="T62" s="21">
        <v>1342376.0</v>
      </c>
      <c r="U62" s="21" t="s">
        <v>657</v>
      </c>
      <c r="W62" s="21">
        <v>8200.0</v>
      </c>
      <c r="X62" s="21">
        <v>0.0</v>
      </c>
      <c r="Y62" s="21">
        <v>0.0</v>
      </c>
      <c r="Z62" s="21" t="s">
        <v>656</v>
      </c>
      <c r="AF62" s="21">
        <v>0.0</v>
      </c>
      <c r="AG62" s="21" t="s">
        <v>656</v>
      </c>
      <c r="AM62" s="21">
        <v>0.0</v>
      </c>
      <c r="AN62" s="21" t="s">
        <v>658</v>
      </c>
      <c r="AO62" s="21" t="s">
        <v>659</v>
      </c>
      <c r="AQ62" s="24">
        <v>44764.45277777778</v>
      </c>
      <c r="AR62" s="24">
        <v>44778.75</v>
      </c>
      <c r="AT62" s="21" t="s">
        <v>659</v>
      </c>
      <c r="AU62" s="21" t="s">
        <v>660</v>
      </c>
      <c r="AV62" s="24">
        <v>44764.43194444444</v>
      </c>
      <c r="AW62" s="21" t="s">
        <v>656</v>
      </c>
      <c r="BC62" s="21" t="s">
        <v>704</v>
      </c>
      <c r="BE62" s="24">
        <v>44764.45277777778</v>
      </c>
      <c r="BF62" s="21" t="s">
        <v>704</v>
      </c>
      <c r="BH62" s="24">
        <v>44764.44375</v>
      </c>
      <c r="BI62" s="21">
        <v>0.0</v>
      </c>
      <c r="BJ62" s="24">
        <v>44764.42361111111</v>
      </c>
      <c r="BK62" s="24">
        <v>44764.46875</v>
      </c>
      <c r="BM62" s="21" t="s">
        <v>662</v>
      </c>
      <c r="BN62" s="21" t="s">
        <v>751</v>
      </c>
      <c r="BO62" s="21">
        <v>71068.0</v>
      </c>
      <c r="BP62" s="21" t="s">
        <v>663</v>
      </c>
      <c r="BQ62" s="21" t="s">
        <v>1354</v>
      </c>
      <c r="BR62" s="21" t="s">
        <v>665</v>
      </c>
      <c r="BT62" s="21" t="s">
        <v>1355</v>
      </c>
      <c r="BU62" s="21">
        <v>2.0101088E7</v>
      </c>
      <c r="BV62" s="21" t="s">
        <v>656</v>
      </c>
      <c r="BW62" s="21" t="s">
        <v>738</v>
      </c>
      <c r="BX62" s="21" t="s">
        <v>739</v>
      </c>
      <c r="BY62" s="21" t="s">
        <v>740</v>
      </c>
      <c r="CA62" s="21">
        <v>204.0</v>
      </c>
      <c r="CB62" s="21" t="s">
        <v>656</v>
      </c>
      <c r="CC62" s="21" t="s">
        <v>656</v>
      </c>
      <c r="CZ62" s="21" t="s">
        <v>671</v>
      </c>
      <c r="DA62" s="21" t="s">
        <v>741</v>
      </c>
      <c r="DB62" s="21" t="s">
        <v>714</v>
      </c>
      <c r="DC62" s="21" t="s">
        <v>715</v>
      </c>
      <c r="DD62" s="21">
        <v>8.625</v>
      </c>
      <c r="DE62" s="21" t="s">
        <v>656</v>
      </c>
      <c r="DF62" s="21">
        <v>0.188</v>
      </c>
      <c r="DG62" s="21">
        <v>52000.0</v>
      </c>
      <c r="DH62" s="21" t="s">
        <v>1039</v>
      </c>
      <c r="DI62" s="21" t="s">
        <v>921</v>
      </c>
      <c r="DK62" s="21" t="s">
        <v>684</v>
      </c>
      <c r="DL62" s="21" t="s">
        <v>824</v>
      </c>
      <c r="DN62" s="21" t="s">
        <v>656</v>
      </c>
      <c r="EO62" s="21">
        <v>2010.0</v>
      </c>
      <c r="EP62" s="21">
        <v>2007.0</v>
      </c>
      <c r="EQ62" s="21" t="s">
        <v>674</v>
      </c>
      <c r="ES62" s="21" t="s">
        <v>744</v>
      </c>
      <c r="EX62" s="21" t="s">
        <v>773</v>
      </c>
      <c r="EZ62" s="21">
        <v>240.0</v>
      </c>
      <c r="FA62" s="21">
        <v>20.0</v>
      </c>
      <c r="FC62" s="21" t="s">
        <v>677</v>
      </c>
      <c r="FD62" s="21" t="s">
        <v>656</v>
      </c>
      <c r="FF62" s="21">
        <v>239.0</v>
      </c>
      <c r="FH62" s="21" t="s">
        <v>656</v>
      </c>
      <c r="FI62" s="21" t="s">
        <v>656</v>
      </c>
      <c r="FL62" s="21" t="s">
        <v>656</v>
      </c>
      <c r="FO62" s="21">
        <v>8000.0</v>
      </c>
      <c r="FP62" s="21">
        <v>57072.0</v>
      </c>
      <c r="FQ62" s="21">
        <v>0.0</v>
      </c>
      <c r="FR62" s="21">
        <v>208500.0</v>
      </c>
      <c r="FS62" s="21">
        <v>0.0</v>
      </c>
      <c r="FT62" s="21">
        <v>0.0</v>
      </c>
      <c r="FV62" s="21">
        <v>6.96</v>
      </c>
      <c r="FW62" s="21">
        <v>273572.0</v>
      </c>
      <c r="FX62" s="21">
        <v>0.0</v>
      </c>
      <c r="FY62" s="21">
        <v>0.0</v>
      </c>
      <c r="FZ62" s="21">
        <v>0.0</v>
      </c>
      <c r="GA62" s="21">
        <v>0.0</v>
      </c>
      <c r="GB62" s="21" t="s">
        <v>656</v>
      </c>
      <c r="GF62" s="21">
        <v>1145.0</v>
      </c>
      <c r="GG62" s="21">
        <v>100.0</v>
      </c>
      <c r="GH62" s="21">
        <v>1440.0</v>
      </c>
      <c r="GI62" s="21" t="s">
        <v>719</v>
      </c>
      <c r="GK62" s="25">
        <v>40238.0</v>
      </c>
      <c r="GL62" s="21" t="s">
        <v>656</v>
      </c>
      <c r="GM62" s="21" t="s">
        <v>679</v>
      </c>
      <c r="GN62" s="21" t="s">
        <v>656</v>
      </c>
      <c r="GQ62" s="21" t="s">
        <v>656</v>
      </c>
      <c r="GS62" s="21" t="s">
        <v>720</v>
      </c>
      <c r="GT62" s="21" t="s">
        <v>720</v>
      </c>
      <c r="GU62" s="21">
        <v>10050.0</v>
      </c>
      <c r="GV62" s="21" t="s">
        <v>659</v>
      </c>
      <c r="HD62" s="21" t="s">
        <v>656</v>
      </c>
      <c r="HK62" s="21" t="s">
        <v>680</v>
      </c>
      <c r="HL62" s="21" t="s">
        <v>656</v>
      </c>
      <c r="HQ62" s="21" t="s">
        <v>806</v>
      </c>
      <c r="HT62" s="21" t="s">
        <v>682</v>
      </c>
      <c r="IH62" s="21" t="s">
        <v>656</v>
      </c>
      <c r="II62" s="21" t="s">
        <v>656</v>
      </c>
      <c r="IN62" s="21" t="s">
        <v>808</v>
      </c>
      <c r="IO62" s="21" t="s">
        <v>1104</v>
      </c>
      <c r="NS62" s="21" t="s">
        <v>1104</v>
      </c>
      <c r="NU62" s="21" t="s">
        <v>659</v>
      </c>
      <c r="OE62" s="21" t="s">
        <v>696</v>
      </c>
      <c r="OF62" s="21" t="s">
        <v>1356</v>
      </c>
      <c r="OK62" s="21" t="s">
        <v>659</v>
      </c>
      <c r="OT62" s="21">
        <v>2102.0</v>
      </c>
      <c r="QW62" s="21" t="s">
        <v>656</v>
      </c>
      <c r="TI62" s="21" t="s">
        <v>659</v>
      </c>
      <c r="TJ62" s="21">
        <v>2019.0</v>
      </c>
      <c r="TK62" s="21">
        <v>1400.0</v>
      </c>
      <c r="TL62" s="21" t="s">
        <v>656</v>
      </c>
      <c r="TZ62" s="21" t="s">
        <v>656</v>
      </c>
      <c r="WL62" s="21" t="s">
        <v>1357</v>
      </c>
      <c r="WM62" s="21" t="s">
        <v>1358</v>
      </c>
      <c r="WN62" s="21" t="s">
        <v>1359</v>
      </c>
      <c r="WO62" s="21" t="s">
        <v>1360</v>
      </c>
      <c r="WT62" s="21" t="s">
        <v>1193</v>
      </c>
      <c r="WU62" s="21" t="s">
        <v>1194</v>
      </c>
      <c r="WV62" s="21" t="s">
        <v>1195</v>
      </c>
      <c r="WW62" s="21" t="s">
        <v>1196</v>
      </c>
      <c r="WX62" s="21" t="s">
        <v>1361</v>
      </c>
    </row>
    <row r="63">
      <c r="A63" s="21">
        <v>367.0</v>
      </c>
      <c r="B63" s="22">
        <v>44782.0</v>
      </c>
      <c r="C63" s="21">
        <v>2022.0</v>
      </c>
      <c r="D63" s="21">
        <v>2.0220081E7</v>
      </c>
      <c r="E63" s="21">
        <v>37237.0</v>
      </c>
      <c r="F63" s="21" t="s">
        <v>778</v>
      </c>
      <c r="G63" s="21">
        <v>15105.0</v>
      </c>
      <c r="H63" s="21" t="s">
        <v>794</v>
      </c>
      <c r="I63" s="21" t="s">
        <v>652</v>
      </c>
      <c r="J63" s="21" t="s">
        <v>653</v>
      </c>
      <c r="K63" s="21" t="s">
        <v>654</v>
      </c>
      <c r="L63" s="21">
        <v>77002.0</v>
      </c>
      <c r="M63" s="23">
        <v>44753.618055555555</v>
      </c>
      <c r="N63" s="21" t="s">
        <v>655</v>
      </c>
      <c r="O63" s="21" t="s">
        <v>659</v>
      </c>
      <c r="P63" s="21">
        <v>39.63406</v>
      </c>
      <c r="Q63" s="21">
        <v>-89.63274</v>
      </c>
      <c r="R63" s="21">
        <v>1341239.0</v>
      </c>
      <c r="S63" s="24">
        <v>44753.697222222225</v>
      </c>
      <c r="T63" s="21">
        <v>1341382.0</v>
      </c>
      <c r="U63" s="21" t="s">
        <v>657</v>
      </c>
      <c r="W63" s="21">
        <v>5928.0</v>
      </c>
      <c r="X63" s="21">
        <v>0.0</v>
      </c>
      <c r="Y63" s="21">
        <v>0.0</v>
      </c>
      <c r="Z63" s="21" t="s">
        <v>656</v>
      </c>
      <c r="AF63" s="21">
        <v>0.0</v>
      </c>
      <c r="AG63" s="21" t="s">
        <v>656</v>
      </c>
      <c r="AM63" s="21">
        <v>0.0</v>
      </c>
      <c r="AN63" s="21" t="s">
        <v>658</v>
      </c>
      <c r="AO63" s="21" t="s">
        <v>659</v>
      </c>
      <c r="AQ63" s="24">
        <v>44753.618055555555</v>
      </c>
      <c r="AR63" s="24">
        <v>44753.645833333336</v>
      </c>
      <c r="AT63" s="21" t="s">
        <v>656</v>
      </c>
      <c r="AW63" s="21" t="s">
        <v>656</v>
      </c>
      <c r="BI63" s="21">
        <v>0.0</v>
      </c>
      <c r="BJ63" s="24">
        <v>44753.618055555555</v>
      </c>
      <c r="BK63" s="24">
        <v>44753.618055555555</v>
      </c>
      <c r="BM63" s="21" t="s">
        <v>662</v>
      </c>
      <c r="BN63" s="21" t="s">
        <v>1291</v>
      </c>
      <c r="BO63" s="21">
        <v>62536.0</v>
      </c>
      <c r="BP63" s="21" t="s">
        <v>1362</v>
      </c>
      <c r="BQ63" s="21" t="s">
        <v>1363</v>
      </c>
      <c r="BR63" s="21" t="s">
        <v>665</v>
      </c>
      <c r="BT63" s="21" t="s">
        <v>1364</v>
      </c>
      <c r="BU63" s="21" t="s">
        <v>1364</v>
      </c>
      <c r="BV63" s="21" t="s">
        <v>656</v>
      </c>
      <c r="BW63" s="21" t="s">
        <v>668</v>
      </c>
      <c r="BX63" s="21" t="s">
        <v>669</v>
      </c>
      <c r="BY63" s="21" t="s">
        <v>670</v>
      </c>
      <c r="CC63" s="21" t="s">
        <v>656</v>
      </c>
      <c r="CZ63" s="21" t="s">
        <v>712</v>
      </c>
      <c r="DA63" s="21" t="s">
        <v>672</v>
      </c>
      <c r="DB63" s="21" t="s">
        <v>830</v>
      </c>
      <c r="EO63" s="21" t="s">
        <v>684</v>
      </c>
      <c r="EP63" s="21" t="s">
        <v>684</v>
      </c>
      <c r="EQ63" s="21" t="s">
        <v>1081</v>
      </c>
      <c r="ER63" s="21" t="s">
        <v>1365</v>
      </c>
      <c r="ES63" s="21" t="s">
        <v>675</v>
      </c>
      <c r="EV63" s="21" t="s">
        <v>676</v>
      </c>
      <c r="FC63" s="21" t="s">
        <v>677</v>
      </c>
      <c r="FD63" s="21" t="s">
        <v>656</v>
      </c>
      <c r="FF63" s="21">
        <v>621.0</v>
      </c>
      <c r="FH63" s="21" t="s">
        <v>656</v>
      </c>
      <c r="FI63" s="21" t="s">
        <v>656</v>
      </c>
      <c r="FL63" s="21" t="s">
        <v>656</v>
      </c>
      <c r="FO63" s="21">
        <v>0.0</v>
      </c>
      <c r="FP63" s="21">
        <v>38117.0</v>
      </c>
      <c r="FQ63" s="21">
        <v>0.0</v>
      </c>
      <c r="FR63" s="21">
        <v>3.0</v>
      </c>
      <c r="FS63" s="21">
        <v>50.0</v>
      </c>
      <c r="FT63" s="21">
        <v>0.0</v>
      </c>
      <c r="FV63" s="21">
        <v>6.43</v>
      </c>
      <c r="FW63" s="21">
        <v>38170.0</v>
      </c>
      <c r="FX63" s="21">
        <v>0.0</v>
      </c>
      <c r="FY63" s="21">
        <v>0.0</v>
      </c>
      <c r="FZ63" s="21">
        <v>0.0</v>
      </c>
      <c r="GA63" s="21">
        <v>0.0</v>
      </c>
      <c r="GB63" s="21" t="s">
        <v>656</v>
      </c>
      <c r="GF63" s="21">
        <v>770.0</v>
      </c>
      <c r="GG63" s="21">
        <v>0.0</v>
      </c>
      <c r="GH63" s="21">
        <v>898.0</v>
      </c>
      <c r="GI63" s="21" t="s">
        <v>719</v>
      </c>
      <c r="GK63" s="25">
        <v>24108.0</v>
      </c>
      <c r="GL63" s="21" t="s">
        <v>656</v>
      </c>
      <c r="GM63" s="21" t="s">
        <v>679</v>
      </c>
      <c r="GN63" s="21" t="s">
        <v>656</v>
      </c>
      <c r="GQ63" s="21" t="s">
        <v>656</v>
      </c>
      <c r="HK63" s="21" t="s">
        <v>721</v>
      </c>
      <c r="HL63" s="21" t="s">
        <v>659</v>
      </c>
      <c r="HM63" s="21" t="s">
        <v>659</v>
      </c>
      <c r="HN63" s="21" t="s">
        <v>659</v>
      </c>
      <c r="HO63" s="21" t="s">
        <v>659</v>
      </c>
      <c r="HP63" s="21" t="s">
        <v>659</v>
      </c>
      <c r="HQ63" s="21" t="s">
        <v>698</v>
      </c>
      <c r="HS63" s="21" t="s">
        <v>699</v>
      </c>
      <c r="HT63" s="21" t="s">
        <v>723</v>
      </c>
      <c r="HU63" s="21" t="s">
        <v>885</v>
      </c>
      <c r="IH63" s="21" t="s">
        <v>656</v>
      </c>
      <c r="II63" s="21" t="s">
        <v>656</v>
      </c>
      <c r="IN63" s="21" t="s">
        <v>761</v>
      </c>
      <c r="IO63" s="21" t="s">
        <v>1324</v>
      </c>
      <c r="OU63" s="21" t="s">
        <v>1324</v>
      </c>
      <c r="PM63" s="21" t="s">
        <v>1366</v>
      </c>
      <c r="QE63" s="21" t="s">
        <v>659</v>
      </c>
      <c r="QF63" s="21" t="s">
        <v>1367</v>
      </c>
      <c r="WL63" s="21" t="s">
        <v>1116</v>
      </c>
      <c r="WM63" s="21" t="s">
        <v>1368</v>
      </c>
      <c r="WN63" s="21" t="s">
        <v>748</v>
      </c>
      <c r="WO63" s="21" t="s">
        <v>1205</v>
      </c>
      <c r="WT63" s="21" t="s">
        <v>945</v>
      </c>
      <c r="WU63" s="21" t="s">
        <v>1144</v>
      </c>
      <c r="WV63" s="21" t="s">
        <v>948</v>
      </c>
      <c r="WW63" s="21" t="s">
        <v>947</v>
      </c>
      <c r="WX63" s="21" t="s">
        <v>1369</v>
      </c>
    </row>
    <row r="64">
      <c r="A64" s="21">
        <v>369.0</v>
      </c>
      <c r="B64" s="22">
        <v>44777.0</v>
      </c>
      <c r="C64" s="21">
        <v>2022.0</v>
      </c>
      <c r="D64" s="21">
        <v>2.0220079E7</v>
      </c>
      <c r="E64" s="21">
        <v>37064.0</v>
      </c>
      <c r="F64" s="21" t="s">
        <v>778</v>
      </c>
      <c r="G64" s="21">
        <v>32099.0</v>
      </c>
      <c r="H64" s="21" t="s">
        <v>651</v>
      </c>
      <c r="I64" s="21" t="s">
        <v>652</v>
      </c>
      <c r="J64" s="21" t="s">
        <v>653</v>
      </c>
      <c r="K64" s="21" t="s">
        <v>654</v>
      </c>
      <c r="L64" s="21">
        <v>77002.0</v>
      </c>
      <c r="M64" s="23">
        <v>44749.44236111111</v>
      </c>
      <c r="N64" s="21" t="s">
        <v>655</v>
      </c>
      <c r="O64" s="21" t="s">
        <v>659</v>
      </c>
      <c r="P64" s="21">
        <v>29.593554</v>
      </c>
      <c r="Q64" s="21">
        <v>-96.029713</v>
      </c>
      <c r="R64" s="21">
        <v>1340839.0</v>
      </c>
      <c r="S64" s="24">
        <v>44749.49652777778</v>
      </c>
      <c r="T64" s="21">
        <v>1341027.0</v>
      </c>
      <c r="U64" s="21" t="s">
        <v>657</v>
      </c>
      <c r="W64" s="21">
        <v>40825.0</v>
      </c>
      <c r="X64" s="21">
        <v>0.0</v>
      </c>
      <c r="Y64" s="21">
        <v>0.0</v>
      </c>
      <c r="Z64" s="21" t="s">
        <v>656</v>
      </c>
      <c r="AF64" s="21">
        <v>0.0</v>
      </c>
      <c r="AG64" s="21" t="s">
        <v>656</v>
      </c>
      <c r="AM64" s="21">
        <v>0.0</v>
      </c>
      <c r="AN64" s="21" t="s">
        <v>658</v>
      </c>
      <c r="AO64" s="21" t="s">
        <v>659</v>
      </c>
      <c r="AQ64" s="24">
        <v>44749.5</v>
      </c>
      <c r="AR64" s="24">
        <v>44751.833333333336</v>
      </c>
      <c r="AT64" s="21" t="s">
        <v>659</v>
      </c>
      <c r="AU64" s="21" t="s">
        <v>660</v>
      </c>
      <c r="AV64" s="24">
        <v>44749.458333333336</v>
      </c>
      <c r="AW64" s="21" t="s">
        <v>659</v>
      </c>
      <c r="AX64" s="24">
        <v>44749.44236111111</v>
      </c>
      <c r="AY64" s="21" t="s">
        <v>765</v>
      </c>
      <c r="BA64" s="21">
        <v>40538.0</v>
      </c>
      <c r="BB64" s="21" t="s">
        <v>659</v>
      </c>
      <c r="BC64" s="21" t="s">
        <v>704</v>
      </c>
      <c r="BE64" s="24">
        <v>44749.458333333336</v>
      </c>
      <c r="BF64" s="21" t="s">
        <v>704</v>
      </c>
      <c r="BH64" s="24">
        <v>44749.5</v>
      </c>
      <c r="BI64" s="21">
        <v>0.0</v>
      </c>
      <c r="BJ64" s="24">
        <v>44749.44236111111</v>
      </c>
      <c r="BK64" s="24">
        <v>44749.489583333336</v>
      </c>
      <c r="BM64" s="21" t="s">
        <v>662</v>
      </c>
      <c r="BN64" s="21" t="s">
        <v>654</v>
      </c>
      <c r="BO64" s="21">
        <v>77485.0</v>
      </c>
      <c r="BP64" s="21" t="s">
        <v>1370</v>
      </c>
      <c r="BQ64" s="21" t="s">
        <v>1371</v>
      </c>
      <c r="BR64" s="21" t="s">
        <v>735</v>
      </c>
      <c r="BS64" s="21" t="s">
        <v>1372</v>
      </c>
      <c r="BT64" s="21" t="s">
        <v>1373</v>
      </c>
      <c r="BU64" s="21" t="s">
        <v>1048</v>
      </c>
      <c r="BV64" s="21" t="s">
        <v>656</v>
      </c>
      <c r="BW64" s="21" t="s">
        <v>738</v>
      </c>
      <c r="BX64" s="21" t="s">
        <v>739</v>
      </c>
      <c r="BY64" s="21" t="s">
        <v>740</v>
      </c>
      <c r="CA64" s="21">
        <v>108.0</v>
      </c>
      <c r="CB64" s="21" t="s">
        <v>656</v>
      </c>
      <c r="CC64" s="21" t="s">
        <v>656</v>
      </c>
      <c r="CZ64" s="21" t="s">
        <v>671</v>
      </c>
      <c r="DA64" s="21" t="s">
        <v>741</v>
      </c>
      <c r="DB64" s="21" t="s">
        <v>714</v>
      </c>
      <c r="DC64" s="21" t="s">
        <v>769</v>
      </c>
      <c r="DD64" s="21">
        <v>24.0</v>
      </c>
      <c r="DF64" s="21">
        <v>0.312</v>
      </c>
      <c r="DG64" s="21">
        <v>52000.0</v>
      </c>
      <c r="DH64" s="21" t="s">
        <v>964</v>
      </c>
      <c r="DI64" s="21" t="s">
        <v>1049</v>
      </c>
      <c r="DK64" s="21" t="s">
        <v>1050</v>
      </c>
      <c r="DL64" s="21" t="s">
        <v>1374</v>
      </c>
      <c r="DN64" s="21" t="s">
        <v>659</v>
      </c>
      <c r="EO64" s="21">
        <v>1960.0</v>
      </c>
      <c r="EP64" s="21">
        <v>1960.0</v>
      </c>
      <c r="EQ64" s="21" t="s">
        <v>674</v>
      </c>
      <c r="ES64" s="21" t="s">
        <v>744</v>
      </c>
      <c r="EX64" s="21" t="s">
        <v>696</v>
      </c>
      <c r="EY64" s="21" t="s">
        <v>1375</v>
      </c>
      <c r="EZ64" s="21">
        <v>227.0</v>
      </c>
      <c r="FA64" s="21">
        <v>75.0</v>
      </c>
      <c r="FC64" s="21" t="s">
        <v>677</v>
      </c>
      <c r="FD64" s="21" t="s">
        <v>656</v>
      </c>
      <c r="FF64" s="21">
        <v>499.0</v>
      </c>
      <c r="FH64" s="21" t="s">
        <v>659</v>
      </c>
      <c r="FI64" s="21" t="s">
        <v>656</v>
      </c>
      <c r="FL64" s="21" t="s">
        <v>656</v>
      </c>
      <c r="FO64" s="21">
        <v>500000.0</v>
      </c>
      <c r="FP64" s="21">
        <v>224946.0</v>
      </c>
      <c r="FQ64" s="21">
        <v>0.0</v>
      </c>
      <c r="FR64" s="21">
        <v>300000.0</v>
      </c>
      <c r="FS64" s="21">
        <v>900.0</v>
      </c>
      <c r="FT64" s="21">
        <v>0.0</v>
      </c>
      <c r="FV64" s="21">
        <v>5.51</v>
      </c>
      <c r="FW64" s="21">
        <v>1025846.0</v>
      </c>
      <c r="FX64" s="21">
        <v>0.0</v>
      </c>
      <c r="FY64" s="21">
        <v>0.0</v>
      </c>
      <c r="FZ64" s="21">
        <v>3.0</v>
      </c>
      <c r="GA64" s="21">
        <v>0.0</v>
      </c>
      <c r="GB64" s="21" t="s">
        <v>656</v>
      </c>
      <c r="GF64" s="21">
        <v>760.0</v>
      </c>
      <c r="GG64" s="21">
        <v>180000.0</v>
      </c>
      <c r="GH64" s="21">
        <v>811.0</v>
      </c>
      <c r="GI64" s="21" t="s">
        <v>719</v>
      </c>
      <c r="GK64" s="25">
        <v>43159.0</v>
      </c>
      <c r="GL64" s="21" t="s">
        <v>656</v>
      </c>
      <c r="GM64" s="21" t="s">
        <v>679</v>
      </c>
      <c r="GN64" s="21" t="s">
        <v>656</v>
      </c>
      <c r="GQ64" s="21" t="s">
        <v>656</v>
      </c>
      <c r="GS64" s="21" t="s">
        <v>1228</v>
      </c>
      <c r="GT64" s="21" t="s">
        <v>720</v>
      </c>
      <c r="GU64" s="21">
        <v>80256.0</v>
      </c>
      <c r="GV64" s="21" t="s">
        <v>659</v>
      </c>
      <c r="HD64" s="21" t="s">
        <v>656</v>
      </c>
      <c r="HK64" s="21" t="s">
        <v>721</v>
      </c>
      <c r="HL64" s="21" t="s">
        <v>659</v>
      </c>
      <c r="HM64" s="21" t="s">
        <v>659</v>
      </c>
      <c r="HN64" s="21" t="s">
        <v>659</v>
      </c>
      <c r="HO64" s="21" t="s">
        <v>659</v>
      </c>
      <c r="HP64" s="21" t="s">
        <v>659</v>
      </c>
      <c r="HQ64" s="21" t="s">
        <v>681</v>
      </c>
      <c r="HT64" s="21" t="s">
        <v>723</v>
      </c>
      <c r="HU64" s="21" t="s">
        <v>1084</v>
      </c>
      <c r="IH64" s="21" t="s">
        <v>656</v>
      </c>
      <c r="II64" s="21" t="s">
        <v>656</v>
      </c>
      <c r="IN64" s="21" t="s">
        <v>725</v>
      </c>
      <c r="IO64" s="21" t="s">
        <v>900</v>
      </c>
      <c r="IP64" s="21" t="s">
        <v>900</v>
      </c>
      <c r="IQ64" s="21" t="s">
        <v>901</v>
      </c>
      <c r="IU64" s="21" t="s">
        <v>659</v>
      </c>
      <c r="IW64" s="21" t="s">
        <v>659</v>
      </c>
      <c r="IZ64" s="21" t="s">
        <v>902</v>
      </c>
      <c r="JA64" s="21" t="s">
        <v>1376</v>
      </c>
      <c r="JC64" s="21" t="s">
        <v>659</v>
      </c>
      <c r="JF64" s="21" t="s">
        <v>659</v>
      </c>
      <c r="JG64" s="21" t="s">
        <v>659</v>
      </c>
      <c r="JH64" s="21">
        <v>1960.0</v>
      </c>
      <c r="JI64" s="21" t="s">
        <v>659</v>
      </c>
      <c r="JJ64" s="21" t="s">
        <v>659</v>
      </c>
      <c r="JL64" s="21" t="s">
        <v>659</v>
      </c>
      <c r="JP64" s="21">
        <v>2011.0</v>
      </c>
      <c r="JS64" s="21" t="s">
        <v>659</v>
      </c>
      <c r="QW64" s="21" t="s">
        <v>659</v>
      </c>
      <c r="QX64" s="21" t="s">
        <v>659</v>
      </c>
      <c r="QY64" s="21" t="s">
        <v>659</v>
      </c>
      <c r="RA64" s="21" t="s">
        <v>659</v>
      </c>
      <c r="RB64" s="21" t="s">
        <v>659</v>
      </c>
      <c r="RE64" s="21">
        <v>2022.0</v>
      </c>
      <c r="RF64" s="21" t="s">
        <v>810</v>
      </c>
      <c r="RG64" s="21" t="s">
        <v>811</v>
      </c>
      <c r="RI64" s="21" t="s">
        <v>812</v>
      </c>
      <c r="RK64" s="21">
        <v>2010.0</v>
      </c>
      <c r="RL64" s="21" t="s">
        <v>810</v>
      </c>
      <c r="RM64" s="21" t="s">
        <v>811</v>
      </c>
      <c r="RO64" s="21" t="s">
        <v>812</v>
      </c>
      <c r="RQ64" s="21">
        <v>2018.0</v>
      </c>
      <c r="RR64" s="21" t="s">
        <v>810</v>
      </c>
      <c r="RS64" s="21" t="s">
        <v>812</v>
      </c>
      <c r="SK64" s="21">
        <v>2018.0</v>
      </c>
      <c r="SL64" s="21" t="s">
        <v>810</v>
      </c>
      <c r="SM64" s="21" t="s">
        <v>812</v>
      </c>
      <c r="SO64" s="21" t="s">
        <v>813</v>
      </c>
      <c r="SP64" s="21">
        <v>2010.0</v>
      </c>
      <c r="SQ64" s="21" t="s">
        <v>810</v>
      </c>
      <c r="SR64" s="21" t="s">
        <v>812</v>
      </c>
      <c r="ST64" s="21" t="s">
        <v>813</v>
      </c>
      <c r="SU64" s="21">
        <v>2018.0</v>
      </c>
      <c r="SV64" s="21" t="s">
        <v>810</v>
      </c>
      <c r="TI64" s="21" t="s">
        <v>656</v>
      </c>
      <c r="TL64" s="21" t="s">
        <v>656</v>
      </c>
      <c r="TZ64" s="21" t="s">
        <v>656</v>
      </c>
      <c r="WL64" s="21" t="s">
        <v>1189</v>
      </c>
      <c r="WM64" s="21" t="s">
        <v>1377</v>
      </c>
      <c r="WN64" s="21" t="s">
        <v>1191</v>
      </c>
      <c r="WO64" s="21" t="s">
        <v>1192</v>
      </c>
      <c r="WT64" s="21" t="s">
        <v>1193</v>
      </c>
      <c r="WU64" s="21" t="s">
        <v>1194</v>
      </c>
      <c r="WV64" s="21" t="s">
        <v>1195</v>
      </c>
      <c r="WW64" s="21" t="s">
        <v>1196</v>
      </c>
      <c r="WX64" s="21" t="s">
        <v>1378</v>
      </c>
    </row>
    <row r="65">
      <c r="A65" s="21">
        <v>373.0</v>
      </c>
      <c r="B65" s="22">
        <v>44768.0</v>
      </c>
      <c r="C65" s="21">
        <v>2022.0</v>
      </c>
      <c r="D65" s="21">
        <v>2.0220073E7</v>
      </c>
      <c r="E65" s="21">
        <v>37839.0</v>
      </c>
      <c r="F65" s="21" t="s">
        <v>778</v>
      </c>
      <c r="G65" s="21">
        <v>32099.0</v>
      </c>
      <c r="H65" s="21" t="s">
        <v>651</v>
      </c>
      <c r="I65" s="21" t="s">
        <v>652</v>
      </c>
      <c r="J65" s="21" t="s">
        <v>653</v>
      </c>
      <c r="K65" s="21" t="s">
        <v>654</v>
      </c>
      <c r="L65" s="21">
        <v>77002.0</v>
      </c>
      <c r="M65" s="23">
        <v>44739.455555555556</v>
      </c>
      <c r="N65" s="21" t="s">
        <v>655</v>
      </c>
      <c r="O65" s="21" t="s">
        <v>659</v>
      </c>
      <c r="P65" s="21">
        <v>31.903637</v>
      </c>
      <c r="Q65" s="21">
        <v>-93.706292</v>
      </c>
      <c r="R65" s="21">
        <v>1339910.0</v>
      </c>
      <c r="S65" s="24">
        <v>44739.48402777778</v>
      </c>
      <c r="T65" s="21">
        <v>1340030.0</v>
      </c>
      <c r="U65" s="21" t="s">
        <v>657</v>
      </c>
      <c r="W65" s="21">
        <v>7640.0</v>
      </c>
      <c r="X65" s="21">
        <v>0.0</v>
      </c>
      <c r="Y65" s="21">
        <v>0.0</v>
      </c>
      <c r="Z65" s="21" t="s">
        <v>656</v>
      </c>
      <c r="AF65" s="21">
        <v>0.0</v>
      </c>
      <c r="AG65" s="21" t="s">
        <v>656</v>
      </c>
      <c r="AM65" s="21">
        <v>0.0</v>
      </c>
      <c r="AN65" s="21" t="s">
        <v>658</v>
      </c>
      <c r="AO65" s="21" t="s">
        <v>659</v>
      </c>
      <c r="AQ65" s="24">
        <v>44739.50277777778</v>
      </c>
      <c r="AR65" s="24">
        <v>44745.020833333336</v>
      </c>
      <c r="AT65" s="21" t="s">
        <v>659</v>
      </c>
      <c r="AU65" s="21" t="s">
        <v>660</v>
      </c>
      <c r="AV65" s="24">
        <v>44739.47152777778</v>
      </c>
      <c r="AW65" s="21" t="s">
        <v>659</v>
      </c>
      <c r="AX65" s="24">
        <v>44739.455555555556</v>
      </c>
      <c r="AY65" s="21" t="s">
        <v>765</v>
      </c>
      <c r="BA65" s="21">
        <v>7640.0</v>
      </c>
      <c r="BB65" s="21" t="s">
        <v>659</v>
      </c>
      <c r="BC65" s="21" t="s">
        <v>704</v>
      </c>
      <c r="BE65" s="24">
        <v>44739.455555555556</v>
      </c>
      <c r="BF65" s="21" t="s">
        <v>704</v>
      </c>
      <c r="BH65" s="24">
        <v>44739.50277777778</v>
      </c>
      <c r="BI65" s="21">
        <v>35.0</v>
      </c>
      <c r="BJ65" s="24">
        <v>44739.46319444444</v>
      </c>
      <c r="BK65" s="24">
        <v>44739.54861111111</v>
      </c>
      <c r="BM65" s="21" t="s">
        <v>662</v>
      </c>
      <c r="BN65" s="21" t="s">
        <v>751</v>
      </c>
      <c r="BO65" s="21">
        <v>71052.0</v>
      </c>
      <c r="BP65" s="21" t="s">
        <v>1379</v>
      </c>
      <c r="BQ65" s="21" t="s">
        <v>1380</v>
      </c>
      <c r="BR65" s="21" t="s">
        <v>665</v>
      </c>
      <c r="BT65" s="21" t="s">
        <v>1381</v>
      </c>
      <c r="BU65" s="21">
        <v>2.0104059E7</v>
      </c>
      <c r="BV65" s="21" t="s">
        <v>656</v>
      </c>
      <c r="BW65" s="21" t="s">
        <v>738</v>
      </c>
      <c r="BX65" s="21" t="s">
        <v>739</v>
      </c>
      <c r="BY65" s="21" t="s">
        <v>740</v>
      </c>
      <c r="CA65" s="21">
        <v>60.0</v>
      </c>
      <c r="CB65" s="21" t="s">
        <v>656</v>
      </c>
      <c r="CC65" s="21" t="s">
        <v>656</v>
      </c>
      <c r="CZ65" s="21" t="s">
        <v>671</v>
      </c>
      <c r="DA65" s="21" t="s">
        <v>741</v>
      </c>
      <c r="DB65" s="21" t="s">
        <v>714</v>
      </c>
      <c r="DC65" s="21" t="s">
        <v>715</v>
      </c>
      <c r="DD65" s="21">
        <v>10.75</v>
      </c>
      <c r="DE65" s="21" t="s">
        <v>656</v>
      </c>
      <c r="DF65" s="21">
        <v>0.25</v>
      </c>
      <c r="DG65" s="21">
        <v>52000.0</v>
      </c>
      <c r="DH65" s="21" t="s">
        <v>1039</v>
      </c>
      <c r="DI65" s="21" t="s">
        <v>771</v>
      </c>
      <c r="DK65" s="21" t="s">
        <v>1382</v>
      </c>
      <c r="DL65" s="21" t="s">
        <v>824</v>
      </c>
      <c r="DN65" s="21" t="s">
        <v>656</v>
      </c>
      <c r="EO65" s="21">
        <v>2011.0</v>
      </c>
      <c r="EP65" s="21">
        <v>2010.0</v>
      </c>
      <c r="EQ65" s="21" t="s">
        <v>674</v>
      </c>
      <c r="ES65" s="21" t="s">
        <v>744</v>
      </c>
      <c r="EX65" s="21" t="s">
        <v>773</v>
      </c>
      <c r="EZ65" s="21">
        <v>60.0</v>
      </c>
      <c r="FA65" s="21">
        <v>33.0</v>
      </c>
      <c r="FC65" s="21" t="s">
        <v>677</v>
      </c>
      <c r="FD65" s="21" t="s">
        <v>656</v>
      </c>
      <c r="FF65" s="21">
        <v>297.0</v>
      </c>
      <c r="FH65" s="21" t="s">
        <v>656</v>
      </c>
      <c r="FI65" s="21" t="s">
        <v>656</v>
      </c>
      <c r="FL65" s="21" t="s">
        <v>656</v>
      </c>
      <c r="FO65" s="21">
        <v>5000.0</v>
      </c>
      <c r="FP65" s="21">
        <v>58828.0</v>
      </c>
      <c r="FQ65" s="21">
        <v>0.0</v>
      </c>
      <c r="FR65" s="21">
        <v>350000.0</v>
      </c>
      <c r="FS65" s="21">
        <v>10000.0</v>
      </c>
      <c r="FT65" s="21">
        <v>0.0</v>
      </c>
      <c r="FV65" s="21">
        <v>7.7</v>
      </c>
      <c r="FW65" s="21">
        <v>423828.0</v>
      </c>
      <c r="FX65" s="21">
        <v>0.0</v>
      </c>
      <c r="FY65" s="21">
        <v>0.0</v>
      </c>
      <c r="FZ65" s="21">
        <v>6.0</v>
      </c>
      <c r="GA65" s="21">
        <v>0.0</v>
      </c>
      <c r="GB65" s="21" t="s">
        <v>656</v>
      </c>
      <c r="GF65" s="21">
        <v>1100.0</v>
      </c>
      <c r="GG65" s="21">
        <v>100.0</v>
      </c>
      <c r="GH65" s="21">
        <v>1200.0</v>
      </c>
      <c r="GI65" s="21" t="s">
        <v>774</v>
      </c>
      <c r="GK65" s="25">
        <v>40544.0</v>
      </c>
      <c r="GL65" s="21" t="s">
        <v>656</v>
      </c>
      <c r="GM65" s="21" t="s">
        <v>679</v>
      </c>
      <c r="GN65" s="21" t="s">
        <v>656</v>
      </c>
      <c r="GQ65" s="21" t="s">
        <v>656</v>
      </c>
      <c r="GS65" s="21" t="s">
        <v>1228</v>
      </c>
      <c r="GT65" s="21" t="s">
        <v>720</v>
      </c>
      <c r="GU65" s="21">
        <v>61776.0</v>
      </c>
      <c r="GV65" s="21" t="s">
        <v>659</v>
      </c>
      <c r="HD65" s="21" t="s">
        <v>656</v>
      </c>
      <c r="HK65" s="21" t="s">
        <v>680</v>
      </c>
      <c r="HL65" s="21" t="s">
        <v>659</v>
      </c>
      <c r="HM65" s="21" t="s">
        <v>659</v>
      </c>
      <c r="HN65" s="21" t="s">
        <v>659</v>
      </c>
      <c r="HO65" s="21" t="s">
        <v>656</v>
      </c>
      <c r="HP65" s="21" t="s">
        <v>659</v>
      </c>
      <c r="HQ65" s="21" t="s">
        <v>806</v>
      </c>
      <c r="HT65" s="21" t="s">
        <v>723</v>
      </c>
      <c r="HU65" s="21" t="s">
        <v>1383</v>
      </c>
      <c r="IH65" s="21" t="s">
        <v>656</v>
      </c>
      <c r="II65" s="21" t="s">
        <v>656</v>
      </c>
      <c r="IN65" s="21" t="s">
        <v>808</v>
      </c>
      <c r="IO65" s="21" t="s">
        <v>1104</v>
      </c>
      <c r="NS65" s="21" t="s">
        <v>1104</v>
      </c>
      <c r="NU65" s="21" t="s">
        <v>659</v>
      </c>
      <c r="OE65" s="21" t="s">
        <v>696</v>
      </c>
      <c r="OF65" s="21" t="s">
        <v>1356</v>
      </c>
      <c r="OK65" s="21" t="s">
        <v>659</v>
      </c>
      <c r="OT65" s="21" t="s">
        <v>684</v>
      </c>
      <c r="QW65" s="21" t="s">
        <v>656</v>
      </c>
      <c r="TI65" s="21" t="s">
        <v>656</v>
      </c>
      <c r="TL65" s="21" t="s">
        <v>656</v>
      </c>
      <c r="TZ65" s="21" t="s">
        <v>656</v>
      </c>
      <c r="WL65" s="21" t="s">
        <v>1357</v>
      </c>
      <c r="WM65" s="21" t="s">
        <v>1384</v>
      </c>
      <c r="WN65" s="21" t="s">
        <v>1359</v>
      </c>
      <c r="WO65" s="21">
        <v>9.032436541E9</v>
      </c>
      <c r="WT65" s="21" t="s">
        <v>1193</v>
      </c>
      <c r="WU65" s="21" t="s">
        <v>1194</v>
      </c>
      <c r="WV65" s="21">
        <v>7.139897077E9</v>
      </c>
      <c r="WW65" s="21" t="s">
        <v>1196</v>
      </c>
      <c r="WX65" s="21" t="s">
        <v>1385</v>
      </c>
    </row>
    <row r="66">
      <c r="A66" s="21">
        <v>377.0</v>
      </c>
      <c r="B66" s="22">
        <v>44757.0</v>
      </c>
      <c r="C66" s="21">
        <v>2022.0</v>
      </c>
      <c r="D66" s="21">
        <v>2.0220069E7</v>
      </c>
      <c r="E66" s="21">
        <v>37022.0</v>
      </c>
      <c r="F66" s="21" t="s">
        <v>778</v>
      </c>
      <c r="G66" s="21">
        <v>18152.0</v>
      </c>
      <c r="H66" s="21" t="s">
        <v>702</v>
      </c>
      <c r="I66" s="21" t="s">
        <v>652</v>
      </c>
      <c r="J66" s="21" t="s">
        <v>653</v>
      </c>
      <c r="K66" s="21" t="s">
        <v>654</v>
      </c>
      <c r="L66" s="21">
        <v>77002.0</v>
      </c>
      <c r="M66" s="23">
        <v>44730.43402777778</v>
      </c>
      <c r="N66" s="21" t="s">
        <v>655</v>
      </c>
      <c r="O66" s="21" t="s">
        <v>659</v>
      </c>
      <c r="P66" s="21">
        <v>28.31616</v>
      </c>
      <c r="Q66" s="21">
        <v>-91.90833</v>
      </c>
      <c r="R66" s="21">
        <v>1339148.0</v>
      </c>
      <c r="S66" s="24">
        <v>44730.55902777778</v>
      </c>
      <c r="T66" s="21">
        <v>1339250.0</v>
      </c>
      <c r="U66" s="21" t="s">
        <v>657</v>
      </c>
      <c r="W66" s="21">
        <v>24.9</v>
      </c>
      <c r="X66" s="21">
        <v>0.0</v>
      </c>
      <c r="Y66" s="21">
        <v>0.0</v>
      </c>
      <c r="Z66" s="21" t="s">
        <v>656</v>
      </c>
      <c r="AF66" s="21">
        <v>0.0</v>
      </c>
      <c r="AG66" s="21" t="s">
        <v>656</v>
      </c>
      <c r="AM66" s="21">
        <v>0.0</v>
      </c>
      <c r="AN66" s="21" t="s">
        <v>658</v>
      </c>
      <c r="AO66" s="21" t="s">
        <v>659</v>
      </c>
      <c r="AQ66" s="24">
        <v>44730.541666666664</v>
      </c>
      <c r="AR66" s="24">
        <v>44796.69375</v>
      </c>
      <c r="AT66" s="21" t="s">
        <v>659</v>
      </c>
      <c r="AU66" s="21" t="s">
        <v>661</v>
      </c>
      <c r="AV66" s="24">
        <v>44730.61597222222</v>
      </c>
      <c r="AW66" s="21" t="s">
        <v>656</v>
      </c>
      <c r="BC66" s="21" t="s">
        <v>704</v>
      </c>
      <c r="BE66" s="24">
        <v>44730.541666666664</v>
      </c>
      <c r="BF66" s="21" t="s">
        <v>704</v>
      </c>
      <c r="BH66" s="24">
        <v>44730.541666666664</v>
      </c>
      <c r="BI66" s="21">
        <v>0.0</v>
      </c>
      <c r="BJ66" s="24">
        <v>44734.4375</v>
      </c>
      <c r="BK66" s="24">
        <v>44730.541666666664</v>
      </c>
      <c r="BM66" s="21" t="s">
        <v>705</v>
      </c>
      <c r="BT66" s="21" t="s">
        <v>1386</v>
      </c>
      <c r="BU66" s="21" t="s">
        <v>1387</v>
      </c>
      <c r="CP66" s="21">
        <v>220.0</v>
      </c>
      <c r="CQ66" s="21" t="s">
        <v>708</v>
      </c>
      <c r="CV66" s="21" t="s">
        <v>997</v>
      </c>
      <c r="CW66" s="21" t="s">
        <v>1388</v>
      </c>
      <c r="CX66" s="21" t="s">
        <v>1389</v>
      </c>
      <c r="CY66" s="21" t="s">
        <v>711</v>
      </c>
      <c r="CZ66" s="21" t="s">
        <v>712</v>
      </c>
      <c r="DA66" s="21" t="s">
        <v>713</v>
      </c>
      <c r="DB66" s="21" t="s">
        <v>756</v>
      </c>
      <c r="EH66" s="21" t="s">
        <v>757</v>
      </c>
      <c r="EI66" s="21" t="s">
        <v>758</v>
      </c>
      <c r="EK66" s="21" t="s">
        <v>1390</v>
      </c>
      <c r="EO66" s="21">
        <v>2007.0</v>
      </c>
      <c r="EP66" s="21" t="s">
        <v>684</v>
      </c>
      <c r="EQ66" s="21" t="s">
        <v>674</v>
      </c>
      <c r="ES66" s="21" t="s">
        <v>675</v>
      </c>
      <c r="EV66" s="21" t="s">
        <v>1083</v>
      </c>
      <c r="FC66" s="21" t="s">
        <v>677</v>
      </c>
      <c r="FD66" s="21" t="s">
        <v>656</v>
      </c>
      <c r="FF66" s="21">
        <v>598.0</v>
      </c>
      <c r="FH66" s="21" t="s">
        <v>656</v>
      </c>
      <c r="FI66" s="21" t="s">
        <v>656</v>
      </c>
      <c r="FL66" s="21" t="s">
        <v>656</v>
      </c>
      <c r="FO66" s="21">
        <v>0.0</v>
      </c>
      <c r="FP66" s="21">
        <v>184.0</v>
      </c>
      <c r="FQ66" s="21">
        <v>0.0</v>
      </c>
      <c r="FR66" s="21">
        <v>500000.0</v>
      </c>
      <c r="FS66" s="21">
        <v>20000.0</v>
      </c>
      <c r="FT66" s="21">
        <v>0.0</v>
      </c>
      <c r="FV66" s="21">
        <v>7.37</v>
      </c>
      <c r="FW66" s="21">
        <v>520184.0</v>
      </c>
      <c r="FX66" s="21">
        <v>0.0</v>
      </c>
      <c r="FY66" s="21">
        <v>0.0</v>
      </c>
      <c r="FZ66" s="21">
        <v>0.0</v>
      </c>
      <c r="GA66" s="21">
        <v>0.0</v>
      </c>
      <c r="GB66" s="21" t="s">
        <v>656</v>
      </c>
      <c r="GF66" s="21">
        <v>735.0</v>
      </c>
      <c r="GG66" s="21">
        <v>48.0</v>
      </c>
      <c r="GH66" s="21">
        <v>1306.0</v>
      </c>
      <c r="GI66" s="21" t="s">
        <v>719</v>
      </c>
      <c r="GK66" s="25">
        <v>39174.0</v>
      </c>
      <c r="GL66" s="21" t="s">
        <v>656</v>
      </c>
      <c r="GM66" s="21" t="s">
        <v>679</v>
      </c>
      <c r="GN66" s="21" t="s">
        <v>656</v>
      </c>
      <c r="GQ66" s="21" t="s">
        <v>656</v>
      </c>
      <c r="GS66" s="21" t="s">
        <v>720</v>
      </c>
      <c r="GT66" s="21" t="s">
        <v>720</v>
      </c>
      <c r="GU66" s="21">
        <v>252912.0</v>
      </c>
      <c r="GV66" s="21" t="s">
        <v>656</v>
      </c>
      <c r="GY66" s="21" t="s">
        <v>659</v>
      </c>
      <c r="HD66" s="21" t="s">
        <v>656</v>
      </c>
      <c r="HK66" s="21" t="s">
        <v>721</v>
      </c>
      <c r="HL66" s="21" t="s">
        <v>659</v>
      </c>
      <c r="HM66" s="21" t="s">
        <v>659</v>
      </c>
      <c r="HN66" s="21" t="s">
        <v>659</v>
      </c>
      <c r="HO66" s="21" t="s">
        <v>656</v>
      </c>
      <c r="HP66" s="21" t="s">
        <v>656</v>
      </c>
      <c r="HQ66" s="21" t="s">
        <v>696</v>
      </c>
      <c r="HR66" s="21" t="s">
        <v>1391</v>
      </c>
      <c r="HT66" s="21" t="s">
        <v>723</v>
      </c>
      <c r="HU66" s="21" t="s">
        <v>724</v>
      </c>
      <c r="IH66" s="21" t="s">
        <v>656</v>
      </c>
      <c r="II66" s="21" t="s">
        <v>656</v>
      </c>
      <c r="IN66" s="21" t="s">
        <v>761</v>
      </c>
      <c r="IO66" s="21" t="s">
        <v>1085</v>
      </c>
      <c r="OU66" s="21" t="s">
        <v>1085</v>
      </c>
      <c r="PK66" s="21" t="s">
        <v>696</v>
      </c>
      <c r="PL66" s="21" t="s">
        <v>1392</v>
      </c>
      <c r="QE66" s="21" t="s">
        <v>659</v>
      </c>
      <c r="QF66" s="21" t="s">
        <v>1393</v>
      </c>
      <c r="WL66" s="21" t="s">
        <v>729</v>
      </c>
      <c r="WM66" s="21" t="s">
        <v>1143</v>
      </c>
      <c r="WN66" s="21" t="s">
        <v>731</v>
      </c>
      <c r="WO66" s="21">
        <v>4.092023088E9</v>
      </c>
      <c r="WT66" s="21" t="s">
        <v>1193</v>
      </c>
      <c r="WU66" s="21" t="s">
        <v>1194</v>
      </c>
      <c r="WV66" s="21" t="s">
        <v>1195</v>
      </c>
      <c r="WW66" s="21" t="s">
        <v>1196</v>
      </c>
      <c r="WX66" s="21" t="s">
        <v>1394</v>
      </c>
    </row>
    <row r="67">
      <c r="A67" s="21">
        <v>382.0</v>
      </c>
      <c r="B67" s="22">
        <v>44755.0</v>
      </c>
      <c r="C67" s="21">
        <v>2022.0</v>
      </c>
      <c r="D67" s="21">
        <v>2.0220067E7</v>
      </c>
      <c r="E67" s="21">
        <v>37985.0</v>
      </c>
      <c r="F67" s="21" t="s">
        <v>778</v>
      </c>
      <c r="G67" s="21">
        <v>32099.0</v>
      </c>
      <c r="H67" s="21" t="s">
        <v>651</v>
      </c>
      <c r="I67" s="21" t="s">
        <v>652</v>
      </c>
      <c r="J67" s="21" t="s">
        <v>653</v>
      </c>
      <c r="K67" s="21" t="s">
        <v>654</v>
      </c>
      <c r="L67" s="21">
        <v>77002.0</v>
      </c>
      <c r="M67" s="23">
        <v>44714.3125</v>
      </c>
      <c r="N67" s="21" t="s">
        <v>655</v>
      </c>
      <c r="O67" s="21" t="s">
        <v>659</v>
      </c>
      <c r="P67" s="21">
        <v>31.786444</v>
      </c>
      <c r="Q67" s="21">
        <v>-103.061385</v>
      </c>
      <c r="R67" s="21">
        <v>1338703.0</v>
      </c>
      <c r="S67" s="24">
        <v>44726.368055555555</v>
      </c>
      <c r="T67" s="21">
        <v>1338920.0</v>
      </c>
      <c r="U67" s="21" t="s">
        <v>657</v>
      </c>
      <c r="W67" s="21">
        <v>1667.0</v>
      </c>
      <c r="X67" s="21">
        <v>0.0</v>
      </c>
      <c r="Y67" s="21">
        <v>0.28</v>
      </c>
      <c r="Z67" s="21" t="s">
        <v>656</v>
      </c>
      <c r="AF67" s="21">
        <v>0.0</v>
      </c>
      <c r="AG67" s="21" t="s">
        <v>656</v>
      </c>
      <c r="AM67" s="21">
        <v>0.0</v>
      </c>
      <c r="AN67" s="21" t="s">
        <v>658</v>
      </c>
      <c r="AO67" s="21" t="s">
        <v>659</v>
      </c>
      <c r="AQ67" s="24">
        <v>44714.3125</v>
      </c>
      <c r="AR67" s="24">
        <v>44751.5</v>
      </c>
      <c r="AT67" s="21" t="s">
        <v>656</v>
      </c>
      <c r="AW67" s="21" t="s">
        <v>656</v>
      </c>
      <c r="BC67" s="21" t="s">
        <v>704</v>
      </c>
      <c r="BE67" s="24">
        <v>44714.333333333336</v>
      </c>
      <c r="BF67" s="21" t="s">
        <v>704</v>
      </c>
      <c r="BH67" s="24">
        <v>44714.354166666664</v>
      </c>
      <c r="BI67" s="21">
        <v>0.0</v>
      </c>
      <c r="BJ67" s="24">
        <v>44714.3125</v>
      </c>
      <c r="BK67" s="24">
        <v>44714.3125</v>
      </c>
      <c r="BM67" s="21" t="s">
        <v>662</v>
      </c>
      <c r="BN67" s="21" t="s">
        <v>654</v>
      </c>
      <c r="BO67" s="21">
        <v>79745.0</v>
      </c>
      <c r="BP67" s="21" t="s">
        <v>1395</v>
      </c>
      <c r="BQ67" s="21" t="s">
        <v>1396</v>
      </c>
      <c r="BR67" s="21" t="s">
        <v>892</v>
      </c>
      <c r="BS67" s="21" t="s">
        <v>1397</v>
      </c>
      <c r="BT67" s="21" t="s">
        <v>1398</v>
      </c>
      <c r="BU67" s="21">
        <v>9.9991001E7</v>
      </c>
      <c r="BV67" s="21" t="s">
        <v>656</v>
      </c>
      <c r="BW67" s="21" t="s">
        <v>738</v>
      </c>
      <c r="BX67" s="21" t="s">
        <v>739</v>
      </c>
      <c r="BY67" s="21" t="s">
        <v>740</v>
      </c>
      <c r="CA67" s="21">
        <v>42.0</v>
      </c>
      <c r="CB67" s="21" t="s">
        <v>656</v>
      </c>
      <c r="CC67" s="21" t="s">
        <v>656</v>
      </c>
      <c r="CZ67" s="21" t="s">
        <v>671</v>
      </c>
      <c r="DA67" s="21" t="s">
        <v>741</v>
      </c>
      <c r="DB67" s="21" t="s">
        <v>714</v>
      </c>
      <c r="DC67" s="21" t="s">
        <v>715</v>
      </c>
      <c r="DD67" s="21">
        <v>10.0</v>
      </c>
      <c r="DE67" s="21" t="s">
        <v>656</v>
      </c>
      <c r="DF67" s="21">
        <v>0.25</v>
      </c>
      <c r="DG67" s="21">
        <v>42000.0</v>
      </c>
      <c r="DH67" s="21" t="s">
        <v>684</v>
      </c>
      <c r="DI67" s="21" t="s">
        <v>742</v>
      </c>
      <c r="DK67" s="21" t="s">
        <v>684</v>
      </c>
      <c r="DL67" s="21" t="s">
        <v>824</v>
      </c>
      <c r="DN67" s="21" t="s">
        <v>656</v>
      </c>
      <c r="EO67" s="21">
        <v>2010.0</v>
      </c>
      <c r="EP67" s="21" t="s">
        <v>684</v>
      </c>
      <c r="EQ67" s="21" t="s">
        <v>674</v>
      </c>
      <c r="ES67" s="21" t="s">
        <v>744</v>
      </c>
      <c r="EX67" s="21" t="s">
        <v>773</v>
      </c>
      <c r="EZ67" s="21">
        <v>70.0</v>
      </c>
      <c r="FA67" s="21">
        <v>31.5</v>
      </c>
      <c r="FC67" s="21" t="s">
        <v>677</v>
      </c>
      <c r="FD67" s="21" t="s">
        <v>656</v>
      </c>
      <c r="FF67" s="21">
        <v>199.0</v>
      </c>
      <c r="FH67" s="21" t="s">
        <v>656</v>
      </c>
      <c r="FI67" s="21" t="s">
        <v>656</v>
      </c>
      <c r="FL67" s="21" t="s">
        <v>656</v>
      </c>
      <c r="FO67" s="21">
        <v>0.0</v>
      </c>
      <c r="FP67" s="21">
        <v>14153.0</v>
      </c>
      <c r="FQ67" s="21">
        <v>0.0</v>
      </c>
      <c r="FR67" s="21">
        <v>498000.0</v>
      </c>
      <c r="FS67" s="21">
        <v>2000.0</v>
      </c>
      <c r="FT67" s="21">
        <v>0.0</v>
      </c>
      <c r="FV67" s="21">
        <v>8.49</v>
      </c>
      <c r="FW67" s="21">
        <v>514153.0</v>
      </c>
      <c r="FX67" s="21">
        <v>0.0</v>
      </c>
      <c r="FY67" s="21">
        <v>0.0</v>
      </c>
      <c r="FZ67" s="21">
        <v>0.0</v>
      </c>
      <c r="GA67" s="21">
        <v>0.0</v>
      </c>
      <c r="GB67" s="21" t="s">
        <v>656</v>
      </c>
      <c r="GF67" s="21">
        <v>552.0</v>
      </c>
      <c r="GG67" s="21">
        <v>9.0</v>
      </c>
      <c r="GH67" s="21">
        <v>720.0</v>
      </c>
      <c r="GI67" s="21" t="s">
        <v>719</v>
      </c>
      <c r="GK67" s="25">
        <v>40466.0</v>
      </c>
      <c r="GL67" s="21" t="s">
        <v>656</v>
      </c>
      <c r="GM67" s="21" t="s">
        <v>679</v>
      </c>
      <c r="GN67" s="21" t="s">
        <v>656</v>
      </c>
      <c r="GQ67" s="21" t="s">
        <v>656</v>
      </c>
      <c r="GS67" s="21" t="s">
        <v>720</v>
      </c>
      <c r="GT67" s="21" t="s">
        <v>720</v>
      </c>
      <c r="GU67" s="21">
        <v>61248.0</v>
      </c>
      <c r="GV67" s="21" t="s">
        <v>659</v>
      </c>
      <c r="HD67" s="21" t="s">
        <v>656</v>
      </c>
      <c r="HK67" s="21" t="s">
        <v>680</v>
      </c>
      <c r="HL67" s="21" t="s">
        <v>659</v>
      </c>
      <c r="HM67" s="21" t="s">
        <v>659</v>
      </c>
      <c r="HN67" s="21" t="s">
        <v>659</v>
      </c>
      <c r="HO67" s="21" t="s">
        <v>659</v>
      </c>
      <c r="HP67" s="21" t="s">
        <v>659</v>
      </c>
      <c r="HQ67" s="21" t="s">
        <v>696</v>
      </c>
      <c r="HR67" s="21" t="s">
        <v>1399</v>
      </c>
      <c r="HT67" s="21" t="s">
        <v>723</v>
      </c>
      <c r="HU67" s="21" t="s">
        <v>885</v>
      </c>
      <c r="IH67" s="21" t="s">
        <v>656</v>
      </c>
      <c r="II67" s="21" t="s">
        <v>656</v>
      </c>
      <c r="IN67" s="21" t="s">
        <v>725</v>
      </c>
      <c r="IO67" s="21" t="s">
        <v>726</v>
      </c>
      <c r="IP67" s="21" t="s">
        <v>726</v>
      </c>
      <c r="JT67" s="21" t="s">
        <v>901</v>
      </c>
      <c r="JZ67" s="21" t="s">
        <v>659</v>
      </c>
      <c r="KA67" s="21" t="s">
        <v>1400</v>
      </c>
      <c r="KC67" s="21" t="s">
        <v>659</v>
      </c>
      <c r="KJ67" s="21" t="s">
        <v>659</v>
      </c>
      <c r="KK67" s="21" t="s">
        <v>1400</v>
      </c>
      <c r="KL67" s="21" t="s">
        <v>659</v>
      </c>
      <c r="KM67" s="21" t="s">
        <v>656</v>
      </c>
      <c r="KN67" s="21" t="s">
        <v>659</v>
      </c>
      <c r="KO67" s="21" t="s">
        <v>659</v>
      </c>
      <c r="QW67" s="21" t="s">
        <v>659</v>
      </c>
      <c r="QX67" s="21" t="s">
        <v>659</v>
      </c>
      <c r="RA67" s="21" t="s">
        <v>659</v>
      </c>
      <c r="RE67" s="21">
        <v>2019.0</v>
      </c>
      <c r="RF67" s="21" t="s">
        <v>810</v>
      </c>
      <c r="RG67" s="21" t="s">
        <v>811</v>
      </c>
      <c r="RI67" s="21" t="s">
        <v>812</v>
      </c>
      <c r="RK67" s="21">
        <v>2012.0</v>
      </c>
      <c r="RL67" s="21" t="s">
        <v>810</v>
      </c>
      <c r="RM67" s="21" t="s">
        <v>811</v>
      </c>
      <c r="RO67" s="21" t="s">
        <v>812</v>
      </c>
      <c r="SK67" s="21">
        <v>2019.0</v>
      </c>
      <c r="SL67" s="21" t="s">
        <v>810</v>
      </c>
      <c r="SM67" s="21" t="s">
        <v>1106</v>
      </c>
      <c r="SO67" s="21" t="s">
        <v>813</v>
      </c>
      <c r="SP67" s="21">
        <v>2012.0</v>
      </c>
      <c r="SQ67" s="21" t="s">
        <v>810</v>
      </c>
      <c r="SR67" s="21" t="s">
        <v>812</v>
      </c>
      <c r="ST67" s="21" t="s">
        <v>813</v>
      </c>
      <c r="TI67" s="21" t="s">
        <v>656</v>
      </c>
      <c r="TL67" s="21" t="s">
        <v>656</v>
      </c>
      <c r="TZ67" s="21" t="s">
        <v>656</v>
      </c>
      <c r="WL67" s="21" t="s">
        <v>746</v>
      </c>
      <c r="WM67" s="21" t="s">
        <v>1041</v>
      </c>
      <c r="WN67" s="21" t="s">
        <v>1401</v>
      </c>
      <c r="WO67" s="21">
        <v>7.139894464E9</v>
      </c>
      <c r="WT67" s="21" t="s">
        <v>1193</v>
      </c>
      <c r="WU67" s="21" t="s">
        <v>1194</v>
      </c>
      <c r="WV67" s="21">
        <v>9.795319036E9</v>
      </c>
      <c r="WW67" s="21" t="s">
        <v>1196</v>
      </c>
      <c r="WX67" s="21" t="s">
        <v>1402</v>
      </c>
    </row>
    <row r="68">
      <c r="A68" s="21">
        <v>384.0</v>
      </c>
      <c r="B68" s="22">
        <v>44733.0</v>
      </c>
      <c r="C68" s="21">
        <v>2022.0</v>
      </c>
      <c r="D68" s="21">
        <v>2.0220063E7</v>
      </c>
      <c r="E68" s="21">
        <v>37364.0</v>
      </c>
      <c r="F68" s="21" t="s">
        <v>778</v>
      </c>
      <c r="G68" s="21">
        <v>602.0</v>
      </c>
      <c r="H68" s="21" t="s">
        <v>859</v>
      </c>
      <c r="I68" s="21" t="s">
        <v>652</v>
      </c>
      <c r="J68" s="21" t="s">
        <v>653</v>
      </c>
      <c r="K68" s="21" t="s">
        <v>654</v>
      </c>
      <c r="L68" s="21">
        <v>77002.0</v>
      </c>
      <c r="M68" s="23">
        <v>44706.49722222222</v>
      </c>
      <c r="N68" s="21" t="s">
        <v>655</v>
      </c>
      <c r="O68" s="21" t="s">
        <v>659</v>
      </c>
      <c r="P68" s="21">
        <v>35.221474</v>
      </c>
      <c r="Q68" s="21">
        <v>-94.389784</v>
      </c>
      <c r="R68" s="21">
        <v>1336943.0</v>
      </c>
      <c r="S68" s="24">
        <v>44706.49722222222</v>
      </c>
      <c r="T68" s="21">
        <v>1337137.0</v>
      </c>
      <c r="U68" s="21" t="s">
        <v>657</v>
      </c>
      <c r="W68" s="21">
        <v>1050.0</v>
      </c>
      <c r="X68" s="21">
        <v>0.0</v>
      </c>
      <c r="Y68" s="21">
        <v>0.0</v>
      </c>
      <c r="Z68" s="21" t="s">
        <v>656</v>
      </c>
      <c r="AF68" s="21">
        <v>0.0</v>
      </c>
      <c r="AG68" s="21" t="s">
        <v>656</v>
      </c>
      <c r="AM68" s="21">
        <v>0.0</v>
      </c>
      <c r="AN68" s="21" t="s">
        <v>658</v>
      </c>
      <c r="AO68" s="21" t="s">
        <v>659</v>
      </c>
      <c r="AQ68" s="24">
        <v>44705.270833333336</v>
      </c>
      <c r="AR68" s="24">
        <v>44708.291666666664</v>
      </c>
      <c r="AT68" s="21" t="s">
        <v>656</v>
      </c>
      <c r="AW68" s="21" t="s">
        <v>656</v>
      </c>
      <c r="BC68" s="21" t="s">
        <v>704</v>
      </c>
      <c r="BE68" s="24">
        <v>44705.270833333336</v>
      </c>
      <c r="BF68" s="21" t="s">
        <v>704</v>
      </c>
      <c r="BH68" s="24">
        <v>44705.270833333336</v>
      </c>
      <c r="BI68" s="21">
        <v>0.0</v>
      </c>
      <c r="BJ68" s="24">
        <v>44705.3125</v>
      </c>
      <c r="BK68" s="24">
        <v>44705.3125</v>
      </c>
      <c r="BM68" s="21" t="s">
        <v>662</v>
      </c>
      <c r="BN68" s="21" t="s">
        <v>961</v>
      </c>
      <c r="BO68" s="21">
        <v>72916.0</v>
      </c>
      <c r="BP68" s="21" t="s">
        <v>663</v>
      </c>
      <c r="BQ68" s="21" t="s">
        <v>1175</v>
      </c>
      <c r="BR68" s="21" t="s">
        <v>735</v>
      </c>
      <c r="BS68" s="21" t="s">
        <v>1403</v>
      </c>
      <c r="BT68" s="21" t="s">
        <v>1404</v>
      </c>
      <c r="BU68" s="21" t="s">
        <v>1405</v>
      </c>
      <c r="BV68" s="21" t="s">
        <v>656</v>
      </c>
      <c r="BW68" s="21" t="s">
        <v>738</v>
      </c>
      <c r="BX68" s="21" t="s">
        <v>739</v>
      </c>
      <c r="BY68" s="21" t="s">
        <v>740</v>
      </c>
      <c r="CA68" s="21">
        <v>36.0</v>
      </c>
      <c r="CB68" s="21" t="s">
        <v>656</v>
      </c>
      <c r="CC68" s="21" t="s">
        <v>656</v>
      </c>
      <c r="CZ68" s="21" t="s">
        <v>712</v>
      </c>
      <c r="DA68" s="21" t="s">
        <v>741</v>
      </c>
      <c r="DB68" s="21" t="s">
        <v>714</v>
      </c>
      <c r="DC68" s="21" t="s">
        <v>715</v>
      </c>
      <c r="DD68" s="21">
        <v>8.625</v>
      </c>
      <c r="DE68" s="21" t="s">
        <v>656</v>
      </c>
      <c r="DF68" s="21">
        <v>0.188</v>
      </c>
      <c r="DG68" s="21">
        <v>42000.0</v>
      </c>
      <c r="DH68" s="21" t="s">
        <v>1406</v>
      </c>
      <c r="DI68" s="21" t="s">
        <v>742</v>
      </c>
      <c r="DK68" s="21" t="s">
        <v>684</v>
      </c>
      <c r="DL68" s="21" t="s">
        <v>743</v>
      </c>
      <c r="DN68" s="21" t="s">
        <v>656</v>
      </c>
      <c r="EO68" s="21">
        <v>1964.0</v>
      </c>
      <c r="EP68" s="21" t="s">
        <v>684</v>
      </c>
      <c r="EQ68" s="21" t="s">
        <v>674</v>
      </c>
      <c r="ES68" s="21" t="s">
        <v>744</v>
      </c>
      <c r="EX68" s="21" t="s">
        <v>696</v>
      </c>
      <c r="EY68" s="21" t="s">
        <v>1407</v>
      </c>
      <c r="EZ68" s="21">
        <v>44.5</v>
      </c>
      <c r="FC68" s="21" t="s">
        <v>677</v>
      </c>
      <c r="FD68" s="21" t="s">
        <v>656</v>
      </c>
      <c r="FF68" s="21">
        <v>660.0</v>
      </c>
      <c r="FH68" s="21" t="s">
        <v>656</v>
      </c>
      <c r="FI68" s="21" t="s">
        <v>656</v>
      </c>
      <c r="FL68" s="21" t="s">
        <v>656</v>
      </c>
      <c r="FO68" s="21">
        <v>500.0</v>
      </c>
      <c r="FP68" s="21">
        <v>8400.0</v>
      </c>
      <c r="FQ68" s="21">
        <v>0.0</v>
      </c>
      <c r="FR68" s="21">
        <v>95000.0</v>
      </c>
      <c r="FS68" s="21">
        <v>200000.0</v>
      </c>
      <c r="FT68" s="21">
        <v>31850.0</v>
      </c>
      <c r="FU68" s="21" t="s">
        <v>1408</v>
      </c>
      <c r="FV68" s="21">
        <v>8.0</v>
      </c>
      <c r="FW68" s="21">
        <v>335750.0</v>
      </c>
      <c r="FX68" s="21">
        <v>0.0</v>
      </c>
      <c r="FY68" s="21">
        <v>0.0</v>
      </c>
      <c r="FZ68" s="21">
        <v>0.0</v>
      </c>
      <c r="GA68" s="21">
        <v>0.0</v>
      </c>
      <c r="GB68" s="21" t="s">
        <v>656</v>
      </c>
      <c r="GF68" s="21">
        <v>740.0</v>
      </c>
      <c r="GG68" s="21">
        <v>6427.0</v>
      </c>
      <c r="GH68" s="21">
        <v>899.0</v>
      </c>
      <c r="GI68" s="21" t="s">
        <v>774</v>
      </c>
      <c r="GK68" s="25">
        <v>40998.0</v>
      </c>
      <c r="GL68" s="21" t="s">
        <v>656</v>
      </c>
      <c r="GM68" s="21" t="s">
        <v>679</v>
      </c>
      <c r="GN68" s="21" t="s">
        <v>656</v>
      </c>
      <c r="GQ68" s="21" t="s">
        <v>656</v>
      </c>
      <c r="GS68" s="21" t="s">
        <v>720</v>
      </c>
      <c r="GT68" s="21" t="s">
        <v>1409</v>
      </c>
      <c r="GU68" s="21">
        <v>34792.0</v>
      </c>
      <c r="GV68" s="21" t="s">
        <v>656</v>
      </c>
      <c r="HB68" s="21" t="s">
        <v>659</v>
      </c>
      <c r="HC68" s="21" t="s">
        <v>1410</v>
      </c>
      <c r="HD68" s="21" t="s">
        <v>656</v>
      </c>
      <c r="HK68" s="21" t="s">
        <v>721</v>
      </c>
      <c r="HL68" s="21" t="s">
        <v>656</v>
      </c>
      <c r="HQ68" s="21" t="s">
        <v>696</v>
      </c>
      <c r="HR68" s="21" t="s">
        <v>1411</v>
      </c>
      <c r="HT68" s="21" t="s">
        <v>682</v>
      </c>
      <c r="IH68" s="21" t="s">
        <v>656</v>
      </c>
      <c r="II68" s="21" t="s">
        <v>656</v>
      </c>
      <c r="IN68" s="21" t="s">
        <v>725</v>
      </c>
      <c r="IO68" s="21" t="s">
        <v>900</v>
      </c>
      <c r="IP68" s="21" t="s">
        <v>900</v>
      </c>
      <c r="IQ68" s="21" t="s">
        <v>901</v>
      </c>
      <c r="IS68" s="21" t="s">
        <v>659</v>
      </c>
      <c r="JC68" s="21" t="s">
        <v>659</v>
      </c>
      <c r="JF68" s="21" t="s">
        <v>659</v>
      </c>
      <c r="JG68" s="21" t="s">
        <v>659</v>
      </c>
      <c r="JH68" s="21">
        <v>2003.0</v>
      </c>
      <c r="JI68" s="21" t="s">
        <v>656</v>
      </c>
      <c r="JJ68" s="21" t="s">
        <v>659</v>
      </c>
      <c r="JK68" s="21" t="s">
        <v>659</v>
      </c>
      <c r="JL68" s="21" t="s">
        <v>659</v>
      </c>
      <c r="JO68" s="21">
        <v>2022.0</v>
      </c>
      <c r="JP68" s="21">
        <v>2018.0</v>
      </c>
      <c r="JS68" s="21" t="s">
        <v>659</v>
      </c>
      <c r="QW68" s="21" t="s">
        <v>656</v>
      </c>
      <c r="TI68" s="21" t="s">
        <v>656</v>
      </c>
      <c r="TL68" s="21" t="s">
        <v>656</v>
      </c>
      <c r="TZ68" s="21" t="s">
        <v>656</v>
      </c>
      <c r="UN68" s="21" t="s">
        <v>659</v>
      </c>
      <c r="WL68" s="21" t="s">
        <v>1412</v>
      </c>
      <c r="WM68" s="21" t="s">
        <v>1056</v>
      </c>
      <c r="WN68" s="21" t="s">
        <v>1413</v>
      </c>
      <c r="WO68" s="21" t="s">
        <v>1414</v>
      </c>
      <c r="WQ68" s="21" t="s">
        <v>1181</v>
      </c>
      <c r="WR68" s="21" t="s">
        <v>1182</v>
      </c>
      <c r="WS68" s="21" t="s">
        <v>1415</v>
      </c>
      <c r="WT68" s="21" t="s">
        <v>854</v>
      </c>
      <c r="WU68" s="21" t="s">
        <v>1416</v>
      </c>
      <c r="WV68" s="21" t="s">
        <v>1346</v>
      </c>
      <c r="WW68" s="21" t="s">
        <v>857</v>
      </c>
      <c r="WX68" s="21" t="s">
        <v>1417</v>
      </c>
    </row>
    <row r="69">
      <c r="A69" s="21">
        <v>391.0</v>
      </c>
      <c r="B69" s="22">
        <v>44699.0</v>
      </c>
      <c r="C69" s="21">
        <v>2022.0</v>
      </c>
      <c r="D69" s="21">
        <v>2.0220056E7</v>
      </c>
      <c r="E69" s="21">
        <v>37429.0</v>
      </c>
      <c r="F69" s="21" t="s">
        <v>778</v>
      </c>
      <c r="G69" s="21">
        <v>602.0</v>
      </c>
      <c r="H69" s="21" t="s">
        <v>859</v>
      </c>
      <c r="I69" s="21" t="s">
        <v>652</v>
      </c>
      <c r="J69" s="21" t="s">
        <v>653</v>
      </c>
      <c r="K69" s="21" t="s">
        <v>654</v>
      </c>
      <c r="L69" s="21">
        <v>77002.0</v>
      </c>
      <c r="M69" s="23">
        <v>44674.540972222225</v>
      </c>
      <c r="N69" s="21" t="s">
        <v>655</v>
      </c>
      <c r="O69" s="21" t="s">
        <v>659</v>
      </c>
      <c r="P69" s="21">
        <v>35.29678</v>
      </c>
      <c r="Q69" s="21">
        <v>-93.42978</v>
      </c>
      <c r="R69" s="21">
        <v>1334249.0</v>
      </c>
      <c r="S69" s="24">
        <v>44674.05138888889</v>
      </c>
      <c r="T69" s="21">
        <v>1334340.0</v>
      </c>
      <c r="U69" s="21" t="s">
        <v>657</v>
      </c>
      <c r="W69" s="21">
        <v>100.0</v>
      </c>
      <c r="X69" s="21">
        <v>523.0</v>
      </c>
      <c r="Y69" s="21">
        <v>0.0</v>
      </c>
      <c r="Z69" s="21" t="s">
        <v>656</v>
      </c>
      <c r="AF69" s="21">
        <v>0.0</v>
      </c>
      <c r="AG69" s="21" t="s">
        <v>656</v>
      </c>
      <c r="AM69" s="21">
        <v>0.0</v>
      </c>
      <c r="AN69" s="21" t="s">
        <v>658</v>
      </c>
      <c r="AO69" s="21" t="s">
        <v>659</v>
      </c>
      <c r="AQ69" s="24">
        <v>44674.125</v>
      </c>
      <c r="AR69" s="24">
        <v>44688.416666666664</v>
      </c>
      <c r="AT69" s="21" t="s">
        <v>656</v>
      </c>
      <c r="AW69" s="21" t="s">
        <v>656</v>
      </c>
      <c r="BC69" s="21" t="s">
        <v>704</v>
      </c>
      <c r="BE69" s="24">
        <v>44673.25</v>
      </c>
      <c r="BF69" s="21" t="s">
        <v>704</v>
      </c>
      <c r="BH69" s="24">
        <v>44673.25</v>
      </c>
      <c r="BI69" s="21">
        <v>0.0</v>
      </c>
      <c r="BJ69" s="24">
        <v>44674.540972222225</v>
      </c>
      <c r="BK69" s="24">
        <v>44661.041666666664</v>
      </c>
      <c r="BM69" s="21" t="s">
        <v>662</v>
      </c>
      <c r="BN69" s="21" t="s">
        <v>961</v>
      </c>
      <c r="BO69" s="21">
        <v>72851.0</v>
      </c>
      <c r="BP69" s="21" t="s">
        <v>663</v>
      </c>
      <c r="BQ69" s="21" t="s">
        <v>1418</v>
      </c>
      <c r="BR69" s="21" t="s">
        <v>735</v>
      </c>
      <c r="BS69" s="21">
        <v>288638.0</v>
      </c>
      <c r="BT69" s="21" t="s">
        <v>1419</v>
      </c>
      <c r="BU69" s="21" t="s">
        <v>1420</v>
      </c>
      <c r="BV69" s="21" t="s">
        <v>656</v>
      </c>
      <c r="BW69" s="21" t="s">
        <v>738</v>
      </c>
      <c r="BX69" s="21" t="s">
        <v>739</v>
      </c>
      <c r="BY69" s="21" t="s">
        <v>696</v>
      </c>
      <c r="BZ69" s="21" t="s">
        <v>1421</v>
      </c>
      <c r="CA69" s="21">
        <v>36.0</v>
      </c>
      <c r="CB69" s="21" t="s">
        <v>656</v>
      </c>
      <c r="CC69" s="21" t="s">
        <v>656</v>
      </c>
      <c r="CZ69" s="21" t="s">
        <v>712</v>
      </c>
      <c r="DA69" s="21" t="s">
        <v>741</v>
      </c>
      <c r="DB69" s="21" t="s">
        <v>696</v>
      </c>
      <c r="EN69" s="21" t="s">
        <v>1422</v>
      </c>
      <c r="EO69" s="21" t="s">
        <v>684</v>
      </c>
      <c r="EP69" s="21" t="s">
        <v>684</v>
      </c>
      <c r="EQ69" s="21" t="s">
        <v>674</v>
      </c>
      <c r="ES69" s="21" t="s">
        <v>675</v>
      </c>
      <c r="EV69" s="21" t="s">
        <v>718</v>
      </c>
      <c r="FC69" s="21" t="s">
        <v>677</v>
      </c>
      <c r="FD69" s="21" t="s">
        <v>656</v>
      </c>
      <c r="FF69" s="21">
        <v>264.0</v>
      </c>
      <c r="FH69" s="21" t="s">
        <v>656</v>
      </c>
      <c r="FI69" s="21" t="s">
        <v>656</v>
      </c>
      <c r="FL69" s="21" t="s">
        <v>656</v>
      </c>
      <c r="FO69" s="21">
        <v>0.0</v>
      </c>
      <c r="FP69" s="21">
        <v>659.0</v>
      </c>
      <c r="FQ69" s="21">
        <v>3447.0</v>
      </c>
      <c r="FR69" s="21">
        <v>466421.0</v>
      </c>
      <c r="FS69" s="21">
        <v>1000.0</v>
      </c>
      <c r="FT69" s="21">
        <v>0.0</v>
      </c>
      <c r="FV69" s="21">
        <v>6.59</v>
      </c>
      <c r="FW69" s="21">
        <v>471527.0</v>
      </c>
      <c r="FX69" s="21">
        <v>0.0</v>
      </c>
      <c r="FY69" s="21">
        <v>0.0</v>
      </c>
      <c r="FZ69" s="21">
        <v>0.0</v>
      </c>
      <c r="GA69" s="21">
        <v>0.0</v>
      </c>
      <c r="GB69" s="21" t="s">
        <v>656</v>
      </c>
      <c r="GF69" s="21">
        <v>700.0</v>
      </c>
      <c r="GG69" s="21">
        <v>6000.0</v>
      </c>
      <c r="GH69" s="21">
        <v>901.0</v>
      </c>
      <c r="GI69" s="21" t="s">
        <v>774</v>
      </c>
      <c r="GK69" s="25">
        <v>40998.0</v>
      </c>
      <c r="GL69" s="21" t="s">
        <v>656</v>
      </c>
      <c r="GM69" s="21" t="s">
        <v>679</v>
      </c>
      <c r="GN69" s="21" t="s">
        <v>656</v>
      </c>
      <c r="GQ69" s="21" t="s">
        <v>659</v>
      </c>
      <c r="GR69" s="21" t="s">
        <v>659</v>
      </c>
      <c r="GS69" s="21" t="s">
        <v>720</v>
      </c>
      <c r="GT69" s="21" t="s">
        <v>720</v>
      </c>
      <c r="GU69" s="21">
        <v>13340.0</v>
      </c>
      <c r="GV69" s="21" t="s">
        <v>659</v>
      </c>
      <c r="HD69" s="21" t="s">
        <v>656</v>
      </c>
      <c r="HK69" s="21" t="s">
        <v>721</v>
      </c>
      <c r="HL69" s="21" t="s">
        <v>656</v>
      </c>
      <c r="HQ69" s="21" t="s">
        <v>806</v>
      </c>
      <c r="HT69" s="21" t="s">
        <v>723</v>
      </c>
      <c r="HU69" s="21" t="s">
        <v>1423</v>
      </c>
      <c r="IH69" s="21" t="s">
        <v>656</v>
      </c>
      <c r="II69" s="21" t="s">
        <v>656</v>
      </c>
      <c r="IN69" s="21" t="s">
        <v>683</v>
      </c>
      <c r="IO69" s="21" t="s">
        <v>1424</v>
      </c>
      <c r="QS69" s="21" t="s">
        <v>1424</v>
      </c>
      <c r="QT69" s="21" t="s">
        <v>1425</v>
      </c>
      <c r="WL69" s="21" t="s">
        <v>977</v>
      </c>
      <c r="WM69" s="21" t="s">
        <v>978</v>
      </c>
      <c r="WN69" s="21" t="s">
        <v>979</v>
      </c>
      <c r="WO69" s="21" t="s">
        <v>1220</v>
      </c>
      <c r="WQ69" s="21" t="s">
        <v>819</v>
      </c>
      <c r="WR69" s="21" t="s">
        <v>820</v>
      </c>
      <c r="WS69" s="21" t="s">
        <v>843</v>
      </c>
      <c r="WT69" s="21" t="s">
        <v>819</v>
      </c>
      <c r="WU69" s="21" t="s">
        <v>984</v>
      </c>
      <c r="WV69" s="21" t="s">
        <v>843</v>
      </c>
      <c r="WW69" s="21" t="s">
        <v>820</v>
      </c>
      <c r="WX69" s="21" t="s">
        <v>1426</v>
      </c>
    </row>
    <row r="70">
      <c r="A70" s="21">
        <v>394.0</v>
      </c>
      <c r="B70" s="22">
        <v>44690.0</v>
      </c>
      <c r="C70" s="21">
        <v>2022.0</v>
      </c>
      <c r="D70" s="21">
        <v>2.0220053E7</v>
      </c>
      <c r="E70" s="21">
        <v>36660.0</v>
      </c>
      <c r="F70" s="21" t="s">
        <v>778</v>
      </c>
      <c r="G70" s="21">
        <v>602.0</v>
      </c>
      <c r="H70" s="21" t="s">
        <v>859</v>
      </c>
      <c r="I70" s="21" t="s">
        <v>652</v>
      </c>
      <c r="J70" s="21" t="s">
        <v>653</v>
      </c>
      <c r="K70" s="21" t="s">
        <v>654</v>
      </c>
      <c r="L70" s="21">
        <v>77002.0</v>
      </c>
      <c r="M70" s="23">
        <v>44662.322916666664</v>
      </c>
      <c r="N70" s="21" t="s">
        <v>655</v>
      </c>
      <c r="O70" s="21" t="s">
        <v>659</v>
      </c>
      <c r="P70" s="21">
        <v>35.69194</v>
      </c>
      <c r="Q70" s="21">
        <v>-100.22752</v>
      </c>
      <c r="R70" s="21">
        <v>1333256.0</v>
      </c>
      <c r="S70" s="24">
        <v>44662.54027777778</v>
      </c>
      <c r="T70" s="21">
        <v>1333381.0</v>
      </c>
      <c r="U70" s="21" t="s">
        <v>657</v>
      </c>
      <c r="W70" s="21">
        <v>6975.0</v>
      </c>
      <c r="X70" s="21">
        <v>0.0</v>
      </c>
      <c r="Y70" s="21">
        <v>0.0</v>
      </c>
      <c r="Z70" s="21" t="s">
        <v>656</v>
      </c>
      <c r="AF70" s="21">
        <v>0.0</v>
      </c>
      <c r="AG70" s="21" t="s">
        <v>656</v>
      </c>
      <c r="AM70" s="21">
        <v>0.0</v>
      </c>
      <c r="AN70" s="21" t="s">
        <v>658</v>
      </c>
      <c r="AO70" s="21" t="s">
        <v>656</v>
      </c>
      <c r="AP70" s="21" t="s">
        <v>1427</v>
      </c>
      <c r="AT70" s="21" t="s">
        <v>656</v>
      </c>
      <c r="AW70" s="21" t="s">
        <v>656</v>
      </c>
      <c r="BI70" s="21">
        <v>0.0</v>
      </c>
      <c r="BJ70" s="24">
        <v>44662.354166666664</v>
      </c>
      <c r="BK70" s="24">
        <v>44662.354166666664</v>
      </c>
      <c r="BM70" s="21" t="s">
        <v>662</v>
      </c>
      <c r="BN70" s="21" t="s">
        <v>654</v>
      </c>
      <c r="BO70" s="21">
        <v>79011.0</v>
      </c>
      <c r="BP70" s="21" t="s">
        <v>1428</v>
      </c>
      <c r="BQ70" s="21" t="s">
        <v>1429</v>
      </c>
      <c r="BR70" s="21" t="s">
        <v>665</v>
      </c>
      <c r="BT70" s="21" t="s">
        <v>1430</v>
      </c>
      <c r="BU70" s="21" t="s">
        <v>1431</v>
      </c>
      <c r="BV70" s="21" t="s">
        <v>656</v>
      </c>
      <c r="BW70" s="21" t="s">
        <v>668</v>
      </c>
      <c r="BX70" s="21" t="s">
        <v>669</v>
      </c>
      <c r="BY70" s="21" t="s">
        <v>670</v>
      </c>
      <c r="CC70" s="21" t="s">
        <v>656</v>
      </c>
      <c r="CZ70" s="21" t="s">
        <v>712</v>
      </c>
      <c r="DA70" s="21" t="s">
        <v>920</v>
      </c>
      <c r="DB70" s="21" t="s">
        <v>756</v>
      </c>
      <c r="EH70" s="21" t="s">
        <v>1432</v>
      </c>
      <c r="EO70" s="21">
        <v>1978.0</v>
      </c>
      <c r="EP70" s="21">
        <v>1978.0</v>
      </c>
      <c r="EQ70" s="21" t="s">
        <v>674</v>
      </c>
      <c r="ES70" s="21" t="s">
        <v>696</v>
      </c>
      <c r="FB70" s="21" t="s">
        <v>1433</v>
      </c>
      <c r="FC70" s="21" t="s">
        <v>677</v>
      </c>
      <c r="FD70" s="21" t="s">
        <v>656</v>
      </c>
      <c r="FF70" s="21">
        <v>175.0</v>
      </c>
      <c r="FH70" s="21" t="s">
        <v>656</v>
      </c>
      <c r="FI70" s="21" t="s">
        <v>656</v>
      </c>
      <c r="FL70" s="21" t="s">
        <v>656</v>
      </c>
      <c r="FO70" s="21">
        <v>0.0</v>
      </c>
      <c r="FP70" s="21">
        <v>34178.0</v>
      </c>
      <c r="FQ70" s="21">
        <v>0.0</v>
      </c>
      <c r="FR70" s="21">
        <v>1000.0</v>
      </c>
      <c r="FS70" s="21">
        <v>1000.0</v>
      </c>
      <c r="FT70" s="21">
        <v>0.0</v>
      </c>
      <c r="FV70" s="21">
        <v>4.9</v>
      </c>
      <c r="FW70" s="21">
        <v>36178.0</v>
      </c>
      <c r="FX70" s="21">
        <v>0.0</v>
      </c>
      <c r="FY70" s="21">
        <v>0.0</v>
      </c>
      <c r="FZ70" s="21">
        <v>0.0</v>
      </c>
      <c r="GA70" s="21">
        <v>0.0</v>
      </c>
      <c r="GB70" s="21" t="s">
        <v>656</v>
      </c>
      <c r="GF70" s="21">
        <v>967.0</v>
      </c>
      <c r="GG70" s="21">
        <v>2000.0</v>
      </c>
      <c r="GH70" s="21">
        <v>1000.0</v>
      </c>
      <c r="GI70" s="21" t="s">
        <v>774</v>
      </c>
      <c r="GK70" s="25">
        <v>40998.0</v>
      </c>
      <c r="GL70" s="21" t="s">
        <v>656</v>
      </c>
      <c r="GM70" s="21" t="s">
        <v>679</v>
      </c>
      <c r="GN70" s="21" t="s">
        <v>656</v>
      </c>
      <c r="GQ70" s="21" t="s">
        <v>656</v>
      </c>
      <c r="HK70" s="21" t="s">
        <v>721</v>
      </c>
      <c r="HL70" s="21" t="s">
        <v>659</v>
      </c>
      <c r="HM70" s="21" t="s">
        <v>659</v>
      </c>
      <c r="HN70" s="21" t="s">
        <v>659</v>
      </c>
      <c r="HO70" s="21" t="s">
        <v>656</v>
      </c>
      <c r="HP70" s="21" t="s">
        <v>656</v>
      </c>
      <c r="HQ70" s="21" t="s">
        <v>698</v>
      </c>
      <c r="HS70" s="21" t="s">
        <v>699</v>
      </c>
      <c r="HT70" s="21" t="s">
        <v>723</v>
      </c>
      <c r="HU70" s="21" t="s">
        <v>1433</v>
      </c>
      <c r="IH70" s="21" t="s">
        <v>656</v>
      </c>
      <c r="II70" s="21" t="s">
        <v>656</v>
      </c>
      <c r="IN70" s="21" t="s">
        <v>761</v>
      </c>
      <c r="IO70" s="21" t="s">
        <v>762</v>
      </c>
      <c r="OU70" s="21" t="s">
        <v>762</v>
      </c>
      <c r="PB70" s="21" t="s">
        <v>659</v>
      </c>
      <c r="PU70" s="21" t="s">
        <v>659</v>
      </c>
      <c r="VX70" s="21" t="s">
        <v>659</v>
      </c>
      <c r="WH70" s="21" t="s">
        <v>659</v>
      </c>
      <c r="WL70" s="21" t="s">
        <v>1434</v>
      </c>
      <c r="WM70" s="21" t="s">
        <v>1435</v>
      </c>
      <c r="WN70" s="21" t="s">
        <v>1436</v>
      </c>
      <c r="WO70" s="21">
        <v>4.056263981E9</v>
      </c>
      <c r="WQ70" s="21" t="s">
        <v>819</v>
      </c>
      <c r="WR70" s="21" t="s">
        <v>820</v>
      </c>
      <c r="WS70" s="21">
        <v>4.055575271E9</v>
      </c>
      <c r="WT70" s="21" t="s">
        <v>819</v>
      </c>
      <c r="WU70" s="21" t="s">
        <v>1144</v>
      </c>
      <c r="WV70" s="21">
        <v>4.055575271E9</v>
      </c>
      <c r="WW70" s="21" t="s">
        <v>820</v>
      </c>
      <c r="WX70" s="21" t="s">
        <v>1437</v>
      </c>
    </row>
    <row r="71">
      <c r="A71" s="21">
        <v>398.0</v>
      </c>
      <c r="B71" s="22">
        <v>44678.0</v>
      </c>
      <c r="C71" s="21">
        <v>2022.0</v>
      </c>
      <c r="D71" s="21">
        <v>2.022005E7</v>
      </c>
      <c r="E71" s="21">
        <v>36617.0</v>
      </c>
      <c r="F71" s="21" t="s">
        <v>701</v>
      </c>
      <c r="G71" s="21">
        <v>602.0</v>
      </c>
      <c r="H71" s="21" t="s">
        <v>859</v>
      </c>
      <c r="I71" s="21" t="s">
        <v>652</v>
      </c>
      <c r="J71" s="21" t="s">
        <v>653</v>
      </c>
      <c r="K71" s="21" t="s">
        <v>654</v>
      </c>
      <c r="L71" s="21">
        <v>77002.0</v>
      </c>
      <c r="M71" s="23">
        <v>44649.572916666664</v>
      </c>
      <c r="N71" s="21" t="s">
        <v>655</v>
      </c>
      <c r="O71" s="21" t="s">
        <v>659</v>
      </c>
      <c r="P71" s="21">
        <v>35.69194</v>
      </c>
      <c r="Q71" s="21">
        <v>-100.22752</v>
      </c>
      <c r="R71" s="21">
        <v>1332234.0</v>
      </c>
      <c r="S71" s="24">
        <v>44649.629166666666</v>
      </c>
      <c r="T71" s="21">
        <v>1332315.0</v>
      </c>
      <c r="U71" s="21" t="s">
        <v>657</v>
      </c>
      <c r="W71" s="21">
        <v>5800.0</v>
      </c>
      <c r="X71" s="21">
        <v>0.0</v>
      </c>
      <c r="Y71" s="21">
        <v>0.0</v>
      </c>
      <c r="Z71" s="21" t="s">
        <v>656</v>
      </c>
      <c r="AF71" s="21">
        <v>0.0</v>
      </c>
      <c r="AG71" s="21" t="s">
        <v>656</v>
      </c>
      <c r="AM71" s="21">
        <v>0.0</v>
      </c>
      <c r="AN71" s="21" t="s">
        <v>658</v>
      </c>
      <c r="AO71" s="21" t="s">
        <v>656</v>
      </c>
      <c r="AP71" s="21" t="s">
        <v>1438</v>
      </c>
      <c r="AT71" s="21" t="s">
        <v>656</v>
      </c>
      <c r="AW71" s="21" t="s">
        <v>656</v>
      </c>
      <c r="BI71" s="21">
        <v>0.0</v>
      </c>
      <c r="BJ71" s="24">
        <v>44649.59583333333</v>
      </c>
      <c r="BK71" s="24">
        <v>44649.59583333333</v>
      </c>
      <c r="BM71" s="21" t="s">
        <v>662</v>
      </c>
      <c r="BN71" s="21" t="s">
        <v>654</v>
      </c>
      <c r="BO71" s="21">
        <v>79011.0</v>
      </c>
      <c r="BP71" s="21" t="s">
        <v>1428</v>
      </c>
      <c r="BQ71" s="21" t="s">
        <v>1429</v>
      </c>
      <c r="BR71" s="21" t="s">
        <v>665</v>
      </c>
      <c r="BT71" s="21" t="s">
        <v>1430</v>
      </c>
      <c r="BU71" s="21" t="s">
        <v>1431</v>
      </c>
      <c r="BV71" s="21" t="s">
        <v>656</v>
      </c>
      <c r="BW71" s="21" t="s">
        <v>668</v>
      </c>
      <c r="BX71" s="21" t="s">
        <v>669</v>
      </c>
      <c r="BY71" s="21" t="s">
        <v>670</v>
      </c>
      <c r="CC71" s="21" t="s">
        <v>656</v>
      </c>
      <c r="CZ71" s="21" t="s">
        <v>712</v>
      </c>
      <c r="DA71" s="21" t="s">
        <v>920</v>
      </c>
      <c r="DB71" s="21" t="s">
        <v>756</v>
      </c>
      <c r="EH71" s="21" t="s">
        <v>1432</v>
      </c>
      <c r="EO71" s="21">
        <v>1978.0</v>
      </c>
      <c r="EP71" s="21">
        <v>1978.0</v>
      </c>
      <c r="EQ71" s="21" t="s">
        <v>674</v>
      </c>
      <c r="ES71" s="21" t="s">
        <v>696</v>
      </c>
      <c r="FB71" s="21" t="s">
        <v>1433</v>
      </c>
      <c r="FC71" s="21" t="s">
        <v>677</v>
      </c>
      <c r="FD71" s="21" t="s">
        <v>656</v>
      </c>
      <c r="FF71" s="21">
        <v>175.0</v>
      </c>
      <c r="FH71" s="21" t="s">
        <v>656</v>
      </c>
      <c r="FI71" s="21" t="s">
        <v>656</v>
      </c>
      <c r="FL71" s="21" t="s">
        <v>656</v>
      </c>
      <c r="FO71" s="21">
        <v>0.0</v>
      </c>
      <c r="FP71" s="21">
        <v>28420.0</v>
      </c>
      <c r="FQ71" s="21">
        <v>0.0</v>
      </c>
      <c r="FR71" s="21">
        <v>15000.0</v>
      </c>
      <c r="FS71" s="21">
        <v>1000.0</v>
      </c>
      <c r="FT71" s="21">
        <v>1000.0</v>
      </c>
      <c r="FU71" s="21" t="s">
        <v>1439</v>
      </c>
      <c r="FV71" s="21">
        <v>4.9</v>
      </c>
      <c r="FW71" s="21">
        <v>45420.0</v>
      </c>
      <c r="FX71" s="21">
        <v>0.0</v>
      </c>
      <c r="FY71" s="21">
        <v>0.0</v>
      </c>
      <c r="FZ71" s="21">
        <v>0.0</v>
      </c>
      <c r="GA71" s="21">
        <v>0.0</v>
      </c>
      <c r="GB71" s="21" t="s">
        <v>656</v>
      </c>
      <c r="GF71" s="21">
        <v>964.0</v>
      </c>
      <c r="GG71" s="21">
        <v>2000.0</v>
      </c>
      <c r="GH71" s="21">
        <v>1000.0</v>
      </c>
      <c r="GI71" s="21" t="s">
        <v>774</v>
      </c>
      <c r="GK71" s="25">
        <v>40998.0</v>
      </c>
      <c r="GL71" s="21" t="s">
        <v>656</v>
      </c>
      <c r="GM71" s="21" t="s">
        <v>679</v>
      </c>
      <c r="GN71" s="21" t="s">
        <v>656</v>
      </c>
      <c r="GQ71" s="21" t="s">
        <v>656</v>
      </c>
      <c r="HK71" s="21" t="s">
        <v>721</v>
      </c>
      <c r="HL71" s="21" t="s">
        <v>659</v>
      </c>
      <c r="HM71" s="21" t="s">
        <v>659</v>
      </c>
      <c r="HN71" s="21" t="s">
        <v>659</v>
      </c>
      <c r="HO71" s="21" t="s">
        <v>656</v>
      </c>
      <c r="HP71" s="21" t="s">
        <v>656</v>
      </c>
      <c r="HQ71" s="21" t="s">
        <v>698</v>
      </c>
      <c r="HS71" s="21" t="s">
        <v>699</v>
      </c>
      <c r="HT71" s="21" t="s">
        <v>723</v>
      </c>
      <c r="HU71" s="21" t="s">
        <v>1440</v>
      </c>
      <c r="IH71" s="21" t="s">
        <v>656</v>
      </c>
      <c r="II71" s="21" t="s">
        <v>656</v>
      </c>
      <c r="IN71" s="21" t="s">
        <v>761</v>
      </c>
      <c r="IO71" s="21" t="s">
        <v>762</v>
      </c>
      <c r="OU71" s="21" t="s">
        <v>762</v>
      </c>
      <c r="PB71" s="21" t="s">
        <v>659</v>
      </c>
      <c r="QE71" s="21" t="s">
        <v>659</v>
      </c>
      <c r="QF71" s="21" t="s">
        <v>1441</v>
      </c>
      <c r="VX71" s="21" t="s">
        <v>659</v>
      </c>
      <c r="WL71" s="21" t="s">
        <v>1434</v>
      </c>
      <c r="WM71" s="21" t="s">
        <v>1442</v>
      </c>
      <c r="WN71" s="21" t="s">
        <v>1436</v>
      </c>
      <c r="WO71" s="21">
        <v>4.055575271E9</v>
      </c>
      <c r="WQ71" s="21" t="s">
        <v>819</v>
      </c>
      <c r="WR71" s="21" t="s">
        <v>820</v>
      </c>
      <c r="WS71" s="21">
        <v>4.055575271E9</v>
      </c>
      <c r="WT71" s="21" t="s">
        <v>819</v>
      </c>
      <c r="WU71" s="21" t="s">
        <v>1144</v>
      </c>
      <c r="WV71" s="21">
        <v>4.055575271E9</v>
      </c>
      <c r="WW71" s="21" t="s">
        <v>820</v>
      </c>
      <c r="WX71" s="21" t="s">
        <v>1443</v>
      </c>
    </row>
    <row r="72">
      <c r="A72" s="21">
        <v>408.0</v>
      </c>
      <c r="B72" s="22">
        <v>44649.0</v>
      </c>
      <c r="C72" s="21">
        <v>2022.0</v>
      </c>
      <c r="D72" s="21">
        <v>2.0220039E7</v>
      </c>
      <c r="E72" s="21">
        <v>37024.0</v>
      </c>
      <c r="F72" s="21" t="s">
        <v>778</v>
      </c>
      <c r="G72" s="21">
        <v>40069.0</v>
      </c>
      <c r="H72" s="21" t="s">
        <v>993</v>
      </c>
      <c r="I72" s="21" t="s">
        <v>652</v>
      </c>
      <c r="J72" s="21" t="s">
        <v>653</v>
      </c>
      <c r="K72" s="21" t="s">
        <v>654</v>
      </c>
      <c r="L72" s="21">
        <v>77002.0</v>
      </c>
      <c r="M72" s="23">
        <v>44619.6875</v>
      </c>
      <c r="N72" s="21" t="s">
        <v>655</v>
      </c>
      <c r="O72" s="21" t="s">
        <v>656</v>
      </c>
      <c r="P72" s="21">
        <v>28.289667</v>
      </c>
      <c r="Q72" s="21">
        <v>-93.300667</v>
      </c>
      <c r="R72" s="21">
        <v>1329873.0</v>
      </c>
      <c r="S72" s="24">
        <v>44620.467361111114</v>
      </c>
      <c r="T72" s="21">
        <v>1329959.0</v>
      </c>
      <c r="U72" s="21" t="s">
        <v>657</v>
      </c>
      <c r="W72" s="21">
        <v>33613.0</v>
      </c>
      <c r="X72" s="21">
        <v>60122.0</v>
      </c>
      <c r="Y72" s="21">
        <v>3.83</v>
      </c>
      <c r="Z72" s="21" t="s">
        <v>656</v>
      </c>
      <c r="AF72" s="21">
        <v>0.0</v>
      </c>
      <c r="AG72" s="21" t="s">
        <v>656</v>
      </c>
      <c r="AM72" s="21">
        <v>0.0</v>
      </c>
      <c r="AN72" s="21" t="s">
        <v>658</v>
      </c>
      <c r="AO72" s="21" t="s">
        <v>659</v>
      </c>
      <c r="AQ72" s="24">
        <v>44619.71527777778</v>
      </c>
      <c r="AR72" s="24">
        <v>44785.364583333336</v>
      </c>
      <c r="AT72" s="21" t="s">
        <v>659</v>
      </c>
      <c r="AU72" s="21" t="s">
        <v>661</v>
      </c>
      <c r="AV72" s="24">
        <v>44619.73611111111</v>
      </c>
      <c r="AW72" s="21" t="s">
        <v>656</v>
      </c>
      <c r="BC72" s="21" t="s">
        <v>704</v>
      </c>
      <c r="BE72" s="24">
        <v>44619.708333333336</v>
      </c>
      <c r="BF72" s="21" t="s">
        <v>704</v>
      </c>
      <c r="BH72" s="24">
        <v>44619.71527777778</v>
      </c>
      <c r="BI72" s="21">
        <v>0.0</v>
      </c>
      <c r="BJ72" s="24">
        <v>44620.427083333336</v>
      </c>
      <c r="BK72" s="24">
        <v>44619.708333333336</v>
      </c>
      <c r="BM72" s="21" t="s">
        <v>705</v>
      </c>
      <c r="BT72" s="21" t="s">
        <v>995</v>
      </c>
      <c r="BU72" s="21" t="s">
        <v>1444</v>
      </c>
      <c r="CP72" s="21">
        <v>190.0</v>
      </c>
      <c r="CQ72" s="21" t="s">
        <v>708</v>
      </c>
      <c r="CV72" s="21" t="s">
        <v>997</v>
      </c>
      <c r="CW72" s="21" t="s">
        <v>998</v>
      </c>
      <c r="CX72" s="21">
        <v>550.0</v>
      </c>
      <c r="CY72" s="21" t="s">
        <v>711</v>
      </c>
      <c r="CZ72" s="21" t="s">
        <v>712</v>
      </c>
      <c r="DA72" s="21" t="s">
        <v>713</v>
      </c>
      <c r="DB72" s="21" t="s">
        <v>714</v>
      </c>
      <c r="DC72" s="21" t="s">
        <v>715</v>
      </c>
      <c r="DD72" s="21">
        <v>30.0</v>
      </c>
      <c r="DE72" s="21" t="s">
        <v>656</v>
      </c>
      <c r="DF72" s="21">
        <v>0.568</v>
      </c>
      <c r="DG72" s="21">
        <v>60000.0</v>
      </c>
      <c r="DH72" s="21" t="s">
        <v>1328</v>
      </c>
      <c r="DI72" s="21" t="s">
        <v>848</v>
      </c>
      <c r="DK72" s="21" t="s">
        <v>1329</v>
      </c>
      <c r="DL72" s="21" t="s">
        <v>696</v>
      </c>
      <c r="DM72" s="21" t="s">
        <v>1000</v>
      </c>
      <c r="DN72" s="21" t="s">
        <v>684</v>
      </c>
      <c r="EO72" s="21">
        <v>1975.0</v>
      </c>
      <c r="EP72" s="21">
        <v>1975.0</v>
      </c>
      <c r="EQ72" s="21" t="s">
        <v>674</v>
      </c>
      <c r="ES72" s="21" t="s">
        <v>675</v>
      </c>
      <c r="EV72" s="21" t="s">
        <v>718</v>
      </c>
      <c r="FC72" s="21" t="s">
        <v>677</v>
      </c>
      <c r="FD72" s="21" t="s">
        <v>656</v>
      </c>
      <c r="FF72" s="21">
        <v>717.0</v>
      </c>
      <c r="FH72" s="21" t="s">
        <v>656</v>
      </c>
      <c r="FI72" s="21" t="s">
        <v>656</v>
      </c>
      <c r="FL72" s="21" t="s">
        <v>656</v>
      </c>
      <c r="FO72" s="21">
        <v>0.0</v>
      </c>
      <c r="FP72" s="21">
        <v>146553.0</v>
      </c>
      <c r="FQ72" s="21">
        <v>262132.0</v>
      </c>
      <c r="FR72" s="21">
        <v>1314087.0</v>
      </c>
      <c r="FS72" s="21">
        <v>821369.0</v>
      </c>
      <c r="FT72" s="21">
        <v>0.0</v>
      </c>
      <c r="FV72" s="21">
        <v>4.36</v>
      </c>
      <c r="FW72" s="21">
        <v>2544141.0</v>
      </c>
      <c r="FX72" s="21">
        <v>0.0</v>
      </c>
      <c r="FY72" s="21">
        <v>0.0</v>
      </c>
      <c r="FZ72" s="21">
        <v>0.0</v>
      </c>
      <c r="GA72" s="21">
        <v>0.0</v>
      </c>
      <c r="GB72" s="21" t="s">
        <v>656</v>
      </c>
      <c r="GF72" s="21">
        <v>830.0</v>
      </c>
      <c r="GG72" s="21">
        <v>597.24</v>
      </c>
      <c r="GH72" s="21">
        <v>1200.0</v>
      </c>
      <c r="GI72" s="21" t="s">
        <v>719</v>
      </c>
      <c r="GK72" s="25">
        <v>27456.0</v>
      </c>
      <c r="GL72" s="21" t="s">
        <v>656</v>
      </c>
      <c r="GM72" s="21" t="s">
        <v>679</v>
      </c>
      <c r="GN72" s="21" t="s">
        <v>656</v>
      </c>
      <c r="GQ72" s="21" t="s">
        <v>656</v>
      </c>
      <c r="GS72" s="21" t="s">
        <v>720</v>
      </c>
      <c r="GT72" s="21" t="s">
        <v>720</v>
      </c>
      <c r="GU72" s="21">
        <v>318991.0</v>
      </c>
      <c r="GV72" s="21" t="s">
        <v>659</v>
      </c>
      <c r="HD72" s="21" t="s">
        <v>659</v>
      </c>
      <c r="HI72" s="21" t="s">
        <v>659</v>
      </c>
      <c r="HJ72" s="21" t="s">
        <v>1001</v>
      </c>
      <c r="HK72" s="21" t="s">
        <v>1002</v>
      </c>
      <c r="HL72" s="21" t="s">
        <v>659</v>
      </c>
      <c r="HM72" s="21" t="s">
        <v>659</v>
      </c>
      <c r="HN72" s="21" t="s">
        <v>659</v>
      </c>
      <c r="HO72" s="21" t="s">
        <v>656</v>
      </c>
      <c r="HP72" s="21" t="s">
        <v>656</v>
      </c>
      <c r="HQ72" s="21" t="s">
        <v>696</v>
      </c>
      <c r="HR72" s="21" t="s">
        <v>1330</v>
      </c>
      <c r="HT72" s="21" t="s">
        <v>723</v>
      </c>
      <c r="HU72" s="21" t="s">
        <v>1331</v>
      </c>
      <c r="IH72" s="21" t="s">
        <v>656</v>
      </c>
      <c r="II72" s="21" t="s">
        <v>656</v>
      </c>
      <c r="IN72" s="21" t="s">
        <v>725</v>
      </c>
      <c r="IO72" s="21" t="s">
        <v>726</v>
      </c>
      <c r="IP72" s="21" t="s">
        <v>726</v>
      </c>
      <c r="JT72" s="21" t="s">
        <v>727</v>
      </c>
      <c r="JV72" s="21" t="s">
        <v>659</v>
      </c>
      <c r="KB72" s="21" t="s">
        <v>659</v>
      </c>
      <c r="KF72" s="21" t="s">
        <v>659</v>
      </c>
      <c r="KH72" s="21" t="s">
        <v>659</v>
      </c>
      <c r="KL72" s="21" t="s">
        <v>659</v>
      </c>
      <c r="KM72" s="21" t="s">
        <v>656</v>
      </c>
      <c r="KN72" s="21" t="s">
        <v>659</v>
      </c>
      <c r="KO72" s="21" t="s">
        <v>659</v>
      </c>
      <c r="QW72" s="21" t="s">
        <v>656</v>
      </c>
      <c r="TI72" s="21" t="s">
        <v>656</v>
      </c>
      <c r="TL72" s="21" t="s">
        <v>656</v>
      </c>
      <c r="TZ72" s="21" t="s">
        <v>656</v>
      </c>
      <c r="WL72" s="21" t="s">
        <v>729</v>
      </c>
      <c r="WM72" s="21" t="s">
        <v>1143</v>
      </c>
      <c r="WN72" s="21" t="s">
        <v>731</v>
      </c>
      <c r="WO72" s="21" t="s">
        <v>990</v>
      </c>
      <c r="WT72" s="21" t="s">
        <v>1193</v>
      </c>
      <c r="WU72" s="21" t="s">
        <v>1194</v>
      </c>
      <c r="WV72" s="21" t="s">
        <v>1195</v>
      </c>
      <c r="WW72" s="21" t="s">
        <v>1196</v>
      </c>
      <c r="WX72" s="21" t="s">
        <v>1445</v>
      </c>
    </row>
    <row r="73">
      <c r="A73" s="21">
        <v>409.0</v>
      </c>
      <c r="B73" s="22">
        <v>44648.0</v>
      </c>
      <c r="C73" s="21">
        <v>2022.0</v>
      </c>
      <c r="D73" s="21">
        <v>2.0220038E7</v>
      </c>
      <c r="E73" s="21">
        <v>36620.0</v>
      </c>
      <c r="F73" s="21" t="s">
        <v>778</v>
      </c>
      <c r="G73" s="21">
        <v>32099.0</v>
      </c>
      <c r="H73" s="21" t="s">
        <v>651</v>
      </c>
      <c r="I73" s="21" t="s">
        <v>652</v>
      </c>
      <c r="J73" s="21" t="s">
        <v>653</v>
      </c>
      <c r="K73" s="21" t="s">
        <v>654</v>
      </c>
      <c r="L73" s="21">
        <v>77002.0</v>
      </c>
      <c r="M73" s="23">
        <v>44619.26388888889</v>
      </c>
      <c r="N73" s="21" t="s">
        <v>655</v>
      </c>
      <c r="O73" s="21" t="s">
        <v>656</v>
      </c>
      <c r="P73" s="21">
        <v>33.10916</v>
      </c>
      <c r="Q73" s="21">
        <v>-98.411693</v>
      </c>
      <c r="R73" s="21">
        <v>1329823.0</v>
      </c>
      <c r="S73" s="24">
        <v>44619.37013888889</v>
      </c>
      <c r="T73" s="21">
        <v>1329940.0</v>
      </c>
      <c r="U73" s="21" t="s">
        <v>657</v>
      </c>
      <c r="W73" s="21">
        <v>4375.3</v>
      </c>
      <c r="X73" s="21">
        <v>0.0</v>
      </c>
      <c r="Y73" s="21">
        <v>0.0</v>
      </c>
      <c r="Z73" s="21" t="s">
        <v>656</v>
      </c>
      <c r="AF73" s="21">
        <v>0.0</v>
      </c>
      <c r="AG73" s="21" t="s">
        <v>656</v>
      </c>
      <c r="AM73" s="21">
        <v>0.0</v>
      </c>
      <c r="AN73" s="21" t="s">
        <v>994</v>
      </c>
      <c r="AT73" s="21" t="s">
        <v>656</v>
      </c>
      <c r="AW73" s="21" t="s">
        <v>656</v>
      </c>
      <c r="BC73" s="21" t="s">
        <v>704</v>
      </c>
      <c r="BE73" s="24">
        <v>44619.26388888889</v>
      </c>
      <c r="BF73" s="21" t="s">
        <v>704</v>
      </c>
      <c r="BH73" s="24">
        <v>44619.29791666667</v>
      </c>
      <c r="BI73" s="21">
        <v>0.0</v>
      </c>
      <c r="BJ73" s="24">
        <v>44619.26388888889</v>
      </c>
      <c r="BK73" s="24">
        <v>44619.29513888889</v>
      </c>
      <c r="BM73" s="21" t="s">
        <v>662</v>
      </c>
      <c r="BN73" s="21" t="s">
        <v>654</v>
      </c>
      <c r="BO73" s="21">
        <v>76427.0</v>
      </c>
      <c r="BP73" s="21" t="s">
        <v>1446</v>
      </c>
      <c r="BQ73" s="21" t="s">
        <v>1447</v>
      </c>
      <c r="BR73" s="21" t="s">
        <v>665</v>
      </c>
      <c r="BT73" s="21" t="s">
        <v>1448</v>
      </c>
      <c r="BU73" s="21" t="s">
        <v>1449</v>
      </c>
      <c r="BV73" s="21" t="s">
        <v>656</v>
      </c>
      <c r="BW73" s="21" t="s">
        <v>668</v>
      </c>
      <c r="BX73" s="21" t="s">
        <v>669</v>
      </c>
      <c r="BY73" s="21" t="s">
        <v>670</v>
      </c>
      <c r="CC73" s="21" t="s">
        <v>656</v>
      </c>
      <c r="CZ73" s="21" t="s">
        <v>671</v>
      </c>
      <c r="DA73" s="21" t="s">
        <v>741</v>
      </c>
      <c r="DB73" s="21" t="s">
        <v>1253</v>
      </c>
      <c r="EO73" s="21">
        <v>2013.0</v>
      </c>
      <c r="EP73" s="21">
        <v>2013.0</v>
      </c>
      <c r="EQ73" s="21" t="s">
        <v>674</v>
      </c>
      <c r="ES73" s="21" t="s">
        <v>696</v>
      </c>
      <c r="FB73" s="21" t="s">
        <v>1450</v>
      </c>
      <c r="FC73" s="21" t="s">
        <v>677</v>
      </c>
      <c r="FD73" s="21" t="s">
        <v>656</v>
      </c>
      <c r="FF73" s="21">
        <v>384.0</v>
      </c>
      <c r="FH73" s="21" t="s">
        <v>656</v>
      </c>
      <c r="FI73" s="21" t="s">
        <v>656</v>
      </c>
      <c r="FL73" s="21" t="s">
        <v>656</v>
      </c>
      <c r="FO73" s="21">
        <v>0.0</v>
      </c>
      <c r="FP73" s="21">
        <v>20258.0</v>
      </c>
      <c r="FQ73" s="21">
        <v>0.0</v>
      </c>
      <c r="FR73" s="21">
        <v>500.0</v>
      </c>
      <c r="FS73" s="21">
        <v>0.0</v>
      </c>
      <c r="FT73" s="21">
        <v>0.0</v>
      </c>
      <c r="FV73" s="21">
        <v>4.63</v>
      </c>
      <c r="FW73" s="21">
        <v>20758.0</v>
      </c>
      <c r="FX73" s="21">
        <v>0.0</v>
      </c>
      <c r="FY73" s="21">
        <v>0.0</v>
      </c>
      <c r="FZ73" s="21">
        <v>0.0</v>
      </c>
      <c r="GA73" s="21">
        <v>0.0</v>
      </c>
      <c r="GB73" s="21" t="s">
        <v>656</v>
      </c>
      <c r="GF73" s="21">
        <v>679.0</v>
      </c>
      <c r="GG73" s="21">
        <v>0.0</v>
      </c>
      <c r="GH73" s="21">
        <v>944.0</v>
      </c>
      <c r="GI73" s="21" t="s">
        <v>719</v>
      </c>
      <c r="GK73" s="25">
        <v>27030.0</v>
      </c>
      <c r="GL73" s="21" t="s">
        <v>957</v>
      </c>
      <c r="GM73" s="21" t="s">
        <v>679</v>
      </c>
      <c r="GN73" s="21" t="s">
        <v>656</v>
      </c>
      <c r="GQ73" s="21" t="s">
        <v>656</v>
      </c>
      <c r="GS73" s="21" t="s">
        <v>720</v>
      </c>
      <c r="GT73" s="21" t="s">
        <v>720</v>
      </c>
      <c r="GU73" s="21">
        <v>50.0</v>
      </c>
      <c r="GV73" s="21" t="s">
        <v>659</v>
      </c>
      <c r="HD73" s="21" t="s">
        <v>656</v>
      </c>
      <c r="HK73" s="21" t="s">
        <v>721</v>
      </c>
      <c r="HL73" s="21" t="s">
        <v>659</v>
      </c>
      <c r="HM73" s="21" t="s">
        <v>659</v>
      </c>
      <c r="HN73" s="21" t="s">
        <v>659</v>
      </c>
      <c r="HO73" s="21" t="s">
        <v>659</v>
      </c>
      <c r="HP73" s="21" t="s">
        <v>659</v>
      </c>
      <c r="HQ73" s="21" t="s">
        <v>1113</v>
      </c>
      <c r="HS73" s="21" t="s">
        <v>699</v>
      </c>
      <c r="HT73" s="21" t="s">
        <v>723</v>
      </c>
      <c r="HU73" s="21" t="s">
        <v>1301</v>
      </c>
      <c r="IH73" s="21" t="s">
        <v>656</v>
      </c>
      <c r="II73" s="21" t="s">
        <v>656</v>
      </c>
      <c r="IN73" s="21" t="s">
        <v>761</v>
      </c>
      <c r="IO73" s="21" t="s">
        <v>762</v>
      </c>
      <c r="OU73" s="21" t="s">
        <v>762</v>
      </c>
      <c r="OV73" s="21" t="s">
        <v>659</v>
      </c>
      <c r="OW73" s="21" t="s">
        <v>659</v>
      </c>
      <c r="QE73" s="21" t="s">
        <v>659</v>
      </c>
      <c r="QF73" s="21" t="s">
        <v>1451</v>
      </c>
      <c r="UZ73" s="21" t="s">
        <v>659</v>
      </c>
      <c r="WL73" s="21" t="s">
        <v>1357</v>
      </c>
      <c r="WM73" s="21" t="s">
        <v>1452</v>
      </c>
      <c r="WN73" s="21" t="s">
        <v>1359</v>
      </c>
      <c r="WO73" s="21" t="s">
        <v>1360</v>
      </c>
      <c r="WT73" s="21" t="s">
        <v>1193</v>
      </c>
      <c r="WU73" s="21" t="s">
        <v>1194</v>
      </c>
      <c r="WV73" s="21" t="s">
        <v>1195</v>
      </c>
      <c r="WW73" s="21" t="s">
        <v>1196</v>
      </c>
      <c r="WX73" s="21" t="s">
        <v>1453</v>
      </c>
    </row>
    <row r="74">
      <c r="A74" s="21">
        <v>415.0</v>
      </c>
      <c r="B74" s="22">
        <v>44630.0</v>
      </c>
      <c r="C74" s="21">
        <v>2022.0</v>
      </c>
      <c r="D74" s="21">
        <v>2.0220027E7</v>
      </c>
      <c r="E74" s="21">
        <v>36445.0</v>
      </c>
      <c r="F74" s="21" t="s">
        <v>701</v>
      </c>
      <c r="G74" s="21">
        <v>602.0</v>
      </c>
      <c r="H74" s="21" t="s">
        <v>859</v>
      </c>
      <c r="I74" s="21" t="s">
        <v>652</v>
      </c>
      <c r="J74" s="21" t="s">
        <v>653</v>
      </c>
      <c r="K74" s="21" t="s">
        <v>654</v>
      </c>
      <c r="L74" s="21">
        <v>77002.0</v>
      </c>
      <c r="M74" s="23">
        <v>44612.33611111111</v>
      </c>
      <c r="N74" s="21" t="s">
        <v>655</v>
      </c>
      <c r="O74" s="21" t="s">
        <v>656</v>
      </c>
      <c r="P74" s="21">
        <v>35.3346</v>
      </c>
      <c r="Q74" s="21">
        <v>-92.67327</v>
      </c>
      <c r="R74" s="21">
        <v>1329308.0</v>
      </c>
      <c r="S74" s="24">
        <v>44612.427777777775</v>
      </c>
      <c r="T74" s="21">
        <v>1329431.0</v>
      </c>
      <c r="U74" s="21" t="s">
        <v>657</v>
      </c>
      <c r="W74" s="21">
        <v>13750.0</v>
      </c>
      <c r="X74" s="21">
        <v>0.0</v>
      </c>
      <c r="Y74" s="21">
        <v>0.0</v>
      </c>
      <c r="Z74" s="21" t="s">
        <v>656</v>
      </c>
      <c r="AF74" s="21">
        <v>0.0</v>
      </c>
      <c r="AG74" s="21" t="s">
        <v>656</v>
      </c>
      <c r="AM74" s="21">
        <v>0.0</v>
      </c>
      <c r="AN74" s="21" t="s">
        <v>994</v>
      </c>
      <c r="AT74" s="21" t="s">
        <v>656</v>
      </c>
      <c r="AW74" s="21" t="s">
        <v>656</v>
      </c>
      <c r="BI74" s="21">
        <v>0.0</v>
      </c>
      <c r="BJ74" s="24">
        <v>44612.33611111111</v>
      </c>
      <c r="BK74" s="24">
        <v>44612.385416666664</v>
      </c>
      <c r="BM74" s="21" t="s">
        <v>662</v>
      </c>
      <c r="BN74" s="21" t="s">
        <v>961</v>
      </c>
      <c r="BO74" s="21">
        <v>72063.0</v>
      </c>
      <c r="BP74" s="21" t="s">
        <v>1454</v>
      </c>
      <c r="BQ74" s="21" t="s">
        <v>1455</v>
      </c>
      <c r="BR74" s="21" t="s">
        <v>665</v>
      </c>
      <c r="BT74" s="21" t="s">
        <v>1456</v>
      </c>
      <c r="BU74" s="21" t="s">
        <v>1457</v>
      </c>
      <c r="BV74" s="21" t="s">
        <v>656</v>
      </c>
      <c r="BW74" s="21" t="s">
        <v>668</v>
      </c>
      <c r="BX74" s="21" t="s">
        <v>669</v>
      </c>
      <c r="BY74" s="21" t="s">
        <v>670</v>
      </c>
      <c r="CC74" s="21" t="s">
        <v>656</v>
      </c>
      <c r="CZ74" s="21" t="s">
        <v>712</v>
      </c>
      <c r="DA74" s="21" t="s">
        <v>672</v>
      </c>
      <c r="DB74" s="21" t="s">
        <v>756</v>
      </c>
      <c r="EH74" s="21" t="s">
        <v>939</v>
      </c>
      <c r="EO74" s="21" t="s">
        <v>684</v>
      </c>
      <c r="EP74" s="21" t="s">
        <v>684</v>
      </c>
      <c r="EQ74" s="21" t="s">
        <v>674</v>
      </c>
      <c r="ES74" s="21" t="s">
        <v>675</v>
      </c>
      <c r="EV74" s="21" t="s">
        <v>696</v>
      </c>
      <c r="EW74" s="21" t="s">
        <v>1458</v>
      </c>
      <c r="FC74" s="21" t="s">
        <v>677</v>
      </c>
      <c r="FD74" s="21" t="s">
        <v>656</v>
      </c>
      <c r="FF74" s="21">
        <v>524.0</v>
      </c>
      <c r="FH74" s="21" t="s">
        <v>656</v>
      </c>
      <c r="FI74" s="21" t="s">
        <v>656</v>
      </c>
      <c r="FL74" s="21" t="s">
        <v>656</v>
      </c>
      <c r="FO74" s="21">
        <v>0.0</v>
      </c>
      <c r="FP74" s="21">
        <v>60225.0</v>
      </c>
      <c r="FQ74" s="21">
        <v>0.0</v>
      </c>
      <c r="FR74" s="21">
        <v>4000.0</v>
      </c>
      <c r="FS74" s="21">
        <v>2750.0</v>
      </c>
      <c r="FT74" s="21">
        <v>0.0</v>
      </c>
      <c r="FV74" s="21">
        <v>4.38</v>
      </c>
      <c r="FW74" s="21">
        <v>66975.0</v>
      </c>
      <c r="FX74" s="21">
        <v>0.0</v>
      </c>
      <c r="FY74" s="21">
        <v>0.0</v>
      </c>
      <c r="FZ74" s="21">
        <v>0.0</v>
      </c>
      <c r="GA74" s="21">
        <v>0.0</v>
      </c>
      <c r="GB74" s="21" t="s">
        <v>656</v>
      </c>
      <c r="GF74" s="21">
        <v>880.0</v>
      </c>
      <c r="GG74" s="21">
        <v>300.0</v>
      </c>
      <c r="GH74" s="21">
        <v>1000.0</v>
      </c>
      <c r="GI74" s="21" t="s">
        <v>774</v>
      </c>
      <c r="GK74" s="25">
        <v>40998.0</v>
      </c>
      <c r="GL74" s="21" t="s">
        <v>656</v>
      </c>
      <c r="GM74" s="21" t="s">
        <v>679</v>
      </c>
      <c r="GN74" s="21" t="s">
        <v>656</v>
      </c>
      <c r="GQ74" s="21" t="s">
        <v>656</v>
      </c>
      <c r="HK74" s="21" t="s">
        <v>721</v>
      </c>
      <c r="HL74" s="21" t="s">
        <v>659</v>
      </c>
      <c r="HM74" s="21" t="s">
        <v>659</v>
      </c>
      <c r="HN74" s="21" t="s">
        <v>659</v>
      </c>
      <c r="HO74" s="21" t="s">
        <v>659</v>
      </c>
      <c r="HP74" s="21" t="s">
        <v>659</v>
      </c>
      <c r="HQ74" s="21" t="s">
        <v>681</v>
      </c>
      <c r="HT74" s="21" t="s">
        <v>723</v>
      </c>
      <c r="HU74" s="21" t="s">
        <v>1459</v>
      </c>
      <c r="IH74" s="21" t="s">
        <v>656</v>
      </c>
      <c r="II74" s="21" t="s">
        <v>656</v>
      </c>
      <c r="IN74" s="21" t="s">
        <v>761</v>
      </c>
      <c r="IO74" s="21" t="s">
        <v>762</v>
      </c>
      <c r="OU74" s="21" t="s">
        <v>762</v>
      </c>
      <c r="PF74" s="21" t="s">
        <v>659</v>
      </c>
      <c r="QE74" s="21" t="s">
        <v>659</v>
      </c>
      <c r="QF74" s="21" t="s">
        <v>1460</v>
      </c>
      <c r="VX74" s="21" t="s">
        <v>659</v>
      </c>
      <c r="VY74" s="21" t="s">
        <v>659</v>
      </c>
      <c r="WL74" s="21" t="s">
        <v>1434</v>
      </c>
      <c r="WM74" s="21" t="s">
        <v>1452</v>
      </c>
      <c r="WN74" s="21" t="s">
        <v>1436</v>
      </c>
      <c r="WO74" s="21">
        <v>4.056263981E9</v>
      </c>
      <c r="WQ74" s="21" t="s">
        <v>1434</v>
      </c>
      <c r="WR74" s="21" t="s">
        <v>1436</v>
      </c>
      <c r="WS74" s="21">
        <v>4.056263981E9</v>
      </c>
      <c r="WT74" s="21" t="s">
        <v>819</v>
      </c>
      <c r="WU74" s="21" t="s">
        <v>1144</v>
      </c>
      <c r="WV74" s="21">
        <v>4.055575271E9</v>
      </c>
      <c r="WW74" s="21" t="s">
        <v>820</v>
      </c>
      <c r="WX74" s="21" t="s">
        <v>1461</v>
      </c>
    </row>
    <row r="75">
      <c r="A75" s="21">
        <v>419.0</v>
      </c>
      <c r="B75" s="22">
        <v>44623.0</v>
      </c>
      <c r="C75" s="21">
        <v>2022.0</v>
      </c>
      <c r="D75" s="21">
        <v>2.0220023E7</v>
      </c>
      <c r="E75" s="21">
        <v>36590.0</v>
      </c>
      <c r="F75" s="21" t="s">
        <v>778</v>
      </c>
      <c r="G75" s="21">
        <v>32099.0</v>
      </c>
      <c r="H75" s="21" t="s">
        <v>651</v>
      </c>
      <c r="I75" s="21" t="s">
        <v>652</v>
      </c>
      <c r="J75" s="21" t="s">
        <v>653</v>
      </c>
      <c r="K75" s="21" t="s">
        <v>654</v>
      </c>
      <c r="L75" s="21">
        <v>77002.0</v>
      </c>
      <c r="M75" s="23">
        <v>44602.104166666664</v>
      </c>
      <c r="N75" s="21" t="s">
        <v>655</v>
      </c>
      <c r="O75" s="21" t="s">
        <v>656</v>
      </c>
      <c r="P75" s="21">
        <v>31.99858</v>
      </c>
      <c r="Q75" s="21">
        <v>-104.125339</v>
      </c>
      <c r="R75" s="21">
        <v>1328568.0</v>
      </c>
      <c r="S75" s="24">
        <v>44602.11319444444</v>
      </c>
      <c r="T75" s="21">
        <v>1328715.0</v>
      </c>
      <c r="U75" s="21" t="s">
        <v>657</v>
      </c>
      <c r="W75" s="21">
        <v>66.0</v>
      </c>
      <c r="X75" s="21">
        <v>0.0</v>
      </c>
      <c r="Y75" s="21">
        <v>0.0</v>
      </c>
      <c r="Z75" s="21" t="s">
        <v>656</v>
      </c>
      <c r="AF75" s="21">
        <v>0.0</v>
      </c>
      <c r="AG75" s="21" t="s">
        <v>656</v>
      </c>
      <c r="AM75" s="21">
        <v>0.0</v>
      </c>
      <c r="AN75" s="21" t="s">
        <v>658</v>
      </c>
      <c r="AO75" s="21" t="s">
        <v>659</v>
      </c>
      <c r="AQ75" s="24">
        <v>44602.01388888889</v>
      </c>
      <c r="AR75" s="24">
        <v>44605.40625</v>
      </c>
      <c r="AT75" s="21" t="s">
        <v>659</v>
      </c>
      <c r="AU75" s="21" t="s">
        <v>660</v>
      </c>
      <c r="AV75" s="24">
        <v>44601.989583333336</v>
      </c>
      <c r="AW75" s="21" t="s">
        <v>659</v>
      </c>
      <c r="AX75" s="24">
        <v>44601.98472222222</v>
      </c>
      <c r="AY75" s="21" t="s">
        <v>1174</v>
      </c>
      <c r="BA75" s="21">
        <v>66.0</v>
      </c>
      <c r="BB75" s="21" t="s">
        <v>656</v>
      </c>
      <c r="BI75" s="21">
        <v>0.0</v>
      </c>
      <c r="BJ75" s="24">
        <v>44602.01388888889</v>
      </c>
      <c r="BK75" s="24">
        <v>44602.01388888889</v>
      </c>
      <c r="BM75" s="21" t="s">
        <v>662</v>
      </c>
      <c r="BN75" s="21" t="s">
        <v>654</v>
      </c>
      <c r="BO75" s="21">
        <v>79770.0</v>
      </c>
      <c r="BP75" s="21" t="s">
        <v>1462</v>
      </c>
      <c r="BQ75" s="21" t="s">
        <v>1463</v>
      </c>
      <c r="BR75" s="21" t="s">
        <v>892</v>
      </c>
      <c r="BS75" s="21" t="s">
        <v>1185</v>
      </c>
      <c r="BT75" s="21" t="s">
        <v>1464</v>
      </c>
      <c r="BU75" s="21" t="s">
        <v>1465</v>
      </c>
      <c r="BV75" s="21" t="s">
        <v>656</v>
      </c>
      <c r="BW75" s="21" t="s">
        <v>668</v>
      </c>
      <c r="BX75" s="21" t="s">
        <v>669</v>
      </c>
      <c r="BY75" s="21" t="s">
        <v>670</v>
      </c>
      <c r="CC75" s="21" t="s">
        <v>656</v>
      </c>
      <c r="CZ75" s="21" t="s">
        <v>671</v>
      </c>
      <c r="DA75" s="21" t="s">
        <v>672</v>
      </c>
      <c r="DB75" s="21" t="s">
        <v>673</v>
      </c>
      <c r="EO75" s="21">
        <v>2012.0</v>
      </c>
      <c r="EP75" s="21" t="s">
        <v>684</v>
      </c>
      <c r="EQ75" s="21" t="s">
        <v>674</v>
      </c>
      <c r="ES75" s="21" t="s">
        <v>744</v>
      </c>
      <c r="EX75" s="21" t="s">
        <v>745</v>
      </c>
      <c r="EZ75" s="21">
        <v>3.0</v>
      </c>
      <c r="FA75" s="21">
        <v>1.5</v>
      </c>
      <c r="FC75" s="21" t="s">
        <v>677</v>
      </c>
      <c r="FD75" s="21" t="s">
        <v>656</v>
      </c>
      <c r="FF75" s="21">
        <v>80.0</v>
      </c>
      <c r="FH75" s="21" t="s">
        <v>656</v>
      </c>
      <c r="FI75" s="21" t="s">
        <v>656</v>
      </c>
      <c r="FL75" s="21" t="s">
        <v>656</v>
      </c>
      <c r="FO75" s="21">
        <v>0.0</v>
      </c>
      <c r="FP75" s="21">
        <v>284.0</v>
      </c>
      <c r="FQ75" s="21">
        <v>0.0</v>
      </c>
      <c r="FR75" s="21">
        <v>290000.0</v>
      </c>
      <c r="FS75" s="21">
        <v>500.0</v>
      </c>
      <c r="FT75" s="21">
        <v>0.0</v>
      </c>
      <c r="FV75" s="21">
        <v>4.31</v>
      </c>
      <c r="FW75" s="21">
        <v>290784.0</v>
      </c>
      <c r="FX75" s="21">
        <v>0.0</v>
      </c>
      <c r="FY75" s="21">
        <v>0.0</v>
      </c>
      <c r="FZ75" s="21">
        <v>0.0</v>
      </c>
      <c r="GA75" s="21">
        <v>0.0</v>
      </c>
      <c r="GB75" s="21" t="s">
        <v>656</v>
      </c>
      <c r="GF75" s="21">
        <v>980.0</v>
      </c>
      <c r="GG75" s="21">
        <v>32000.0</v>
      </c>
      <c r="GH75" s="21">
        <v>1200.0</v>
      </c>
      <c r="GI75" s="21" t="s">
        <v>774</v>
      </c>
      <c r="GK75" s="25">
        <v>44270.0</v>
      </c>
      <c r="GL75" s="21" t="s">
        <v>656</v>
      </c>
      <c r="GM75" s="21" t="s">
        <v>679</v>
      </c>
      <c r="GN75" s="21" t="s">
        <v>656</v>
      </c>
      <c r="GQ75" s="21" t="s">
        <v>656</v>
      </c>
      <c r="HK75" s="21" t="s">
        <v>1466</v>
      </c>
      <c r="HL75" s="21" t="s">
        <v>656</v>
      </c>
      <c r="HQ75" s="21" t="s">
        <v>681</v>
      </c>
      <c r="HT75" s="21" t="s">
        <v>723</v>
      </c>
      <c r="HU75" s="21" t="s">
        <v>1096</v>
      </c>
      <c r="IH75" s="21" t="s">
        <v>656</v>
      </c>
      <c r="II75" s="21" t="s">
        <v>656</v>
      </c>
      <c r="IN75" s="21" t="s">
        <v>761</v>
      </c>
      <c r="IO75" s="21" t="s">
        <v>1467</v>
      </c>
      <c r="OU75" s="21" t="s">
        <v>1467</v>
      </c>
      <c r="PS75" s="21" t="s">
        <v>659</v>
      </c>
      <c r="QC75" s="21" t="s">
        <v>659</v>
      </c>
      <c r="WC75" s="21" t="s">
        <v>659</v>
      </c>
      <c r="WL75" s="21" t="s">
        <v>1116</v>
      </c>
      <c r="WM75" s="21" t="s">
        <v>1169</v>
      </c>
      <c r="WN75" s="21" t="s">
        <v>748</v>
      </c>
      <c r="WO75" s="21" t="s">
        <v>1205</v>
      </c>
      <c r="WT75" s="21" t="s">
        <v>1193</v>
      </c>
      <c r="WU75" s="21" t="s">
        <v>1194</v>
      </c>
      <c r="WV75" s="21" t="s">
        <v>1195</v>
      </c>
      <c r="WW75" s="21" t="s">
        <v>1196</v>
      </c>
      <c r="WX75" s="21" t="s">
        <v>1468</v>
      </c>
    </row>
    <row r="76">
      <c r="A76" s="21">
        <v>430.0</v>
      </c>
      <c r="B76" s="22">
        <v>44610.0</v>
      </c>
      <c r="C76" s="21">
        <v>2022.0</v>
      </c>
      <c r="D76" s="21">
        <v>2.0220017E7</v>
      </c>
      <c r="E76" s="21">
        <v>36435.0</v>
      </c>
      <c r="F76" s="21" t="s">
        <v>778</v>
      </c>
      <c r="G76" s="21">
        <v>18152.0</v>
      </c>
      <c r="H76" s="21" t="s">
        <v>702</v>
      </c>
      <c r="I76" s="21" t="s">
        <v>652</v>
      </c>
      <c r="J76" s="21" t="s">
        <v>653</v>
      </c>
      <c r="K76" s="21" t="s">
        <v>654</v>
      </c>
      <c r="L76" s="21">
        <v>77002.0</v>
      </c>
      <c r="M76" s="23">
        <v>44582.708333333336</v>
      </c>
      <c r="N76" s="21" t="s">
        <v>655</v>
      </c>
      <c r="O76" s="21" t="s">
        <v>656</v>
      </c>
      <c r="P76" s="21">
        <v>28.888743</v>
      </c>
      <c r="Q76" s="21">
        <v>-90.823323</v>
      </c>
      <c r="R76" s="21">
        <v>1327078.0</v>
      </c>
      <c r="S76" s="24">
        <v>44583.58541666667</v>
      </c>
      <c r="U76" s="21" t="s">
        <v>657</v>
      </c>
      <c r="W76" s="21">
        <v>57802.0</v>
      </c>
      <c r="X76" s="21">
        <v>0.0</v>
      </c>
      <c r="Y76" s="21">
        <v>0.0</v>
      </c>
      <c r="Z76" s="21" t="s">
        <v>656</v>
      </c>
      <c r="AF76" s="21">
        <v>0.0</v>
      </c>
      <c r="AG76" s="21" t="s">
        <v>656</v>
      </c>
      <c r="AM76" s="21">
        <v>0.0</v>
      </c>
      <c r="AN76" s="21" t="s">
        <v>658</v>
      </c>
      <c r="AO76" s="21" t="s">
        <v>659</v>
      </c>
      <c r="AQ76" s="24">
        <v>44583.604166666664</v>
      </c>
      <c r="AR76" s="24">
        <v>44591.854166666664</v>
      </c>
      <c r="AT76" s="21" t="s">
        <v>659</v>
      </c>
      <c r="AU76" s="21" t="s">
        <v>661</v>
      </c>
      <c r="AV76" s="24">
        <v>44583.583333333336</v>
      </c>
      <c r="AW76" s="21" t="s">
        <v>656</v>
      </c>
      <c r="BC76" s="21" t="s">
        <v>704</v>
      </c>
      <c r="BE76" s="24">
        <v>44583.416666666664</v>
      </c>
      <c r="BF76" s="21" t="s">
        <v>704</v>
      </c>
      <c r="BH76" s="24">
        <v>44583.604166666664</v>
      </c>
      <c r="BI76" s="21">
        <v>0.0</v>
      </c>
      <c r="BJ76" s="24">
        <v>44590.458333333336</v>
      </c>
      <c r="BK76" s="24">
        <v>44583.364583333336</v>
      </c>
      <c r="BM76" s="21" t="s">
        <v>705</v>
      </c>
      <c r="BT76" s="21" t="s">
        <v>1469</v>
      </c>
      <c r="BU76" s="21" t="s">
        <v>1470</v>
      </c>
      <c r="CP76" s="21">
        <v>20.0</v>
      </c>
      <c r="CQ76" s="21" t="s">
        <v>708</v>
      </c>
      <c r="CV76" s="21" t="s">
        <v>997</v>
      </c>
      <c r="CW76" s="21" t="s">
        <v>1471</v>
      </c>
      <c r="CX76" s="21">
        <v>93.0</v>
      </c>
      <c r="CY76" s="21" t="s">
        <v>711</v>
      </c>
      <c r="CZ76" s="21" t="s">
        <v>712</v>
      </c>
      <c r="DA76" s="21" t="s">
        <v>713</v>
      </c>
      <c r="DB76" s="21" t="s">
        <v>714</v>
      </c>
      <c r="DC76" s="21" t="s">
        <v>715</v>
      </c>
      <c r="DD76" s="21">
        <v>30.0</v>
      </c>
      <c r="DE76" s="21" t="s">
        <v>656</v>
      </c>
      <c r="DF76" s="21">
        <v>4.06</v>
      </c>
      <c r="DG76" s="21">
        <v>65000.0</v>
      </c>
      <c r="DH76" s="21" t="s">
        <v>1472</v>
      </c>
      <c r="DI76" s="21" t="s">
        <v>848</v>
      </c>
      <c r="DK76" s="21" t="s">
        <v>1473</v>
      </c>
      <c r="DL76" s="21" t="s">
        <v>824</v>
      </c>
      <c r="DN76" s="21" t="s">
        <v>656</v>
      </c>
      <c r="EO76" s="21">
        <v>1981.0</v>
      </c>
      <c r="EP76" s="21" t="s">
        <v>684</v>
      </c>
      <c r="EQ76" s="21" t="s">
        <v>674</v>
      </c>
      <c r="ES76" s="21" t="s">
        <v>675</v>
      </c>
      <c r="EV76" s="21" t="s">
        <v>696</v>
      </c>
      <c r="EW76" s="21" t="s">
        <v>1474</v>
      </c>
      <c r="FC76" s="21" t="s">
        <v>677</v>
      </c>
      <c r="FD76" s="21" t="s">
        <v>656</v>
      </c>
      <c r="FF76" s="21">
        <v>717.0</v>
      </c>
      <c r="FH76" s="21" t="s">
        <v>656</v>
      </c>
      <c r="FI76" s="21" t="s">
        <v>656</v>
      </c>
      <c r="FL76" s="21" t="s">
        <v>656</v>
      </c>
      <c r="FO76" s="21">
        <v>0.0</v>
      </c>
      <c r="FP76" s="21">
        <v>274560.0</v>
      </c>
      <c r="FQ76" s="21">
        <v>0.0</v>
      </c>
      <c r="FR76" s="21">
        <v>225382.0</v>
      </c>
      <c r="FS76" s="21">
        <v>5000.0</v>
      </c>
      <c r="FT76" s="21">
        <v>0.0</v>
      </c>
      <c r="FV76" s="21">
        <v>4.75</v>
      </c>
      <c r="FW76" s="21">
        <v>504942.0</v>
      </c>
      <c r="FX76" s="21">
        <v>0.0</v>
      </c>
      <c r="FY76" s="21">
        <v>0.0</v>
      </c>
      <c r="FZ76" s="21">
        <v>0.0</v>
      </c>
      <c r="GA76" s="21">
        <v>0.0</v>
      </c>
      <c r="GB76" s="21" t="s">
        <v>656</v>
      </c>
      <c r="GF76" s="21">
        <v>930.0</v>
      </c>
      <c r="GG76" s="21">
        <v>0.0</v>
      </c>
      <c r="GH76" s="21">
        <v>1200.0</v>
      </c>
      <c r="GI76" s="21" t="s">
        <v>774</v>
      </c>
      <c r="GK76" s="25">
        <v>38328.0</v>
      </c>
      <c r="GL76" s="21" t="s">
        <v>656</v>
      </c>
      <c r="GM76" s="21" t="s">
        <v>679</v>
      </c>
      <c r="GN76" s="21" t="s">
        <v>656</v>
      </c>
      <c r="GQ76" s="21" t="s">
        <v>656</v>
      </c>
      <c r="GS76" s="21" t="s">
        <v>720</v>
      </c>
      <c r="GT76" s="21" t="s">
        <v>720</v>
      </c>
      <c r="GU76" s="21">
        <v>174240.0</v>
      </c>
      <c r="GV76" s="21" t="s">
        <v>656</v>
      </c>
      <c r="GY76" s="21" t="s">
        <v>659</v>
      </c>
      <c r="HD76" s="21" t="s">
        <v>656</v>
      </c>
      <c r="HK76" s="21" t="s">
        <v>721</v>
      </c>
      <c r="HL76" s="21" t="s">
        <v>659</v>
      </c>
      <c r="HM76" s="21" t="s">
        <v>659</v>
      </c>
      <c r="HN76" s="21" t="s">
        <v>659</v>
      </c>
      <c r="HO76" s="21" t="s">
        <v>656</v>
      </c>
      <c r="HP76" s="21" t="s">
        <v>656</v>
      </c>
      <c r="HQ76" s="21" t="s">
        <v>1475</v>
      </c>
      <c r="HT76" s="21" t="s">
        <v>723</v>
      </c>
      <c r="HU76" s="21" t="s">
        <v>851</v>
      </c>
      <c r="IH76" s="21" t="s">
        <v>656</v>
      </c>
      <c r="II76" s="21" t="s">
        <v>656</v>
      </c>
      <c r="IN76" s="21" t="s">
        <v>725</v>
      </c>
      <c r="IO76" s="21" t="s">
        <v>726</v>
      </c>
      <c r="IP76" s="21" t="s">
        <v>726</v>
      </c>
      <c r="JT76" s="21" t="s">
        <v>1014</v>
      </c>
      <c r="JX76" s="21" t="s">
        <v>659</v>
      </c>
      <c r="KB76" s="21" t="s">
        <v>659</v>
      </c>
      <c r="KF76" s="21" t="s">
        <v>659</v>
      </c>
      <c r="KL76" s="21" t="s">
        <v>659</v>
      </c>
      <c r="KM76" s="21" t="s">
        <v>656</v>
      </c>
      <c r="KN76" s="21" t="s">
        <v>659</v>
      </c>
      <c r="KO76" s="21" t="s">
        <v>659</v>
      </c>
      <c r="QW76" s="21" t="s">
        <v>656</v>
      </c>
      <c r="TI76" s="21" t="s">
        <v>656</v>
      </c>
      <c r="TL76" s="21" t="s">
        <v>656</v>
      </c>
      <c r="TZ76" s="21" t="s">
        <v>656</v>
      </c>
      <c r="WL76" s="21" t="s">
        <v>729</v>
      </c>
      <c r="WM76" s="21" t="s">
        <v>1143</v>
      </c>
      <c r="WN76" s="21" t="s">
        <v>731</v>
      </c>
      <c r="WO76" s="21" t="s">
        <v>990</v>
      </c>
      <c r="WT76" s="21" t="s">
        <v>945</v>
      </c>
      <c r="WU76" s="21" t="s">
        <v>1144</v>
      </c>
      <c r="WV76" s="21" t="s">
        <v>1476</v>
      </c>
      <c r="WW76" s="21" t="s">
        <v>947</v>
      </c>
      <c r="WX76" s="21" t="s">
        <v>1477</v>
      </c>
    </row>
    <row r="77">
      <c r="A77" s="21">
        <v>431.0</v>
      </c>
      <c r="B77" s="22">
        <v>44606.0</v>
      </c>
      <c r="C77" s="21">
        <v>2022.0</v>
      </c>
      <c r="D77" s="21">
        <v>2.0220012E7</v>
      </c>
      <c r="E77" s="21">
        <v>36873.0</v>
      </c>
      <c r="F77" s="21" t="s">
        <v>778</v>
      </c>
      <c r="G77" s="21">
        <v>26330.0</v>
      </c>
      <c r="H77" s="21" t="s">
        <v>950</v>
      </c>
      <c r="I77" s="21" t="s">
        <v>652</v>
      </c>
      <c r="J77" s="21" t="s">
        <v>653</v>
      </c>
      <c r="K77" s="21" t="s">
        <v>654</v>
      </c>
      <c r="L77" s="21">
        <v>77002.0</v>
      </c>
      <c r="M77" s="23">
        <v>44582.354166666664</v>
      </c>
      <c r="N77" s="21" t="s">
        <v>655</v>
      </c>
      <c r="O77" s="21" t="s">
        <v>656</v>
      </c>
      <c r="P77" s="21">
        <v>36.429269</v>
      </c>
      <c r="Q77" s="21">
        <v>-95.70107</v>
      </c>
      <c r="R77" s="21">
        <v>1327011.0</v>
      </c>
      <c r="S77" s="24">
        <v>44582.40694444445</v>
      </c>
      <c r="T77" s="21">
        <v>1327084.0</v>
      </c>
      <c r="U77" s="21" t="s">
        <v>657</v>
      </c>
      <c r="W77" s="21">
        <v>4172.0</v>
      </c>
      <c r="X77" s="21">
        <v>0.0</v>
      </c>
      <c r="Y77" s="21">
        <v>0.0</v>
      </c>
      <c r="Z77" s="21" t="s">
        <v>656</v>
      </c>
      <c r="AF77" s="21">
        <v>0.0</v>
      </c>
      <c r="AG77" s="21" t="s">
        <v>656</v>
      </c>
      <c r="AM77" s="21">
        <v>0.0</v>
      </c>
      <c r="AN77" s="21" t="s">
        <v>658</v>
      </c>
      <c r="AO77" s="21" t="s">
        <v>656</v>
      </c>
      <c r="AP77" s="21" t="s">
        <v>1478</v>
      </c>
      <c r="AT77" s="21" t="s">
        <v>656</v>
      </c>
      <c r="AW77" s="21" t="s">
        <v>656</v>
      </c>
      <c r="BI77" s="21">
        <v>0.0</v>
      </c>
      <c r="BJ77" s="24">
        <v>44582.354166666664</v>
      </c>
      <c r="BK77" s="24">
        <v>44582.354166666664</v>
      </c>
      <c r="BM77" s="21" t="s">
        <v>662</v>
      </c>
      <c r="BN77" s="21" t="s">
        <v>860</v>
      </c>
      <c r="BO77" s="21">
        <v>74053.0</v>
      </c>
      <c r="BP77" s="21" t="s">
        <v>1479</v>
      </c>
      <c r="BQ77" s="21" t="s">
        <v>953</v>
      </c>
      <c r="BR77" s="21" t="s">
        <v>665</v>
      </c>
      <c r="BT77" s="21" t="s">
        <v>1480</v>
      </c>
      <c r="BU77" s="21" t="s">
        <v>1480</v>
      </c>
      <c r="BV77" s="21" t="s">
        <v>656</v>
      </c>
      <c r="BW77" s="21" t="s">
        <v>668</v>
      </c>
      <c r="BX77" s="21" t="s">
        <v>669</v>
      </c>
      <c r="BY77" s="21" t="s">
        <v>670</v>
      </c>
      <c r="CC77" s="21" t="s">
        <v>656</v>
      </c>
      <c r="CZ77" s="21" t="s">
        <v>671</v>
      </c>
      <c r="DA77" s="21" t="s">
        <v>920</v>
      </c>
      <c r="DB77" s="21" t="s">
        <v>1253</v>
      </c>
      <c r="EO77" s="21" t="s">
        <v>684</v>
      </c>
      <c r="EP77" s="21" t="s">
        <v>684</v>
      </c>
      <c r="EQ77" s="21" t="s">
        <v>674</v>
      </c>
      <c r="ES77" s="21" t="s">
        <v>675</v>
      </c>
      <c r="EV77" s="21" t="s">
        <v>696</v>
      </c>
      <c r="EW77" s="21" t="s">
        <v>1481</v>
      </c>
      <c r="FC77" s="21" t="s">
        <v>1256</v>
      </c>
      <c r="FD77" s="21" t="s">
        <v>659</v>
      </c>
      <c r="FE77" s="21" t="s">
        <v>1216</v>
      </c>
      <c r="FF77" s="21">
        <v>407.0</v>
      </c>
      <c r="FH77" s="21" t="s">
        <v>656</v>
      </c>
      <c r="FI77" s="21" t="s">
        <v>656</v>
      </c>
      <c r="FO77" s="21">
        <v>0.0</v>
      </c>
      <c r="FP77" s="21">
        <v>16313.0</v>
      </c>
      <c r="FQ77" s="21">
        <v>0.0</v>
      </c>
      <c r="FR77" s="21">
        <v>9500.0</v>
      </c>
      <c r="FS77" s="21">
        <v>500.0</v>
      </c>
      <c r="FT77" s="21">
        <v>0.0</v>
      </c>
      <c r="FV77" s="21">
        <v>3.91</v>
      </c>
      <c r="FW77" s="21">
        <v>26313.0</v>
      </c>
      <c r="FX77" s="21">
        <v>0.0</v>
      </c>
      <c r="FY77" s="21">
        <v>0.0</v>
      </c>
      <c r="FZ77" s="21">
        <v>0.0</v>
      </c>
      <c r="GA77" s="21">
        <v>0.0</v>
      </c>
      <c r="GB77" s="21" t="s">
        <v>656</v>
      </c>
      <c r="GF77" s="21">
        <v>390.0</v>
      </c>
      <c r="GG77" s="21">
        <v>2.68</v>
      </c>
      <c r="GH77" s="21">
        <v>605.0</v>
      </c>
      <c r="GI77" s="21" t="s">
        <v>774</v>
      </c>
      <c r="GK77" s="25">
        <v>43608.0</v>
      </c>
      <c r="GL77" s="21" t="s">
        <v>656</v>
      </c>
      <c r="GM77" s="21" t="s">
        <v>679</v>
      </c>
      <c r="GN77" s="21" t="s">
        <v>656</v>
      </c>
      <c r="GQ77" s="21" t="s">
        <v>656</v>
      </c>
      <c r="HK77" s="21" t="s">
        <v>721</v>
      </c>
      <c r="HL77" s="21" t="s">
        <v>659</v>
      </c>
      <c r="HM77" s="21" t="s">
        <v>659</v>
      </c>
      <c r="HN77" s="21" t="s">
        <v>659</v>
      </c>
      <c r="HO77" s="21" t="s">
        <v>656</v>
      </c>
      <c r="HP77" s="21" t="s">
        <v>656</v>
      </c>
      <c r="HQ77" s="21" t="s">
        <v>698</v>
      </c>
      <c r="HS77" s="21" t="s">
        <v>699</v>
      </c>
      <c r="HT77" s="21" t="s">
        <v>723</v>
      </c>
      <c r="HU77" s="21" t="s">
        <v>761</v>
      </c>
      <c r="IH77" s="21" t="s">
        <v>656</v>
      </c>
      <c r="II77" s="21" t="s">
        <v>656</v>
      </c>
      <c r="IN77" s="21" t="s">
        <v>761</v>
      </c>
      <c r="IO77" s="21" t="s">
        <v>762</v>
      </c>
      <c r="OU77" s="21" t="s">
        <v>762</v>
      </c>
      <c r="PE77" s="21" t="s">
        <v>659</v>
      </c>
      <c r="QE77" s="21" t="s">
        <v>659</v>
      </c>
      <c r="QF77" s="21" t="s">
        <v>1482</v>
      </c>
      <c r="UZ77" s="21" t="s">
        <v>659</v>
      </c>
      <c r="VX77" s="21" t="s">
        <v>659</v>
      </c>
      <c r="WL77" s="21" t="s">
        <v>854</v>
      </c>
      <c r="WM77" s="21" t="s">
        <v>1289</v>
      </c>
      <c r="WN77" s="21" t="s">
        <v>1483</v>
      </c>
      <c r="WO77" s="21">
        <v>4.05576823E9</v>
      </c>
      <c r="WQ77" s="21" t="s">
        <v>854</v>
      </c>
      <c r="WR77" s="21" t="s">
        <v>857</v>
      </c>
      <c r="WS77" s="21">
        <v>4.05576823E9</v>
      </c>
      <c r="WT77" s="21" t="s">
        <v>854</v>
      </c>
      <c r="WU77" s="21" t="s">
        <v>1452</v>
      </c>
      <c r="WV77" s="21">
        <v>4.05576823E9</v>
      </c>
      <c r="WW77" s="21" t="s">
        <v>857</v>
      </c>
      <c r="WX77" s="21" t="s">
        <v>1484</v>
      </c>
    </row>
    <row r="78">
      <c r="A78" s="21">
        <v>436.0</v>
      </c>
      <c r="B78" s="22">
        <v>44592.0</v>
      </c>
      <c r="C78" s="21">
        <v>2022.0</v>
      </c>
      <c r="D78" s="21">
        <v>2.0220007E7</v>
      </c>
      <c r="E78" s="21">
        <v>36527.0</v>
      </c>
      <c r="F78" s="21" t="s">
        <v>778</v>
      </c>
      <c r="G78" s="21">
        <v>15105.0</v>
      </c>
      <c r="H78" s="21" t="s">
        <v>794</v>
      </c>
      <c r="I78" s="21" t="s">
        <v>652</v>
      </c>
      <c r="J78" s="21" t="s">
        <v>653</v>
      </c>
      <c r="K78" s="21" t="s">
        <v>654</v>
      </c>
      <c r="L78" s="21">
        <v>77002.0</v>
      </c>
      <c r="M78" s="23">
        <v>44564.729166666664</v>
      </c>
      <c r="N78" s="21" t="s">
        <v>655</v>
      </c>
      <c r="O78" s="21" t="s">
        <v>656</v>
      </c>
      <c r="P78" s="21">
        <v>37.70511</v>
      </c>
      <c r="Q78" s="21">
        <v>-101.203381</v>
      </c>
      <c r="R78" s="21">
        <v>1325831.0</v>
      </c>
      <c r="S78" s="24">
        <v>44564.825694444444</v>
      </c>
      <c r="T78" s="21">
        <v>1325936.0</v>
      </c>
      <c r="U78" s="21" t="s">
        <v>657</v>
      </c>
      <c r="W78" s="21">
        <v>22878.0</v>
      </c>
      <c r="X78" s="21">
        <v>0.0</v>
      </c>
      <c r="Y78" s="21">
        <v>0.0</v>
      </c>
      <c r="Z78" s="21" t="s">
        <v>656</v>
      </c>
      <c r="AF78" s="21">
        <v>0.0</v>
      </c>
      <c r="AG78" s="21" t="s">
        <v>656</v>
      </c>
      <c r="AM78" s="21">
        <v>0.0</v>
      </c>
      <c r="AN78" s="21" t="s">
        <v>658</v>
      </c>
      <c r="AO78" s="21" t="s">
        <v>656</v>
      </c>
      <c r="AP78" s="21" t="s">
        <v>1485</v>
      </c>
      <c r="AT78" s="21" t="s">
        <v>656</v>
      </c>
      <c r="AW78" s="21" t="s">
        <v>656</v>
      </c>
      <c r="BI78" s="21">
        <v>0.0</v>
      </c>
      <c r="BJ78" s="24">
        <v>44563.38402777778</v>
      </c>
      <c r="BK78" s="24">
        <v>44563.416666666664</v>
      </c>
      <c r="BM78" s="21" t="s">
        <v>662</v>
      </c>
      <c r="BN78" s="21" t="s">
        <v>1034</v>
      </c>
      <c r="BO78" s="21">
        <v>67880.0</v>
      </c>
      <c r="BP78" s="21" t="s">
        <v>1486</v>
      </c>
      <c r="BQ78" s="21" t="s">
        <v>1091</v>
      </c>
      <c r="BR78" s="21" t="s">
        <v>665</v>
      </c>
      <c r="BT78" s="21" t="s">
        <v>1487</v>
      </c>
      <c r="BU78" s="21" t="s">
        <v>1488</v>
      </c>
      <c r="BV78" s="21" t="s">
        <v>656</v>
      </c>
      <c r="BW78" s="21" t="s">
        <v>668</v>
      </c>
      <c r="BX78" s="21" t="s">
        <v>669</v>
      </c>
      <c r="BY78" s="21" t="s">
        <v>670</v>
      </c>
      <c r="CC78" s="21" t="s">
        <v>656</v>
      </c>
      <c r="CZ78" s="21" t="s">
        <v>712</v>
      </c>
      <c r="DA78" s="21" t="s">
        <v>672</v>
      </c>
      <c r="DB78" s="21" t="s">
        <v>756</v>
      </c>
      <c r="EH78" s="21" t="s">
        <v>1432</v>
      </c>
      <c r="EO78" s="21">
        <v>1974.0</v>
      </c>
      <c r="EP78" s="21" t="s">
        <v>684</v>
      </c>
      <c r="EQ78" s="21" t="s">
        <v>674</v>
      </c>
      <c r="ES78" s="21" t="s">
        <v>696</v>
      </c>
      <c r="FB78" s="21" t="s">
        <v>1489</v>
      </c>
      <c r="FC78" s="21" t="s">
        <v>677</v>
      </c>
      <c r="FD78" s="21" t="s">
        <v>656</v>
      </c>
      <c r="FF78" s="21">
        <v>111.0</v>
      </c>
      <c r="FH78" s="21" t="s">
        <v>656</v>
      </c>
      <c r="FI78" s="21" t="s">
        <v>656</v>
      </c>
      <c r="FL78" s="21" t="s">
        <v>656</v>
      </c>
      <c r="FO78" s="21">
        <v>0.0</v>
      </c>
      <c r="FP78" s="21">
        <v>52162.0</v>
      </c>
      <c r="FQ78" s="21">
        <v>0.0</v>
      </c>
      <c r="FR78" s="21">
        <v>400.0</v>
      </c>
      <c r="FS78" s="21">
        <v>235.0</v>
      </c>
      <c r="FT78" s="21">
        <v>0.0</v>
      </c>
      <c r="FV78" s="21">
        <v>2.28</v>
      </c>
      <c r="FW78" s="21">
        <v>52797.0</v>
      </c>
      <c r="FX78" s="21">
        <v>0.0</v>
      </c>
      <c r="FY78" s="21">
        <v>0.0</v>
      </c>
      <c r="FZ78" s="21">
        <v>0.0</v>
      </c>
      <c r="GA78" s="21">
        <v>0.0</v>
      </c>
      <c r="GB78" s="21" t="s">
        <v>656</v>
      </c>
      <c r="GF78" s="21">
        <v>467.0</v>
      </c>
      <c r="GG78" s="21">
        <v>0.0</v>
      </c>
      <c r="GH78" s="21">
        <v>960.0</v>
      </c>
      <c r="GI78" s="21" t="s">
        <v>719</v>
      </c>
      <c r="GK78" s="25">
        <v>27381.0</v>
      </c>
      <c r="GL78" s="21" t="s">
        <v>656</v>
      </c>
      <c r="GM78" s="21" t="s">
        <v>679</v>
      </c>
      <c r="GN78" s="21" t="s">
        <v>656</v>
      </c>
      <c r="GQ78" s="21" t="s">
        <v>656</v>
      </c>
      <c r="HK78" s="21" t="s">
        <v>721</v>
      </c>
      <c r="HL78" s="21" t="s">
        <v>659</v>
      </c>
      <c r="HM78" s="21" t="s">
        <v>659</v>
      </c>
      <c r="HN78" s="21" t="s">
        <v>659</v>
      </c>
      <c r="HO78" s="21" t="s">
        <v>656</v>
      </c>
      <c r="HP78" s="21" t="s">
        <v>656</v>
      </c>
      <c r="HQ78" s="21" t="s">
        <v>806</v>
      </c>
      <c r="HT78" s="21" t="s">
        <v>723</v>
      </c>
      <c r="HU78" s="21" t="s">
        <v>1490</v>
      </c>
      <c r="IH78" s="21" t="s">
        <v>656</v>
      </c>
      <c r="II78" s="21" t="s">
        <v>656</v>
      </c>
      <c r="IN78" s="21" t="s">
        <v>761</v>
      </c>
      <c r="IO78" s="21" t="s">
        <v>762</v>
      </c>
      <c r="OU78" s="21" t="s">
        <v>762</v>
      </c>
      <c r="PB78" s="21" t="s">
        <v>659</v>
      </c>
      <c r="QE78" s="21" t="s">
        <v>659</v>
      </c>
      <c r="QF78" s="21" t="s">
        <v>1491</v>
      </c>
      <c r="WL78" s="21" t="s">
        <v>1492</v>
      </c>
      <c r="WM78" s="21" t="s">
        <v>1493</v>
      </c>
      <c r="WN78" s="21" t="s">
        <v>1494</v>
      </c>
      <c r="WO78" s="21" t="s">
        <v>1495</v>
      </c>
      <c r="WT78" s="21" t="s">
        <v>945</v>
      </c>
      <c r="WU78" s="21" t="s">
        <v>1144</v>
      </c>
      <c r="WV78" s="21" t="s">
        <v>948</v>
      </c>
      <c r="WW78" s="21" t="s">
        <v>947</v>
      </c>
      <c r="WX78" s="21" t="s">
        <v>1496</v>
      </c>
    </row>
    <row r="79">
      <c r="A79" s="21">
        <v>441.0</v>
      </c>
      <c r="B79" s="22">
        <v>44582.0</v>
      </c>
      <c r="C79" s="21">
        <v>2021.0</v>
      </c>
      <c r="D79" s="21">
        <v>2.0220004E7</v>
      </c>
      <c r="E79" s="21">
        <v>36262.0</v>
      </c>
      <c r="F79" s="21" t="s">
        <v>701</v>
      </c>
      <c r="G79" s="21">
        <v>602.0</v>
      </c>
      <c r="H79" s="21" t="s">
        <v>859</v>
      </c>
      <c r="I79" s="21" t="s">
        <v>652</v>
      </c>
      <c r="J79" s="21" t="s">
        <v>653</v>
      </c>
      <c r="K79" s="21" t="s">
        <v>654</v>
      </c>
      <c r="L79" s="21">
        <v>77002.0</v>
      </c>
      <c r="M79" s="23">
        <v>44554.583333333336</v>
      </c>
      <c r="N79" s="21" t="s">
        <v>655</v>
      </c>
      <c r="O79" s="21" t="s">
        <v>656</v>
      </c>
      <c r="P79" s="21">
        <v>34.709423</v>
      </c>
      <c r="Q79" s="21">
        <v>-96.29772</v>
      </c>
      <c r="R79" s="21">
        <v>1325220.0</v>
      </c>
      <c r="S79" s="24">
        <v>44554.604166666664</v>
      </c>
      <c r="T79" s="21">
        <v>1325255.0</v>
      </c>
      <c r="U79" s="21" t="s">
        <v>657</v>
      </c>
      <c r="W79" s="21">
        <v>6500.0</v>
      </c>
      <c r="X79" s="21">
        <v>0.0</v>
      </c>
      <c r="Y79" s="21">
        <v>0.0</v>
      </c>
      <c r="Z79" s="21" t="s">
        <v>656</v>
      </c>
      <c r="AF79" s="21">
        <v>0.0</v>
      </c>
      <c r="AG79" s="21" t="s">
        <v>656</v>
      </c>
      <c r="AM79" s="21">
        <v>0.0</v>
      </c>
      <c r="AN79" s="21" t="s">
        <v>658</v>
      </c>
      <c r="AO79" s="21" t="s">
        <v>656</v>
      </c>
      <c r="AP79" s="21" t="s">
        <v>1497</v>
      </c>
      <c r="AT79" s="21" t="s">
        <v>656</v>
      </c>
      <c r="AW79" s="21" t="s">
        <v>656</v>
      </c>
      <c r="BI79" s="21">
        <v>0.0</v>
      </c>
      <c r="BJ79" s="24">
        <v>44554.583333333336</v>
      </c>
      <c r="BK79" s="24">
        <v>44554.572916666664</v>
      </c>
      <c r="BM79" s="21" t="s">
        <v>662</v>
      </c>
      <c r="BN79" s="21" t="s">
        <v>860</v>
      </c>
      <c r="BO79" s="21">
        <v>74534.0</v>
      </c>
      <c r="BP79" s="21" t="s">
        <v>1498</v>
      </c>
      <c r="BQ79" s="21" t="s">
        <v>1499</v>
      </c>
      <c r="BR79" s="21" t="s">
        <v>665</v>
      </c>
      <c r="BT79" s="21" t="s">
        <v>1500</v>
      </c>
      <c r="BU79" s="21" t="s">
        <v>1501</v>
      </c>
      <c r="BV79" s="21" t="s">
        <v>656</v>
      </c>
      <c r="BW79" s="21" t="s">
        <v>668</v>
      </c>
      <c r="BX79" s="21" t="s">
        <v>669</v>
      </c>
      <c r="BY79" s="21" t="s">
        <v>670</v>
      </c>
      <c r="CC79" s="21" t="s">
        <v>656</v>
      </c>
      <c r="CZ79" s="21" t="s">
        <v>712</v>
      </c>
      <c r="DA79" s="21" t="s">
        <v>672</v>
      </c>
      <c r="DB79" s="21" t="s">
        <v>1253</v>
      </c>
      <c r="EO79" s="21" t="s">
        <v>684</v>
      </c>
      <c r="EP79" s="21" t="s">
        <v>684</v>
      </c>
      <c r="EQ79" s="21" t="s">
        <v>674</v>
      </c>
      <c r="ES79" s="21" t="s">
        <v>675</v>
      </c>
      <c r="EV79" s="21" t="s">
        <v>696</v>
      </c>
      <c r="EW79" s="21" t="s">
        <v>1502</v>
      </c>
      <c r="FC79" s="21" t="s">
        <v>677</v>
      </c>
      <c r="FD79" s="21" t="s">
        <v>656</v>
      </c>
      <c r="FF79" s="21">
        <v>285.0</v>
      </c>
      <c r="FH79" s="21" t="s">
        <v>656</v>
      </c>
      <c r="FI79" s="21" t="s">
        <v>656</v>
      </c>
      <c r="FL79" s="21" t="s">
        <v>656</v>
      </c>
      <c r="FO79" s="21">
        <v>0.0</v>
      </c>
      <c r="FP79" s="21">
        <v>24440.0</v>
      </c>
      <c r="FQ79" s="21">
        <v>0.0</v>
      </c>
      <c r="FR79" s="21">
        <v>0.0</v>
      </c>
      <c r="FS79" s="21">
        <v>500.0</v>
      </c>
      <c r="FT79" s="21">
        <v>0.0</v>
      </c>
      <c r="FV79" s="21">
        <v>3.76</v>
      </c>
      <c r="FW79" s="21">
        <v>24940.0</v>
      </c>
      <c r="FX79" s="21">
        <v>0.0</v>
      </c>
      <c r="FY79" s="21">
        <v>0.0</v>
      </c>
      <c r="FZ79" s="21">
        <v>0.0</v>
      </c>
      <c r="GA79" s="21">
        <v>0.0</v>
      </c>
      <c r="GB79" s="21" t="s">
        <v>656</v>
      </c>
      <c r="GF79" s="21">
        <v>164.0</v>
      </c>
      <c r="GG79" s="21">
        <v>1.0</v>
      </c>
      <c r="GH79" s="21">
        <v>1700.0</v>
      </c>
      <c r="GI79" s="21" t="s">
        <v>774</v>
      </c>
      <c r="GK79" s="25">
        <v>40998.0</v>
      </c>
      <c r="GL79" s="21" t="s">
        <v>656</v>
      </c>
      <c r="GM79" s="21" t="s">
        <v>679</v>
      </c>
      <c r="GN79" s="21" t="s">
        <v>656</v>
      </c>
      <c r="GQ79" s="21" t="s">
        <v>656</v>
      </c>
      <c r="HK79" s="21" t="s">
        <v>1300</v>
      </c>
      <c r="HL79" s="21" t="s">
        <v>659</v>
      </c>
      <c r="HM79" s="21" t="s">
        <v>659</v>
      </c>
      <c r="HN79" s="21" t="s">
        <v>659</v>
      </c>
      <c r="HO79" s="21" t="s">
        <v>656</v>
      </c>
      <c r="HP79" s="21" t="s">
        <v>656</v>
      </c>
      <c r="HQ79" s="21" t="s">
        <v>698</v>
      </c>
      <c r="HS79" s="21" t="s">
        <v>699</v>
      </c>
      <c r="HT79" s="21" t="s">
        <v>723</v>
      </c>
      <c r="HU79" s="21" t="s">
        <v>1503</v>
      </c>
      <c r="IH79" s="21" t="s">
        <v>656</v>
      </c>
      <c r="II79" s="21" t="s">
        <v>656</v>
      </c>
      <c r="IN79" s="21" t="s">
        <v>761</v>
      </c>
      <c r="IO79" s="21" t="s">
        <v>762</v>
      </c>
      <c r="OU79" s="21" t="s">
        <v>762</v>
      </c>
      <c r="PB79" s="21" t="s">
        <v>659</v>
      </c>
      <c r="QE79" s="21" t="s">
        <v>659</v>
      </c>
      <c r="QF79" s="21" t="s">
        <v>1504</v>
      </c>
      <c r="VX79" s="21" t="s">
        <v>659</v>
      </c>
      <c r="WL79" s="21" t="s">
        <v>1434</v>
      </c>
      <c r="WM79" s="21" t="s">
        <v>1452</v>
      </c>
      <c r="WN79" s="21" t="s">
        <v>1436</v>
      </c>
      <c r="WO79" s="21">
        <v>4.056263981E9</v>
      </c>
      <c r="WQ79" s="21" t="s">
        <v>819</v>
      </c>
      <c r="WR79" s="21" t="s">
        <v>820</v>
      </c>
      <c r="WS79" s="21">
        <v>4.055575271E9</v>
      </c>
      <c r="WT79" s="21" t="s">
        <v>1434</v>
      </c>
      <c r="WU79" s="21" t="s">
        <v>1452</v>
      </c>
      <c r="WV79" s="21">
        <v>4.056263981E9</v>
      </c>
      <c r="WW79" s="21" t="s">
        <v>1436</v>
      </c>
      <c r="WX79" s="21" t="s">
        <v>1505</v>
      </c>
    </row>
    <row r="80">
      <c r="A80" s="21">
        <v>442.0</v>
      </c>
      <c r="B80" s="22">
        <v>44573.0</v>
      </c>
      <c r="C80" s="21">
        <v>2021.0</v>
      </c>
      <c r="D80" s="21">
        <v>2.0220002E7</v>
      </c>
      <c r="E80" s="21">
        <v>36523.0</v>
      </c>
      <c r="F80" s="21" t="s">
        <v>778</v>
      </c>
      <c r="G80" s="21">
        <v>40069.0</v>
      </c>
      <c r="H80" s="21" t="s">
        <v>993</v>
      </c>
      <c r="I80" s="21" t="s">
        <v>652</v>
      </c>
      <c r="J80" s="21" t="s">
        <v>653</v>
      </c>
      <c r="K80" s="21" t="s">
        <v>654</v>
      </c>
      <c r="L80" s="21">
        <v>77002.0</v>
      </c>
      <c r="M80" s="23">
        <v>44542.63333333333</v>
      </c>
      <c r="N80" s="21" t="s">
        <v>655</v>
      </c>
      <c r="O80" s="21" t="s">
        <v>656</v>
      </c>
      <c r="P80" s="21">
        <v>28.294167</v>
      </c>
      <c r="Q80" s="21">
        <v>-93.2935</v>
      </c>
      <c r="R80" s="21">
        <v>1324367.0</v>
      </c>
      <c r="S80" s="24">
        <v>44542.743055555555</v>
      </c>
      <c r="T80" s="21">
        <v>1324511.0</v>
      </c>
      <c r="U80" s="21" t="s">
        <v>657</v>
      </c>
      <c r="W80" s="21">
        <v>119739.0</v>
      </c>
      <c r="X80" s="21">
        <v>0.0</v>
      </c>
      <c r="Y80" s="21">
        <v>4.0</v>
      </c>
      <c r="Z80" s="21" t="s">
        <v>656</v>
      </c>
      <c r="AF80" s="21">
        <v>0.0</v>
      </c>
      <c r="AG80" s="21" t="s">
        <v>656</v>
      </c>
      <c r="AM80" s="21">
        <v>0.0</v>
      </c>
      <c r="AN80" s="21" t="s">
        <v>658</v>
      </c>
      <c r="AO80" s="21" t="s">
        <v>659</v>
      </c>
      <c r="AQ80" s="24">
        <v>44542.708333333336</v>
      </c>
      <c r="AR80" s="24">
        <v>44603.645833333336</v>
      </c>
      <c r="AT80" s="21" t="s">
        <v>656</v>
      </c>
      <c r="AW80" s="21" t="s">
        <v>656</v>
      </c>
      <c r="BC80" s="21" t="s">
        <v>704</v>
      </c>
      <c r="BE80" s="24">
        <v>44542.708333333336</v>
      </c>
      <c r="BF80" s="21" t="s">
        <v>704</v>
      </c>
      <c r="BH80" s="24">
        <v>44542.708333333336</v>
      </c>
      <c r="BI80" s="21">
        <v>0.0</v>
      </c>
      <c r="BJ80" s="24">
        <v>44543.56597222222</v>
      </c>
      <c r="BK80" s="24">
        <v>44546.8125</v>
      </c>
      <c r="BM80" s="21" t="s">
        <v>705</v>
      </c>
      <c r="BT80" s="21" t="s">
        <v>995</v>
      </c>
      <c r="BU80" s="21" t="s">
        <v>1506</v>
      </c>
      <c r="CP80" s="21">
        <v>190.0</v>
      </c>
      <c r="CQ80" s="21" t="s">
        <v>708</v>
      </c>
      <c r="CV80" s="21" t="s">
        <v>997</v>
      </c>
      <c r="CW80" s="21" t="s">
        <v>998</v>
      </c>
      <c r="CX80" s="21">
        <v>550.0</v>
      </c>
      <c r="CY80" s="21" t="s">
        <v>711</v>
      </c>
      <c r="CZ80" s="21" t="s">
        <v>712</v>
      </c>
      <c r="DA80" s="21" t="s">
        <v>713</v>
      </c>
      <c r="DB80" s="21" t="s">
        <v>714</v>
      </c>
      <c r="DC80" s="21" t="s">
        <v>715</v>
      </c>
      <c r="DD80" s="21">
        <v>30.0</v>
      </c>
      <c r="DE80" s="21" t="s">
        <v>656</v>
      </c>
      <c r="DF80" s="21">
        <v>0.568</v>
      </c>
      <c r="DG80" s="21">
        <v>60000.0</v>
      </c>
      <c r="DH80" s="21" t="s">
        <v>1328</v>
      </c>
      <c r="DI80" s="21" t="s">
        <v>848</v>
      </c>
      <c r="DK80" s="21" t="s">
        <v>1329</v>
      </c>
      <c r="DL80" s="21" t="s">
        <v>696</v>
      </c>
      <c r="DM80" s="21" t="s">
        <v>1000</v>
      </c>
      <c r="DN80" s="21" t="s">
        <v>684</v>
      </c>
      <c r="EO80" s="21">
        <v>1975.0</v>
      </c>
      <c r="EP80" s="21">
        <v>1975.0</v>
      </c>
      <c r="EQ80" s="21" t="s">
        <v>674</v>
      </c>
      <c r="ES80" s="21" t="s">
        <v>675</v>
      </c>
      <c r="EV80" s="21" t="s">
        <v>718</v>
      </c>
      <c r="FC80" s="21" t="s">
        <v>677</v>
      </c>
      <c r="FD80" s="21" t="s">
        <v>656</v>
      </c>
      <c r="FF80" s="21">
        <v>717.0</v>
      </c>
      <c r="FH80" s="21" t="s">
        <v>656</v>
      </c>
      <c r="FI80" s="21" t="s">
        <v>656</v>
      </c>
      <c r="FL80" s="21" t="s">
        <v>656</v>
      </c>
      <c r="FO80" s="21">
        <v>0.0</v>
      </c>
      <c r="FP80" s="21">
        <v>484943.0</v>
      </c>
      <c r="FQ80" s="21">
        <v>0.0</v>
      </c>
      <c r="FR80" s="21">
        <v>935059.0</v>
      </c>
      <c r="FS80" s="21">
        <v>0.0</v>
      </c>
      <c r="FT80" s="21">
        <v>0.0</v>
      </c>
      <c r="FV80" s="21">
        <v>4.05</v>
      </c>
      <c r="FW80" s="21">
        <v>1420002.0</v>
      </c>
      <c r="FX80" s="21">
        <v>0.0</v>
      </c>
      <c r="FY80" s="21">
        <v>0.0</v>
      </c>
      <c r="FZ80" s="21">
        <v>0.0</v>
      </c>
      <c r="GA80" s="21">
        <v>0.0</v>
      </c>
      <c r="GB80" s="21" t="s">
        <v>656</v>
      </c>
      <c r="GF80" s="21">
        <v>930.0</v>
      </c>
      <c r="GG80" s="21">
        <v>1000.0</v>
      </c>
      <c r="GH80" s="21">
        <v>1200.0</v>
      </c>
      <c r="GI80" s="21" t="s">
        <v>719</v>
      </c>
      <c r="GK80" s="25">
        <v>27456.0</v>
      </c>
      <c r="GL80" s="21" t="s">
        <v>656</v>
      </c>
      <c r="GM80" s="21" t="s">
        <v>679</v>
      </c>
      <c r="GN80" s="21" t="s">
        <v>656</v>
      </c>
      <c r="GQ80" s="21" t="s">
        <v>656</v>
      </c>
      <c r="GS80" s="21" t="s">
        <v>720</v>
      </c>
      <c r="GT80" s="21" t="s">
        <v>720</v>
      </c>
      <c r="GU80" s="21">
        <v>318991.0</v>
      </c>
      <c r="GV80" s="21" t="s">
        <v>659</v>
      </c>
      <c r="HD80" s="21" t="s">
        <v>659</v>
      </c>
      <c r="HI80" s="21" t="s">
        <v>659</v>
      </c>
      <c r="HJ80" s="21" t="s">
        <v>1001</v>
      </c>
      <c r="HK80" s="21" t="s">
        <v>1002</v>
      </c>
      <c r="HL80" s="21" t="s">
        <v>659</v>
      </c>
      <c r="HM80" s="21" t="s">
        <v>659</v>
      </c>
      <c r="HN80" s="21" t="s">
        <v>659</v>
      </c>
      <c r="HO80" s="21" t="s">
        <v>656</v>
      </c>
      <c r="HP80" s="21" t="s">
        <v>656</v>
      </c>
      <c r="HQ80" s="21" t="s">
        <v>696</v>
      </c>
      <c r="HR80" s="21" t="s">
        <v>1330</v>
      </c>
      <c r="HT80" s="21" t="s">
        <v>723</v>
      </c>
      <c r="HU80" s="21" t="s">
        <v>1331</v>
      </c>
      <c r="IH80" s="21" t="s">
        <v>656</v>
      </c>
      <c r="II80" s="21" t="s">
        <v>656</v>
      </c>
      <c r="IN80" s="21" t="s">
        <v>725</v>
      </c>
      <c r="IO80" s="21" t="s">
        <v>726</v>
      </c>
      <c r="IP80" s="21" t="s">
        <v>726</v>
      </c>
      <c r="JT80" s="21" t="s">
        <v>727</v>
      </c>
      <c r="JV80" s="21" t="s">
        <v>659</v>
      </c>
      <c r="KB80" s="21" t="s">
        <v>659</v>
      </c>
      <c r="KF80" s="21" t="s">
        <v>659</v>
      </c>
      <c r="KJ80" s="21" t="s">
        <v>659</v>
      </c>
      <c r="KK80" s="21" t="s">
        <v>1507</v>
      </c>
      <c r="KL80" s="21" t="s">
        <v>659</v>
      </c>
      <c r="KM80" s="21" t="s">
        <v>656</v>
      </c>
      <c r="KN80" s="21" t="s">
        <v>659</v>
      </c>
      <c r="KO80" s="21" t="s">
        <v>659</v>
      </c>
      <c r="QW80" s="21" t="s">
        <v>656</v>
      </c>
      <c r="TI80" s="21" t="s">
        <v>656</v>
      </c>
      <c r="TL80" s="21" t="s">
        <v>656</v>
      </c>
      <c r="TZ80" s="21" t="s">
        <v>656</v>
      </c>
      <c r="WL80" s="21" t="s">
        <v>729</v>
      </c>
      <c r="WM80" s="21" t="s">
        <v>1143</v>
      </c>
      <c r="WN80" s="21" t="s">
        <v>731</v>
      </c>
      <c r="WO80" s="21" t="s">
        <v>990</v>
      </c>
      <c r="WT80" s="21" t="s">
        <v>945</v>
      </c>
      <c r="WU80" s="21" t="s">
        <v>1144</v>
      </c>
      <c r="WV80" s="21" t="s">
        <v>948</v>
      </c>
      <c r="WW80" s="21" t="s">
        <v>947</v>
      </c>
      <c r="WX80" s="21" t="s">
        <v>1508</v>
      </c>
    </row>
    <row r="81">
      <c r="A81" s="21">
        <v>452.0</v>
      </c>
      <c r="B81" s="22">
        <v>44519.0</v>
      </c>
      <c r="C81" s="21">
        <v>2021.0</v>
      </c>
      <c r="D81" s="21">
        <v>2.0210109E7</v>
      </c>
      <c r="E81" s="21">
        <v>36023.0</v>
      </c>
      <c r="F81" s="21" t="s">
        <v>701</v>
      </c>
      <c r="G81" s="21">
        <v>39193.0</v>
      </c>
      <c r="H81" s="21" t="s">
        <v>1509</v>
      </c>
      <c r="I81" s="21" t="s">
        <v>652</v>
      </c>
      <c r="J81" s="21" t="s">
        <v>653</v>
      </c>
      <c r="K81" s="21" t="s">
        <v>654</v>
      </c>
      <c r="L81" s="21">
        <v>77002.0</v>
      </c>
      <c r="M81" s="23">
        <v>44491.816666666666</v>
      </c>
      <c r="N81" s="21" t="s">
        <v>933</v>
      </c>
      <c r="O81" s="21" t="s">
        <v>659</v>
      </c>
      <c r="P81" s="21">
        <v>40.2527778</v>
      </c>
      <c r="Q81" s="21">
        <v>-81.0258333</v>
      </c>
      <c r="R81" s="21">
        <v>1320188.0</v>
      </c>
      <c r="S81" s="24">
        <v>44491.916666666664</v>
      </c>
      <c r="T81" s="21">
        <v>1320190.0</v>
      </c>
      <c r="U81" s="21" t="s">
        <v>657</v>
      </c>
      <c r="W81" s="21">
        <v>5074.0</v>
      </c>
      <c r="X81" s="21">
        <v>0.0</v>
      </c>
      <c r="Y81" s="21">
        <v>0.0</v>
      </c>
      <c r="Z81" s="21" t="s">
        <v>656</v>
      </c>
      <c r="AF81" s="21">
        <v>0.0</v>
      </c>
      <c r="AG81" s="21" t="s">
        <v>656</v>
      </c>
      <c r="AM81" s="21">
        <v>0.0</v>
      </c>
      <c r="AN81" s="21" t="s">
        <v>658</v>
      </c>
      <c r="AO81" s="21" t="s">
        <v>656</v>
      </c>
      <c r="AP81" s="21" t="s">
        <v>1510</v>
      </c>
      <c r="AT81" s="21" t="s">
        <v>656</v>
      </c>
      <c r="AW81" s="21" t="s">
        <v>656</v>
      </c>
      <c r="BI81" s="21">
        <v>0.0</v>
      </c>
      <c r="BJ81" s="24">
        <v>44491.816666666666</v>
      </c>
      <c r="BK81" s="24">
        <v>44491.816666666666</v>
      </c>
      <c r="BM81" s="21" t="s">
        <v>662</v>
      </c>
      <c r="BN81" s="21" t="s">
        <v>1511</v>
      </c>
      <c r="BO81" s="21">
        <v>43907.0</v>
      </c>
      <c r="BP81" s="21" t="s">
        <v>1512</v>
      </c>
      <c r="BQ81" s="21" t="s">
        <v>1513</v>
      </c>
      <c r="BR81" s="21" t="s">
        <v>892</v>
      </c>
      <c r="BS81" s="21">
        <v>0.0</v>
      </c>
      <c r="BT81" s="21" t="s">
        <v>1514</v>
      </c>
      <c r="BU81" s="21" t="s">
        <v>1515</v>
      </c>
      <c r="BV81" s="21" t="s">
        <v>656</v>
      </c>
      <c r="BW81" s="21" t="s">
        <v>668</v>
      </c>
      <c r="BX81" s="21" t="s">
        <v>669</v>
      </c>
      <c r="BY81" s="21" t="s">
        <v>670</v>
      </c>
      <c r="CC81" s="21" t="s">
        <v>656</v>
      </c>
      <c r="CZ81" s="21" t="s">
        <v>712</v>
      </c>
      <c r="DA81" s="21" t="s">
        <v>672</v>
      </c>
      <c r="DB81" s="21" t="s">
        <v>1516</v>
      </c>
      <c r="EL81" s="21" t="s">
        <v>1365</v>
      </c>
      <c r="EM81" s="21" t="s">
        <v>1517</v>
      </c>
      <c r="EO81" s="21">
        <v>2017.0</v>
      </c>
      <c r="EP81" s="21">
        <v>2017.0</v>
      </c>
      <c r="EQ81" s="21" t="s">
        <v>674</v>
      </c>
      <c r="ES81" s="21" t="s">
        <v>675</v>
      </c>
      <c r="EV81" s="21" t="s">
        <v>1083</v>
      </c>
      <c r="FC81" s="21" t="s">
        <v>677</v>
      </c>
      <c r="FD81" s="21" t="s">
        <v>659</v>
      </c>
      <c r="FE81" s="21" t="s">
        <v>1216</v>
      </c>
      <c r="FF81" s="21">
        <v>831.0</v>
      </c>
      <c r="FH81" s="21" t="s">
        <v>656</v>
      </c>
      <c r="FI81" s="21" t="s">
        <v>656</v>
      </c>
      <c r="FO81" s="21">
        <v>0.0</v>
      </c>
      <c r="FP81" s="21">
        <v>25979.0</v>
      </c>
      <c r="FQ81" s="21">
        <v>0.0</v>
      </c>
      <c r="FR81" s="21">
        <v>5.0</v>
      </c>
      <c r="FS81" s="21">
        <v>0.0</v>
      </c>
      <c r="FT81" s="21">
        <v>0.0</v>
      </c>
      <c r="FV81" s="21">
        <v>5.12</v>
      </c>
      <c r="FW81" s="21">
        <v>25984.0</v>
      </c>
      <c r="FX81" s="21">
        <v>0.0</v>
      </c>
      <c r="FY81" s="21">
        <v>0.0</v>
      </c>
      <c r="FZ81" s="21">
        <v>0.0</v>
      </c>
      <c r="GA81" s="21">
        <v>0.0</v>
      </c>
      <c r="GB81" s="21" t="s">
        <v>656</v>
      </c>
      <c r="GF81" s="21">
        <v>1070.0</v>
      </c>
      <c r="GG81" s="21">
        <v>704.85</v>
      </c>
      <c r="GH81" s="21">
        <v>1440.0</v>
      </c>
      <c r="GI81" s="21" t="s">
        <v>774</v>
      </c>
      <c r="GK81" s="25">
        <v>42994.0</v>
      </c>
      <c r="GL81" s="21" t="s">
        <v>656</v>
      </c>
      <c r="GM81" s="21" t="s">
        <v>679</v>
      </c>
      <c r="GN81" s="21" t="s">
        <v>656</v>
      </c>
      <c r="GQ81" s="21" t="s">
        <v>656</v>
      </c>
      <c r="HK81" s="21" t="s">
        <v>721</v>
      </c>
      <c r="HL81" s="21" t="s">
        <v>659</v>
      </c>
      <c r="HM81" s="21" t="s">
        <v>659</v>
      </c>
      <c r="HN81" s="21" t="s">
        <v>659</v>
      </c>
      <c r="HO81" s="21" t="s">
        <v>656</v>
      </c>
      <c r="HP81" s="21" t="s">
        <v>656</v>
      </c>
      <c r="HQ81" s="21" t="s">
        <v>698</v>
      </c>
      <c r="HS81" s="21" t="s">
        <v>699</v>
      </c>
      <c r="HT81" s="21" t="s">
        <v>723</v>
      </c>
      <c r="HU81" s="21" t="s">
        <v>1096</v>
      </c>
      <c r="IH81" s="21" t="s">
        <v>656</v>
      </c>
      <c r="II81" s="21" t="s">
        <v>656</v>
      </c>
      <c r="IN81" s="21" t="s">
        <v>761</v>
      </c>
      <c r="IO81" s="21" t="s">
        <v>959</v>
      </c>
      <c r="OU81" s="21" t="s">
        <v>959</v>
      </c>
      <c r="PP81" s="21" t="s">
        <v>659</v>
      </c>
      <c r="WL81" s="21" t="s">
        <v>1518</v>
      </c>
      <c r="WM81" s="21" t="s">
        <v>1041</v>
      </c>
      <c r="WN81" s="21" t="s">
        <v>1519</v>
      </c>
      <c r="WO81" s="21" t="s">
        <v>1520</v>
      </c>
      <c r="WT81" s="21" t="s">
        <v>945</v>
      </c>
      <c r="WU81" s="21" t="s">
        <v>1144</v>
      </c>
      <c r="WV81" s="21" t="s">
        <v>948</v>
      </c>
      <c r="WW81" s="21" t="s">
        <v>947</v>
      </c>
      <c r="WX81" s="21" t="s">
        <v>1521</v>
      </c>
    </row>
    <row r="82">
      <c r="A82" s="21">
        <v>463.0</v>
      </c>
      <c r="B82" s="22">
        <v>44494.0</v>
      </c>
      <c r="C82" s="21">
        <v>2021.0</v>
      </c>
      <c r="D82" s="21">
        <v>2.02101E7</v>
      </c>
      <c r="E82" s="21">
        <v>35965.0</v>
      </c>
      <c r="F82" s="21" t="s">
        <v>778</v>
      </c>
      <c r="G82" s="21">
        <v>18152.0</v>
      </c>
      <c r="H82" s="21" t="s">
        <v>702</v>
      </c>
      <c r="I82" s="21" t="s">
        <v>652</v>
      </c>
      <c r="J82" s="21" t="s">
        <v>653</v>
      </c>
      <c r="K82" s="21" t="s">
        <v>654</v>
      </c>
      <c r="L82" s="21">
        <v>77002.0</v>
      </c>
      <c r="M82" s="23">
        <v>44465.489583333336</v>
      </c>
      <c r="N82" s="21" t="s">
        <v>655</v>
      </c>
      <c r="O82" s="21" t="s">
        <v>659</v>
      </c>
      <c r="P82" s="21">
        <v>28.2352778</v>
      </c>
      <c r="Q82" s="21">
        <v>-91.7052777</v>
      </c>
      <c r="R82" s="21">
        <v>1317910.0</v>
      </c>
      <c r="S82" s="24">
        <v>44465.50902777778</v>
      </c>
      <c r="T82" s="21" t="s">
        <v>1522</v>
      </c>
      <c r="U82" s="21" t="s">
        <v>657</v>
      </c>
      <c r="W82" s="21">
        <v>300.0</v>
      </c>
      <c r="X82" s="21">
        <v>2974.6</v>
      </c>
      <c r="Y82" s="21">
        <v>19.0</v>
      </c>
      <c r="Z82" s="21" t="s">
        <v>656</v>
      </c>
      <c r="AF82" s="21">
        <v>0.0</v>
      </c>
      <c r="AG82" s="21" t="s">
        <v>656</v>
      </c>
      <c r="AM82" s="21">
        <v>0.0</v>
      </c>
      <c r="AN82" s="21" t="s">
        <v>658</v>
      </c>
      <c r="AO82" s="21" t="s">
        <v>659</v>
      </c>
      <c r="AQ82" s="24">
        <v>44466.30902777778</v>
      </c>
      <c r="AR82" s="24">
        <v>44469.69097222222</v>
      </c>
      <c r="AT82" s="21" t="s">
        <v>656</v>
      </c>
      <c r="AW82" s="21" t="s">
        <v>656</v>
      </c>
      <c r="BC82" s="21" t="s">
        <v>704</v>
      </c>
      <c r="BE82" s="24">
        <v>44466.3125</v>
      </c>
      <c r="BF82" s="21" t="s">
        <v>704</v>
      </c>
      <c r="BH82" s="24">
        <v>44466.51388888889</v>
      </c>
      <c r="BI82" s="21">
        <v>0.0</v>
      </c>
      <c r="BJ82" s="24">
        <v>44466.6875</v>
      </c>
      <c r="BK82" s="24">
        <v>44466.00277777778</v>
      </c>
      <c r="BM82" s="21" t="s">
        <v>705</v>
      </c>
      <c r="BT82" s="21" t="s">
        <v>1349</v>
      </c>
      <c r="BU82" s="21" t="s">
        <v>1523</v>
      </c>
      <c r="CP82" s="21">
        <v>260.0</v>
      </c>
      <c r="CQ82" s="21" t="s">
        <v>708</v>
      </c>
      <c r="CV82" s="21" t="s">
        <v>997</v>
      </c>
      <c r="CW82" s="21" t="s">
        <v>710</v>
      </c>
      <c r="CX82" s="21">
        <v>330.0</v>
      </c>
      <c r="CY82" s="21" t="s">
        <v>711</v>
      </c>
      <c r="CZ82" s="21" t="s">
        <v>712</v>
      </c>
      <c r="DA82" s="21" t="s">
        <v>713</v>
      </c>
      <c r="DB82" s="21" t="s">
        <v>714</v>
      </c>
      <c r="DC82" s="21" t="s">
        <v>715</v>
      </c>
      <c r="DD82" s="21">
        <v>12.0</v>
      </c>
      <c r="DE82" s="21" t="s">
        <v>656</v>
      </c>
      <c r="DF82" s="21">
        <v>0.438</v>
      </c>
      <c r="DG82" s="21">
        <v>52000.0</v>
      </c>
      <c r="DH82" s="21" t="s">
        <v>1062</v>
      </c>
      <c r="DI82" s="21" t="s">
        <v>696</v>
      </c>
      <c r="DJ82" s="21" t="s">
        <v>684</v>
      </c>
      <c r="DK82" s="21" t="s">
        <v>684</v>
      </c>
      <c r="DL82" s="21" t="s">
        <v>696</v>
      </c>
      <c r="DM82" s="21" t="s">
        <v>877</v>
      </c>
      <c r="DN82" s="21" t="s">
        <v>659</v>
      </c>
      <c r="EO82" s="21">
        <v>1973.0</v>
      </c>
      <c r="EP82" s="21">
        <v>1973.0</v>
      </c>
      <c r="EQ82" s="21" t="s">
        <v>674</v>
      </c>
      <c r="ES82" s="21" t="s">
        <v>675</v>
      </c>
      <c r="EV82" s="21" t="s">
        <v>718</v>
      </c>
      <c r="FC82" s="21" t="s">
        <v>677</v>
      </c>
      <c r="FD82" s="21" t="s">
        <v>656</v>
      </c>
      <c r="FF82" s="21">
        <v>318.0</v>
      </c>
      <c r="FH82" s="21" t="s">
        <v>656</v>
      </c>
      <c r="FI82" s="21" t="s">
        <v>656</v>
      </c>
      <c r="FL82" s="21" t="s">
        <v>656</v>
      </c>
      <c r="FO82" s="21">
        <v>0.0</v>
      </c>
      <c r="FP82" s="21">
        <v>1638.0</v>
      </c>
      <c r="FQ82" s="21">
        <v>16241.0</v>
      </c>
      <c r="FR82" s="21">
        <v>375000.0</v>
      </c>
      <c r="FS82" s="21">
        <v>75000.0</v>
      </c>
      <c r="FT82" s="21">
        <v>0.0</v>
      </c>
      <c r="FV82" s="21">
        <v>5.46</v>
      </c>
      <c r="FW82" s="21">
        <v>467879.0</v>
      </c>
      <c r="FX82" s="21">
        <v>0.0</v>
      </c>
      <c r="FY82" s="21">
        <v>0.0</v>
      </c>
      <c r="FZ82" s="21">
        <v>0.0</v>
      </c>
      <c r="GA82" s="21">
        <v>0.0</v>
      </c>
      <c r="GB82" s="21" t="s">
        <v>656</v>
      </c>
      <c r="GF82" s="21">
        <v>1080.0</v>
      </c>
      <c r="GG82" s="21">
        <v>10.0</v>
      </c>
      <c r="GH82" s="21">
        <v>1306.0</v>
      </c>
      <c r="GI82" s="21" t="s">
        <v>719</v>
      </c>
      <c r="GK82" s="25">
        <v>28126.0</v>
      </c>
      <c r="GL82" s="21" t="s">
        <v>656</v>
      </c>
      <c r="GM82" s="21" t="s">
        <v>679</v>
      </c>
      <c r="GN82" s="21" t="s">
        <v>656</v>
      </c>
      <c r="GQ82" s="21" t="s">
        <v>656</v>
      </c>
      <c r="GS82" s="21" t="s">
        <v>720</v>
      </c>
      <c r="GT82" s="21" t="s">
        <v>720</v>
      </c>
      <c r="GU82" s="21">
        <v>31680.0</v>
      </c>
      <c r="GV82" s="21" t="s">
        <v>656</v>
      </c>
      <c r="GY82" s="21" t="s">
        <v>659</v>
      </c>
      <c r="HD82" s="21" t="s">
        <v>659</v>
      </c>
      <c r="HG82" s="21" t="s">
        <v>659</v>
      </c>
      <c r="HI82" s="21" t="s">
        <v>659</v>
      </c>
      <c r="HJ82" s="21" t="s">
        <v>1351</v>
      </c>
      <c r="HK82" s="21" t="s">
        <v>721</v>
      </c>
      <c r="HL82" s="21" t="s">
        <v>659</v>
      </c>
      <c r="HM82" s="21" t="s">
        <v>659</v>
      </c>
      <c r="HN82" s="21" t="s">
        <v>659</v>
      </c>
      <c r="HO82" s="21" t="s">
        <v>656</v>
      </c>
      <c r="HP82" s="21" t="s">
        <v>656</v>
      </c>
      <c r="HQ82" s="21" t="s">
        <v>696</v>
      </c>
      <c r="HR82" s="21" t="s">
        <v>1524</v>
      </c>
      <c r="HT82" s="21" t="s">
        <v>723</v>
      </c>
      <c r="HU82" s="21" t="s">
        <v>1096</v>
      </c>
      <c r="IH82" s="21" t="s">
        <v>656</v>
      </c>
      <c r="II82" s="21" t="s">
        <v>656</v>
      </c>
      <c r="IN82" s="21" t="s">
        <v>725</v>
      </c>
      <c r="IO82" s="21" t="s">
        <v>726</v>
      </c>
      <c r="IP82" s="21" t="s">
        <v>726</v>
      </c>
      <c r="JT82" s="21" t="s">
        <v>727</v>
      </c>
      <c r="JW82" s="21" t="s">
        <v>659</v>
      </c>
      <c r="JX82" s="21" t="s">
        <v>659</v>
      </c>
      <c r="KB82" s="21" t="s">
        <v>659</v>
      </c>
      <c r="KF82" s="21" t="s">
        <v>659</v>
      </c>
      <c r="KL82" s="21" t="s">
        <v>659</v>
      </c>
      <c r="KM82" s="21" t="s">
        <v>656</v>
      </c>
      <c r="KN82" s="21" t="s">
        <v>656</v>
      </c>
      <c r="KO82" s="21" t="s">
        <v>659</v>
      </c>
      <c r="QW82" s="21" t="s">
        <v>656</v>
      </c>
      <c r="TI82" s="21" t="s">
        <v>656</v>
      </c>
      <c r="TL82" s="21" t="s">
        <v>656</v>
      </c>
      <c r="TZ82" s="21" t="s">
        <v>656</v>
      </c>
      <c r="WL82" s="21" t="s">
        <v>1518</v>
      </c>
      <c r="WM82" s="21" t="s">
        <v>1041</v>
      </c>
      <c r="WN82" s="21" t="s">
        <v>1519</v>
      </c>
      <c r="WO82" s="21" t="s">
        <v>1520</v>
      </c>
      <c r="WT82" s="21" t="s">
        <v>1525</v>
      </c>
      <c r="WU82" s="21" t="s">
        <v>1194</v>
      </c>
      <c r="WV82" s="21" t="s">
        <v>1526</v>
      </c>
      <c r="WW82" s="21" t="s">
        <v>1527</v>
      </c>
      <c r="WX82" s="21" t="s">
        <v>1528</v>
      </c>
    </row>
    <row r="83">
      <c r="A83" s="21">
        <v>475.0</v>
      </c>
      <c r="B83" s="22">
        <v>44482.0</v>
      </c>
      <c r="C83" s="21">
        <v>2021.0</v>
      </c>
      <c r="D83" s="21">
        <v>2.0210092E7</v>
      </c>
      <c r="E83" s="21">
        <v>35869.0</v>
      </c>
      <c r="F83" s="21" t="s">
        <v>701</v>
      </c>
      <c r="G83" s="21">
        <v>32099.0</v>
      </c>
      <c r="H83" s="21" t="s">
        <v>651</v>
      </c>
      <c r="I83" s="21" t="s">
        <v>652</v>
      </c>
      <c r="J83" s="21" t="s">
        <v>653</v>
      </c>
      <c r="K83" s="21" t="s">
        <v>654</v>
      </c>
      <c r="L83" s="21">
        <v>77002.0</v>
      </c>
      <c r="M83" s="23">
        <v>44452.569444444445</v>
      </c>
      <c r="N83" s="21" t="s">
        <v>655</v>
      </c>
      <c r="O83" s="21" t="s">
        <v>659</v>
      </c>
      <c r="P83" s="21">
        <v>32.19225153</v>
      </c>
      <c r="Q83" s="21">
        <v>-97.41771679</v>
      </c>
      <c r="R83" s="21">
        <v>1316608.0</v>
      </c>
      <c r="S83" s="24">
        <v>44452.57638888889</v>
      </c>
      <c r="T83" s="21">
        <v>1316851.0</v>
      </c>
      <c r="U83" s="21" t="s">
        <v>657</v>
      </c>
      <c r="W83" s="21">
        <v>6.519</v>
      </c>
      <c r="X83" s="21">
        <v>44950.0</v>
      </c>
      <c r="Y83" s="21">
        <v>0.0</v>
      </c>
      <c r="Z83" s="21" t="s">
        <v>656</v>
      </c>
      <c r="AF83" s="21">
        <v>0.0</v>
      </c>
      <c r="AG83" s="21" t="s">
        <v>656</v>
      </c>
      <c r="AM83" s="21">
        <v>0.0</v>
      </c>
      <c r="AN83" s="21" t="s">
        <v>658</v>
      </c>
      <c r="AO83" s="21" t="s">
        <v>659</v>
      </c>
      <c r="AQ83" s="24">
        <v>44452.604166666664</v>
      </c>
      <c r="AR83" s="24">
        <v>44454.32777777778</v>
      </c>
      <c r="AT83" s="21" t="s">
        <v>659</v>
      </c>
      <c r="AU83" s="21" t="s">
        <v>660</v>
      </c>
      <c r="AV83" s="24">
        <v>44452.46875</v>
      </c>
      <c r="AW83" s="21" t="s">
        <v>656</v>
      </c>
      <c r="BC83" s="21" t="s">
        <v>704</v>
      </c>
      <c r="BE83" s="24">
        <v>44452.604166666664</v>
      </c>
      <c r="BF83" s="21" t="s">
        <v>704</v>
      </c>
      <c r="BH83" s="24">
        <v>44452.604166666664</v>
      </c>
      <c r="BI83" s="21">
        <v>5.0</v>
      </c>
      <c r="BJ83" s="24">
        <v>44452.506944444445</v>
      </c>
      <c r="BK83" s="24">
        <v>44452.506944444445</v>
      </c>
      <c r="BM83" s="21" t="s">
        <v>662</v>
      </c>
      <c r="BN83" s="21" t="s">
        <v>654</v>
      </c>
      <c r="BO83" s="21">
        <v>76627.0</v>
      </c>
      <c r="BP83" s="21" t="s">
        <v>1529</v>
      </c>
      <c r="BQ83" s="21" t="s">
        <v>1530</v>
      </c>
      <c r="BR83" s="21" t="s">
        <v>735</v>
      </c>
      <c r="BS83" s="21" t="s">
        <v>1531</v>
      </c>
      <c r="BT83" s="21" t="s">
        <v>1532</v>
      </c>
      <c r="BU83" s="21">
        <v>2.0051001E7</v>
      </c>
      <c r="BV83" s="21" t="s">
        <v>656</v>
      </c>
      <c r="BW83" s="21" t="s">
        <v>738</v>
      </c>
      <c r="BX83" s="21" t="s">
        <v>739</v>
      </c>
      <c r="BY83" s="21" t="s">
        <v>740</v>
      </c>
      <c r="CA83" s="21">
        <v>67.0</v>
      </c>
      <c r="CB83" s="21" t="s">
        <v>656</v>
      </c>
      <c r="CC83" s="21" t="s">
        <v>656</v>
      </c>
      <c r="CZ83" s="21" t="s">
        <v>671</v>
      </c>
      <c r="DA83" s="21" t="s">
        <v>741</v>
      </c>
      <c r="DB83" s="21" t="s">
        <v>714</v>
      </c>
      <c r="DC83" s="21" t="s">
        <v>715</v>
      </c>
      <c r="DD83" s="21">
        <v>42.0</v>
      </c>
      <c r="DE83" s="21" t="s">
        <v>656</v>
      </c>
      <c r="DF83" s="21">
        <v>0.484</v>
      </c>
      <c r="DG83" s="21">
        <v>70000.0</v>
      </c>
      <c r="DH83" s="21" t="s">
        <v>1533</v>
      </c>
      <c r="DI83" s="21" t="s">
        <v>1534</v>
      </c>
      <c r="DK83" s="21" t="s">
        <v>1535</v>
      </c>
      <c r="DL83" s="21" t="s">
        <v>824</v>
      </c>
      <c r="DN83" s="21" t="s">
        <v>656</v>
      </c>
      <c r="EO83" s="21">
        <v>2005.0</v>
      </c>
      <c r="EP83" s="21" t="s">
        <v>684</v>
      </c>
      <c r="EQ83" s="21" t="s">
        <v>674</v>
      </c>
      <c r="ES83" s="21" t="s">
        <v>965</v>
      </c>
      <c r="ET83" s="21">
        <v>1.5</v>
      </c>
      <c r="EU83" s="21">
        <v>0.1</v>
      </c>
      <c r="FC83" s="21" t="s">
        <v>677</v>
      </c>
      <c r="FD83" s="21" t="s">
        <v>656</v>
      </c>
      <c r="FF83" s="21">
        <v>987.0</v>
      </c>
      <c r="FH83" s="21" t="s">
        <v>656</v>
      </c>
      <c r="FI83" s="21" t="s">
        <v>656</v>
      </c>
      <c r="FL83" s="21" t="s">
        <v>656</v>
      </c>
      <c r="FO83" s="21">
        <v>2500.0</v>
      </c>
      <c r="FP83" s="21">
        <v>32.0</v>
      </c>
      <c r="FQ83" s="21">
        <v>221154.0</v>
      </c>
      <c r="FR83" s="21">
        <v>394680.0</v>
      </c>
      <c r="FS83" s="21">
        <v>0.0</v>
      </c>
      <c r="FT83" s="21">
        <v>0.0</v>
      </c>
      <c r="FV83" s="21">
        <v>4.92</v>
      </c>
      <c r="FW83" s="21">
        <v>618366.0</v>
      </c>
      <c r="FX83" s="21">
        <v>0.0</v>
      </c>
      <c r="FY83" s="21">
        <v>0.0</v>
      </c>
      <c r="FZ83" s="21">
        <v>2.0</v>
      </c>
      <c r="GA83" s="21">
        <v>0.0</v>
      </c>
      <c r="GB83" s="21" t="s">
        <v>656</v>
      </c>
      <c r="GF83" s="21">
        <v>916.0</v>
      </c>
      <c r="GG83" s="21">
        <v>6000.0</v>
      </c>
      <c r="GH83" s="21">
        <v>1160.0</v>
      </c>
      <c r="GI83" s="21" t="s">
        <v>719</v>
      </c>
      <c r="GK83" s="25">
        <v>39159.0</v>
      </c>
      <c r="GL83" s="21" t="s">
        <v>656</v>
      </c>
      <c r="GM83" s="21" t="s">
        <v>679</v>
      </c>
      <c r="GN83" s="21" t="s">
        <v>656</v>
      </c>
      <c r="GQ83" s="21" t="s">
        <v>656</v>
      </c>
      <c r="GS83" s="21" t="s">
        <v>720</v>
      </c>
      <c r="GT83" s="21" t="s">
        <v>720</v>
      </c>
      <c r="GU83" s="21">
        <v>81998.0</v>
      </c>
      <c r="GV83" s="21" t="s">
        <v>659</v>
      </c>
      <c r="HD83" s="21" t="s">
        <v>656</v>
      </c>
      <c r="HK83" s="21" t="s">
        <v>721</v>
      </c>
      <c r="HL83" s="21" t="s">
        <v>659</v>
      </c>
      <c r="HM83" s="21" t="s">
        <v>659</v>
      </c>
      <c r="HN83" s="21" t="s">
        <v>659</v>
      </c>
      <c r="HO83" s="21" t="s">
        <v>656</v>
      </c>
      <c r="HP83" s="21" t="s">
        <v>656</v>
      </c>
      <c r="HQ83" s="21" t="s">
        <v>966</v>
      </c>
      <c r="HT83" s="21" t="s">
        <v>723</v>
      </c>
      <c r="HU83" s="21" t="s">
        <v>1536</v>
      </c>
      <c r="IH83" s="21" t="s">
        <v>656</v>
      </c>
      <c r="II83" s="21" t="s">
        <v>656</v>
      </c>
      <c r="IN83" s="21" t="s">
        <v>968</v>
      </c>
      <c r="IO83" s="21" t="s">
        <v>969</v>
      </c>
      <c r="LB83" s="21" t="s">
        <v>969</v>
      </c>
      <c r="LC83" s="21" t="s">
        <v>659</v>
      </c>
      <c r="LD83" s="21" t="s">
        <v>659</v>
      </c>
      <c r="LH83" s="21" t="s">
        <v>656</v>
      </c>
      <c r="LM83" s="21" t="s">
        <v>656</v>
      </c>
      <c r="LP83" s="21" t="s">
        <v>659</v>
      </c>
      <c r="LQ83" s="21" t="s">
        <v>1537</v>
      </c>
      <c r="LR83" s="21" t="s">
        <v>659</v>
      </c>
      <c r="MB83" s="21" t="s">
        <v>1538</v>
      </c>
      <c r="MC83" s="21" t="s">
        <v>1539</v>
      </c>
      <c r="MD83" s="21" t="s">
        <v>1540</v>
      </c>
      <c r="ME83" s="21" t="s">
        <v>659</v>
      </c>
      <c r="MF83" s="21">
        <v>2.173949353E9</v>
      </c>
      <c r="MG83" s="21" t="s">
        <v>1541</v>
      </c>
      <c r="MI83" s="21" t="s">
        <v>1542</v>
      </c>
      <c r="MJ83" s="21" t="s">
        <v>659</v>
      </c>
      <c r="MK83" s="21" t="s">
        <v>659</v>
      </c>
      <c r="ML83" s="21">
        <v>42.0</v>
      </c>
      <c r="MM83" s="21" t="s">
        <v>1543</v>
      </c>
      <c r="MN83" s="21" t="s">
        <v>1544</v>
      </c>
      <c r="WL83" s="21" t="s">
        <v>1545</v>
      </c>
      <c r="WM83" s="21" t="s">
        <v>1546</v>
      </c>
      <c r="WN83" s="21" t="s">
        <v>1519</v>
      </c>
      <c r="WO83" s="21" t="s">
        <v>1520</v>
      </c>
      <c r="WT83" s="21" t="s">
        <v>945</v>
      </c>
      <c r="WU83" s="21" t="s">
        <v>1144</v>
      </c>
      <c r="WV83" s="21" t="s">
        <v>948</v>
      </c>
      <c r="WW83" s="21" t="s">
        <v>947</v>
      </c>
      <c r="WX83" s="21" t="s">
        <v>1547</v>
      </c>
    </row>
    <row r="84">
      <c r="A84" s="21">
        <v>502.0</v>
      </c>
      <c r="B84" s="22">
        <v>44396.0</v>
      </c>
      <c r="C84" s="21">
        <v>2021.0</v>
      </c>
      <c r="D84" s="21">
        <v>2.0210061E7</v>
      </c>
      <c r="E84" s="21">
        <v>35820.0</v>
      </c>
      <c r="F84" s="21" t="s">
        <v>778</v>
      </c>
      <c r="G84" s="21">
        <v>19610.0</v>
      </c>
      <c r="H84" s="21" t="s">
        <v>1270</v>
      </c>
      <c r="I84" s="21" t="s">
        <v>652</v>
      </c>
      <c r="J84" s="21" t="s">
        <v>653</v>
      </c>
      <c r="K84" s="21" t="s">
        <v>654</v>
      </c>
      <c r="L84" s="21">
        <v>77002.0</v>
      </c>
      <c r="M84" s="23">
        <v>44366.993055555555</v>
      </c>
      <c r="N84" s="21" t="s">
        <v>1162</v>
      </c>
      <c r="O84" s="21" t="s">
        <v>659</v>
      </c>
      <c r="P84" s="21">
        <v>35.0156</v>
      </c>
      <c r="Q84" s="21">
        <v>-107.404</v>
      </c>
      <c r="R84" s="21">
        <v>1308279.0</v>
      </c>
      <c r="S84" s="24">
        <v>44367.23888888889</v>
      </c>
      <c r="T84" s="21">
        <v>1308368.0</v>
      </c>
      <c r="U84" s="21" t="s">
        <v>657</v>
      </c>
      <c r="W84" s="21">
        <v>37886.0</v>
      </c>
      <c r="X84" s="21">
        <v>0.0</v>
      </c>
      <c r="Y84" s="21">
        <v>0.1</v>
      </c>
      <c r="Z84" s="21" t="s">
        <v>656</v>
      </c>
      <c r="AF84" s="21">
        <v>0.0</v>
      </c>
      <c r="AG84" s="21" t="s">
        <v>656</v>
      </c>
      <c r="AM84" s="21">
        <v>0.0</v>
      </c>
      <c r="AN84" s="21" t="s">
        <v>658</v>
      </c>
      <c r="AO84" s="21" t="s">
        <v>659</v>
      </c>
      <c r="AQ84" s="24">
        <v>44367.15972222222</v>
      </c>
      <c r="AR84" s="24">
        <v>44369.572916666664</v>
      </c>
      <c r="AT84" s="21" t="s">
        <v>659</v>
      </c>
      <c r="AU84" s="21" t="s">
        <v>661</v>
      </c>
      <c r="AV84" s="24">
        <v>44367.13888888889</v>
      </c>
      <c r="AW84" s="21" t="s">
        <v>656</v>
      </c>
      <c r="BI84" s="21">
        <v>0.0</v>
      </c>
      <c r="BJ84" s="24">
        <v>44367.15277777778</v>
      </c>
      <c r="BK84" s="24">
        <v>44367.15277777778</v>
      </c>
      <c r="BM84" s="21" t="s">
        <v>662</v>
      </c>
      <c r="BN84" s="21" t="s">
        <v>1163</v>
      </c>
      <c r="BO84" s="21">
        <v>87026.0</v>
      </c>
      <c r="BP84" s="21" t="s">
        <v>1548</v>
      </c>
      <c r="BQ84" s="21" t="s">
        <v>1549</v>
      </c>
      <c r="BR84" s="21" t="s">
        <v>665</v>
      </c>
      <c r="BT84" s="21" t="s">
        <v>1550</v>
      </c>
      <c r="BU84" s="21" t="s">
        <v>1551</v>
      </c>
      <c r="BV84" s="21" t="s">
        <v>659</v>
      </c>
      <c r="BW84" s="21" t="s">
        <v>668</v>
      </c>
      <c r="BX84" s="21" t="s">
        <v>669</v>
      </c>
      <c r="BY84" s="21" t="s">
        <v>670</v>
      </c>
      <c r="CC84" s="21" t="s">
        <v>656</v>
      </c>
      <c r="CZ84" s="21" t="s">
        <v>712</v>
      </c>
      <c r="DA84" s="21" t="s">
        <v>672</v>
      </c>
      <c r="DB84" s="21" t="s">
        <v>1516</v>
      </c>
      <c r="EL84" s="21" t="s">
        <v>1365</v>
      </c>
      <c r="EM84" s="21" t="s">
        <v>1517</v>
      </c>
      <c r="EO84" s="21">
        <v>2002.0</v>
      </c>
      <c r="EP84" s="21">
        <v>2001.0</v>
      </c>
      <c r="EQ84" s="21" t="s">
        <v>1081</v>
      </c>
      <c r="ER84" s="21" t="s">
        <v>1552</v>
      </c>
      <c r="ES84" s="21" t="s">
        <v>696</v>
      </c>
      <c r="FB84" s="21" t="s">
        <v>1553</v>
      </c>
      <c r="FC84" s="21" t="s">
        <v>677</v>
      </c>
      <c r="FD84" s="21" t="s">
        <v>656</v>
      </c>
      <c r="FF84" s="21">
        <v>657.0</v>
      </c>
      <c r="FH84" s="21" t="s">
        <v>656</v>
      </c>
      <c r="FI84" s="21" t="s">
        <v>656</v>
      </c>
      <c r="FL84" s="21" t="s">
        <v>656</v>
      </c>
      <c r="FO84" s="21">
        <v>0.0</v>
      </c>
      <c r="FP84" s="21">
        <v>111764.0</v>
      </c>
      <c r="FQ84" s="21">
        <v>0.0</v>
      </c>
      <c r="FR84" s="21">
        <v>50.0</v>
      </c>
      <c r="FS84" s="21">
        <v>100.0</v>
      </c>
      <c r="FT84" s="21">
        <v>0.0</v>
      </c>
      <c r="FV84" s="21">
        <v>2.95</v>
      </c>
      <c r="FW84" s="21">
        <v>111914.0</v>
      </c>
      <c r="FX84" s="21">
        <v>0.0</v>
      </c>
      <c r="FY84" s="21">
        <v>0.0</v>
      </c>
      <c r="FZ84" s="21">
        <v>0.0</v>
      </c>
      <c r="GA84" s="21">
        <v>0.0</v>
      </c>
      <c r="GB84" s="21" t="s">
        <v>656</v>
      </c>
      <c r="GF84" s="21">
        <v>988.0</v>
      </c>
      <c r="GG84" s="21">
        <v>1920.0</v>
      </c>
      <c r="GH84" s="21">
        <v>1008.0</v>
      </c>
      <c r="GI84" s="21" t="s">
        <v>774</v>
      </c>
      <c r="GK84" s="25">
        <v>33609.0</v>
      </c>
      <c r="GL84" s="21" t="s">
        <v>957</v>
      </c>
      <c r="GM84" s="21" t="s">
        <v>679</v>
      </c>
      <c r="GN84" s="21" t="s">
        <v>656</v>
      </c>
      <c r="GQ84" s="21" t="s">
        <v>656</v>
      </c>
      <c r="HK84" s="21" t="s">
        <v>721</v>
      </c>
      <c r="HL84" s="21" t="s">
        <v>659</v>
      </c>
      <c r="HM84" s="21" t="s">
        <v>659</v>
      </c>
      <c r="HN84" s="21" t="s">
        <v>659</v>
      </c>
      <c r="HO84" s="21" t="s">
        <v>656</v>
      </c>
      <c r="HP84" s="21" t="s">
        <v>659</v>
      </c>
      <c r="HQ84" s="21" t="s">
        <v>806</v>
      </c>
      <c r="HT84" s="21" t="s">
        <v>760</v>
      </c>
      <c r="HY84" s="21" t="s">
        <v>659</v>
      </c>
      <c r="HZ84" s="21" t="s">
        <v>659</v>
      </c>
      <c r="IH84" s="21" t="s">
        <v>656</v>
      </c>
      <c r="II84" s="21" t="s">
        <v>656</v>
      </c>
      <c r="IN84" s="21" t="s">
        <v>761</v>
      </c>
      <c r="IO84" s="21" t="s">
        <v>959</v>
      </c>
      <c r="OU84" s="21" t="s">
        <v>959</v>
      </c>
      <c r="PP84" s="21" t="s">
        <v>659</v>
      </c>
      <c r="WL84" s="21" t="s">
        <v>1554</v>
      </c>
      <c r="WM84" s="21" t="s">
        <v>1056</v>
      </c>
      <c r="WN84" s="21" t="s">
        <v>1494</v>
      </c>
      <c r="WO84" s="21" t="s">
        <v>1495</v>
      </c>
      <c r="WT84" s="21" t="s">
        <v>945</v>
      </c>
      <c r="WU84" s="21" t="s">
        <v>1144</v>
      </c>
      <c r="WV84" s="21" t="s">
        <v>948</v>
      </c>
      <c r="WW84" s="21" t="s">
        <v>947</v>
      </c>
      <c r="WX84" s="21" t="s">
        <v>1555</v>
      </c>
    </row>
    <row r="85">
      <c r="A85" s="21">
        <v>504.0</v>
      </c>
      <c r="B85" s="22">
        <v>44391.0</v>
      </c>
      <c r="C85" s="21">
        <v>2021.0</v>
      </c>
      <c r="D85" s="21">
        <v>2.0210058E7</v>
      </c>
      <c r="E85" s="21">
        <v>36522.0</v>
      </c>
      <c r="F85" s="21" t="s">
        <v>778</v>
      </c>
      <c r="G85" s="21">
        <v>40069.0</v>
      </c>
      <c r="H85" s="21" t="s">
        <v>993</v>
      </c>
      <c r="I85" s="21" t="s">
        <v>652</v>
      </c>
      <c r="J85" s="21" t="s">
        <v>653</v>
      </c>
      <c r="K85" s="21" t="s">
        <v>654</v>
      </c>
      <c r="L85" s="21">
        <v>77002.0</v>
      </c>
      <c r="M85" s="23">
        <v>44361.35</v>
      </c>
      <c r="N85" s="21" t="s">
        <v>655</v>
      </c>
      <c r="O85" s="21" t="s">
        <v>656</v>
      </c>
      <c r="P85" s="21">
        <v>28.3061111</v>
      </c>
      <c r="Q85" s="21">
        <v>-93.2691666</v>
      </c>
      <c r="R85" s="21">
        <v>1307727.0</v>
      </c>
      <c r="S85" s="24">
        <v>44361.393055555556</v>
      </c>
      <c r="T85" s="21">
        <v>1308003.0</v>
      </c>
      <c r="U85" s="21" t="s">
        <v>657</v>
      </c>
      <c r="W85" s="21">
        <v>20000.0</v>
      </c>
      <c r="X85" s="21">
        <v>0.0</v>
      </c>
      <c r="Y85" s="21">
        <v>11.0</v>
      </c>
      <c r="Z85" s="21" t="s">
        <v>656</v>
      </c>
      <c r="AF85" s="21">
        <v>0.0</v>
      </c>
      <c r="AG85" s="21" t="s">
        <v>656</v>
      </c>
      <c r="AM85" s="21">
        <v>0.0</v>
      </c>
      <c r="AN85" s="21" t="s">
        <v>1280</v>
      </c>
      <c r="AO85" s="21" t="s">
        <v>659</v>
      </c>
      <c r="AQ85" s="24">
        <v>44361.35</v>
      </c>
      <c r="AR85" s="24">
        <v>44424.69583333333</v>
      </c>
      <c r="AT85" s="21" t="s">
        <v>656</v>
      </c>
      <c r="AW85" s="21" t="s">
        <v>656</v>
      </c>
      <c r="BC85" s="21" t="s">
        <v>704</v>
      </c>
      <c r="BE85" s="24">
        <v>44361.35</v>
      </c>
      <c r="BF85" s="21" t="s">
        <v>704</v>
      </c>
      <c r="BH85" s="24">
        <v>44297.69236111111</v>
      </c>
      <c r="BI85" s="21">
        <v>0.0</v>
      </c>
      <c r="BJ85" s="24">
        <v>44361.35</v>
      </c>
      <c r="BK85" s="24">
        <v>44385.104166666664</v>
      </c>
      <c r="BM85" s="21" t="s">
        <v>705</v>
      </c>
      <c r="BT85" s="21" t="s">
        <v>995</v>
      </c>
      <c r="BU85" s="21" t="s">
        <v>1556</v>
      </c>
      <c r="CP85" s="21">
        <v>185.0</v>
      </c>
      <c r="CQ85" s="21" t="s">
        <v>708</v>
      </c>
      <c r="CV85" s="21" t="s">
        <v>997</v>
      </c>
      <c r="CW85" s="21" t="s">
        <v>998</v>
      </c>
      <c r="CX85" s="21">
        <v>551.0</v>
      </c>
      <c r="CY85" s="21" t="s">
        <v>711</v>
      </c>
      <c r="CZ85" s="21" t="s">
        <v>712</v>
      </c>
      <c r="DA85" s="21" t="s">
        <v>713</v>
      </c>
      <c r="DB85" s="21" t="s">
        <v>714</v>
      </c>
      <c r="DC85" s="21" t="s">
        <v>715</v>
      </c>
      <c r="DD85" s="21">
        <v>30.0</v>
      </c>
      <c r="DE85" s="21" t="s">
        <v>656</v>
      </c>
      <c r="DF85" s="21">
        <v>0.568</v>
      </c>
      <c r="DG85" s="21">
        <v>60000.0</v>
      </c>
      <c r="DH85" s="21" t="s">
        <v>1328</v>
      </c>
      <c r="DI85" s="21" t="s">
        <v>848</v>
      </c>
      <c r="DK85" s="21" t="s">
        <v>1329</v>
      </c>
      <c r="DL85" s="21" t="s">
        <v>696</v>
      </c>
      <c r="DM85" s="21" t="s">
        <v>1000</v>
      </c>
      <c r="DN85" s="21" t="s">
        <v>656</v>
      </c>
      <c r="EO85" s="21">
        <v>1975.0</v>
      </c>
      <c r="EP85" s="21">
        <v>1975.0</v>
      </c>
      <c r="EQ85" s="21" t="s">
        <v>674</v>
      </c>
      <c r="ES85" s="21" t="s">
        <v>675</v>
      </c>
      <c r="EV85" s="21" t="s">
        <v>718</v>
      </c>
      <c r="FC85" s="21" t="s">
        <v>677</v>
      </c>
      <c r="FD85" s="21" t="s">
        <v>656</v>
      </c>
      <c r="FF85" s="21">
        <v>717.0</v>
      </c>
      <c r="FH85" s="21" t="s">
        <v>656</v>
      </c>
      <c r="FI85" s="21" t="s">
        <v>656</v>
      </c>
      <c r="FL85" s="21" t="s">
        <v>656</v>
      </c>
      <c r="FO85" s="21">
        <v>0.0</v>
      </c>
      <c r="FP85" s="21">
        <v>57000.0</v>
      </c>
      <c r="FQ85" s="21">
        <v>0.0</v>
      </c>
      <c r="FR85" s="21">
        <v>828304.0</v>
      </c>
      <c r="FS85" s="21">
        <v>0.0</v>
      </c>
      <c r="FT85" s="21">
        <v>0.0</v>
      </c>
      <c r="FV85" s="21">
        <v>2.85</v>
      </c>
      <c r="FW85" s="21">
        <v>885304.0</v>
      </c>
      <c r="FX85" s="21">
        <v>0.0</v>
      </c>
      <c r="FY85" s="21">
        <v>0.0</v>
      </c>
      <c r="FZ85" s="21">
        <v>0.0</v>
      </c>
      <c r="GA85" s="21">
        <v>0.0</v>
      </c>
      <c r="GB85" s="21" t="s">
        <v>656</v>
      </c>
      <c r="GF85" s="21">
        <v>350.0</v>
      </c>
      <c r="GG85" s="21">
        <v>1000.0</v>
      </c>
      <c r="GH85" s="21">
        <v>1200.0</v>
      </c>
      <c r="GI85" s="21" t="s">
        <v>719</v>
      </c>
      <c r="GK85" s="25">
        <v>27456.0</v>
      </c>
      <c r="GL85" s="21" t="s">
        <v>656</v>
      </c>
      <c r="GM85" s="21" t="s">
        <v>679</v>
      </c>
      <c r="GN85" s="21" t="s">
        <v>656</v>
      </c>
      <c r="GQ85" s="21" t="s">
        <v>656</v>
      </c>
      <c r="GS85" s="21" t="s">
        <v>720</v>
      </c>
      <c r="GT85" s="21" t="s">
        <v>720</v>
      </c>
      <c r="GU85" s="21">
        <v>132000.0</v>
      </c>
      <c r="GV85" s="21" t="s">
        <v>659</v>
      </c>
      <c r="HD85" s="21" t="s">
        <v>659</v>
      </c>
      <c r="HI85" s="21" t="s">
        <v>659</v>
      </c>
      <c r="HJ85" s="21" t="s">
        <v>1001</v>
      </c>
      <c r="HK85" s="21" t="s">
        <v>1002</v>
      </c>
      <c r="HL85" s="21" t="s">
        <v>659</v>
      </c>
      <c r="HM85" s="21" t="s">
        <v>659</v>
      </c>
      <c r="HN85" s="21" t="s">
        <v>659</v>
      </c>
      <c r="HO85" s="21" t="s">
        <v>656</v>
      </c>
      <c r="HP85" s="21" t="s">
        <v>656</v>
      </c>
      <c r="HQ85" s="21" t="s">
        <v>1557</v>
      </c>
      <c r="HS85" s="21" t="s">
        <v>1003</v>
      </c>
      <c r="HT85" s="21" t="s">
        <v>723</v>
      </c>
      <c r="HU85" s="21" t="s">
        <v>1331</v>
      </c>
      <c r="IH85" s="21" t="s">
        <v>656</v>
      </c>
      <c r="II85" s="21" t="s">
        <v>656</v>
      </c>
      <c r="IN85" s="21" t="s">
        <v>725</v>
      </c>
      <c r="IO85" s="21" t="s">
        <v>726</v>
      </c>
      <c r="IP85" s="21" t="s">
        <v>726</v>
      </c>
      <c r="JT85" s="21" t="s">
        <v>727</v>
      </c>
      <c r="JV85" s="21" t="s">
        <v>659</v>
      </c>
      <c r="KB85" s="21" t="s">
        <v>659</v>
      </c>
      <c r="KJ85" s="21" t="s">
        <v>659</v>
      </c>
      <c r="KK85" s="21" t="s">
        <v>1558</v>
      </c>
      <c r="KL85" s="21" t="s">
        <v>659</v>
      </c>
      <c r="KM85" s="21" t="s">
        <v>656</v>
      </c>
      <c r="KN85" s="21" t="s">
        <v>656</v>
      </c>
      <c r="KO85" s="21" t="s">
        <v>659</v>
      </c>
      <c r="QW85" s="21" t="s">
        <v>656</v>
      </c>
      <c r="TI85" s="21" t="s">
        <v>659</v>
      </c>
      <c r="TJ85" s="21">
        <v>1975.0</v>
      </c>
      <c r="TL85" s="21" t="s">
        <v>656</v>
      </c>
      <c r="TZ85" s="21" t="s">
        <v>656</v>
      </c>
      <c r="WL85" s="21" t="s">
        <v>1518</v>
      </c>
      <c r="WM85" s="21" t="s">
        <v>1041</v>
      </c>
      <c r="WN85" s="21" t="s">
        <v>1519</v>
      </c>
      <c r="WO85" s="21" t="s">
        <v>1520</v>
      </c>
      <c r="WT85" s="21" t="s">
        <v>945</v>
      </c>
      <c r="WU85" s="21" t="s">
        <v>984</v>
      </c>
      <c r="WV85" s="21">
        <v>7.139897126E9</v>
      </c>
      <c r="WW85" s="21" t="s">
        <v>947</v>
      </c>
      <c r="WX85" s="21" t="s">
        <v>1559</v>
      </c>
    </row>
    <row r="86">
      <c r="A86" s="21">
        <v>505.0</v>
      </c>
      <c r="B86" s="22">
        <v>44391.0</v>
      </c>
      <c r="C86" s="21">
        <v>2021.0</v>
      </c>
      <c r="D86" s="21">
        <v>2.0210057E7</v>
      </c>
      <c r="E86" s="21">
        <v>36521.0</v>
      </c>
      <c r="F86" s="21" t="s">
        <v>778</v>
      </c>
      <c r="G86" s="21">
        <v>40069.0</v>
      </c>
      <c r="H86" s="21" t="s">
        <v>993</v>
      </c>
      <c r="I86" s="21" t="s">
        <v>652</v>
      </c>
      <c r="J86" s="21" t="s">
        <v>653</v>
      </c>
      <c r="K86" s="21" t="s">
        <v>654</v>
      </c>
      <c r="L86" s="21">
        <v>77002.0</v>
      </c>
      <c r="M86" s="23">
        <v>44348.48888888889</v>
      </c>
      <c r="N86" s="21" t="s">
        <v>655</v>
      </c>
      <c r="O86" s="21" t="s">
        <v>659</v>
      </c>
      <c r="P86" s="21">
        <v>28.305913</v>
      </c>
      <c r="Q86" s="21">
        <v>-93.269331</v>
      </c>
      <c r="R86" s="21">
        <v>1306564.0</v>
      </c>
      <c r="S86" s="24">
        <v>44348.54513888889</v>
      </c>
      <c r="T86" s="21">
        <v>1307097.0</v>
      </c>
      <c r="U86" s="21" t="s">
        <v>657</v>
      </c>
      <c r="W86" s="21">
        <v>703.5</v>
      </c>
      <c r="X86" s="21">
        <v>0.0</v>
      </c>
      <c r="Y86" s="21">
        <v>87.0</v>
      </c>
      <c r="Z86" s="21" t="s">
        <v>656</v>
      </c>
      <c r="AF86" s="21">
        <v>0.0</v>
      </c>
      <c r="AG86" s="21" t="s">
        <v>656</v>
      </c>
      <c r="AM86" s="21">
        <v>0.0</v>
      </c>
      <c r="AN86" s="21" t="s">
        <v>658</v>
      </c>
      <c r="AO86" s="21" t="s">
        <v>659</v>
      </c>
      <c r="AQ86" s="24">
        <v>44348.49652777778</v>
      </c>
      <c r="AR86" s="24">
        <v>44353.4375</v>
      </c>
      <c r="AT86" s="21" t="s">
        <v>656</v>
      </c>
      <c r="AW86" s="21" t="s">
        <v>656</v>
      </c>
      <c r="BC86" s="21" t="s">
        <v>704</v>
      </c>
      <c r="BE86" s="24">
        <v>44348.506944444445</v>
      </c>
      <c r="BF86" s="21" t="s">
        <v>704</v>
      </c>
      <c r="BH86" s="24">
        <v>44297.69236111111</v>
      </c>
      <c r="BI86" s="21">
        <v>0.0</v>
      </c>
      <c r="BJ86" s="24">
        <v>44348.48888888889</v>
      </c>
      <c r="BK86" s="24">
        <v>44351.260416666664</v>
      </c>
      <c r="BM86" s="21" t="s">
        <v>705</v>
      </c>
      <c r="BT86" s="21" t="s">
        <v>995</v>
      </c>
      <c r="BU86" s="21" t="s">
        <v>1560</v>
      </c>
      <c r="CP86" s="21">
        <v>185.0</v>
      </c>
      <c r="CQ86" s="21" t="s">
        <v>708</v>
      </c>
      <c r="CV86" s="21" t="s">
        <v>997</v>
      </c>
      <c r="CW86" s="21" t="s">
        <v>998</v>
      </c>
      <c r="CX86" s="21">
        <v>551.0</v>
      </c>
      <c r="CY86" s="21" t="s">
        <v>711</v>
      </c>
      <c r="CZ86" s="21" t="s">
        <v>712</v>
      </c>
      <c r="DA86" s="21" t="s">
        <v>713</v>
      </c>
      <c r="DB86" s="21" t="s">
        <v>714</v>
      </c>
      <c r="DC86" s="21" t="s">
        <v>715</v>
      </c>
      <c r="DD86" s="21">
        <v>30.0</v>
      </c>
      <c r="DE86" s="21" t="s">
        <v>656</v>
      </c>
      <c r="DF86" s="21">
        <v>0.568</v>
      </c>
      <c r="DG86" s="21">
        <v>60000.0</v>
      </c>
      <c r="DH86" s="21" t="s">
        <v>1561</v>
      </c>
      <c r="DI86" s="21" t="s">
        <v>848</v>
      </c>
      <c r="DK86" s="21" t="s">
        <v>999</v>
      </c>
      <c r="DL86" s="21" t="s">
        <v>696</v>
      </c>
      <c r="DM86" s="21" t="s">
        <v>1000</v>
      </c>
      <c r="DN86" s="21" t="s">
        <v>656</v>
      </c>
      <c r="EO86" s="21">
        <v>1975.0</v>
      </c>
      <c r="EP86" s="21">
        <v>1975.0</v>
      </c>
      <c r="EQ86" s="21" t="s">
        <v>674</v>
      </c>
      <c r="ES86" s="21" t="s">
        <v>675</v>
      </c>
      <c r="EV86" s="21" t="s">
        <v>718</v>
      </c>
      <c r="FC86" s="21" t="s">
        <v>677</v>
      </c>
      <c r="FD86" s="21" t="s">
        <v>656</v>
      </c>
      <c r="FF86" s="21">
        <v>717.0</v>
      </c>
      <c r="FH86" s="21" t="s">
        <v>656</v>
      </c>
      <c r="FI86" s="21" t="s">
        <v>656</v>
      </c>
      <c r="FL86" s="21" t="s">
        <v>656</v>
      </c>
      <c r="FO86" s="21">
        <v>0.0</v>
      </c>
      <c r="FP86" s="21">
        <v>2005.0</v>
      </c>
      <c r="FQ86" s="21">
        <v>0.0</v>
      </c>
      <c r="FR86" s="21">
        <v>494337.0</v>
      </c>
      <c r="FS86" s="21">
        <v>0.0</v>
      </c>
      <c r="FT86" s="21">
        <v>0.0</v>
      </c>
      <c r="FV86" s="21">
        <v>2.85</v>
      </c>
      <c r="FW86" s="21">
        <v>496342.0</v>
      </c>
      <c r="FX86" s="21">
        <v>0.0</v>
      </c>
      <c r="FY86" s="21">
        <v>0.0</v>
      </c>
      <c r="FZ86" s="21">
        <v>0.0</v>
      </c>
      <c r="GA86" s="21">
        <v>0.0</v>
      </c>
      <c r="GB86" s="21" t="s">
        <v>656</v>
      </c>
      <c r="GF86" s="21">
        <v>350.0</v>
      </c>
      <c r="GG86" s="21">
        <v>1000.0</v>
      </c>
      <c r="GH86" s="21">
        <v>1200.0</v>
      </c>
      <c r="GI86" s="21" t="s">
        <v>719</v>
      </c>
      <c r="GK86" s="25">
        <v>27456.0</v>
      </c>
      <c r="GL86" s="21" t="s">
        <v>656</v>
      </c>
      <c r="GM86" s="21" t="s">
        <v>679</v>
      </c>
      <c r="GN86" s="21" t="s">
        <v>656</v>
      </c>
      <c r="GQ86" s="21" t="s">
        <v>656</v>
      </c>
      <c r="GS86" s="21" t="s">
        <v>720</v>
      </c>
      <c r="GT86" s="21" t="s">
        <v>720</v>
      </c>
      <c r="GU86" s="21">
        <v>132000.0</v>
      </c>
      <c r="GV86" s="21" t="s">
        <v>659</v>
      </c>
      <c r="HD86" s="21" t="s">
        <v>659</v>
      </c>
      <c r="HI86" s="21" t="s">
        <v>659</v>
      </c>
      <c r="HJ86" s="21" t="s">
        <v>1001</v>
      </c>
      <c r="HK86" s="21" t="s">
        <v>1002</v>
      </c>
      <c r="HL86" s="21" t="s">
        <v>659</v>
      </c>
      <c r="HM86" s="21" t="s">
        <v>659</v>
      </c>
      <c r="HN86" s="21" t="s">
        <v>659</v>
      </c>
      <c r="HO86" s="21" t="s">
        <v>656</v>
      </c>
      <c r="HP86" s="21" t="s">
        <v>656</v>
      </c>
      <c r="HQ86" s="21" t="s">
        <v>1557</v>
      </c>
      <c r="HS86" s="21" t="s">
        <v>699</v>
      </c>
      <c r="HT86" s="21" t="s">
        <v>723</v>
      </c>
      <c r="HU86" s="21" t="s">
        <v>1331</v>
      </c>
      <c r="IH86" s="21" t="s">
        <v>656</v>
      </c>
      <c r="II86" s="21" t="s">
        <v>656</v>
      </c>
      <c r="IN86" s="21" t="s">
        <v>725</v>
      </c>
      <c r="IO86" s="21" t="s">
        <v>726</v>
      </c>
      <c r="IP86" s="21" t="s">
        <v>726</v>
      </c>
      <c r="JT86" s="21" t="s">
        <v>727</v>
      </c>
      <c r="JV86" s="21" t="s">
        <v>659</v>
      </c>
      <c r="KB86" s="21" t="s">
        <v>659</v>
      </c>
      <c r="KJ86" s="21" t="s">
        <v>659</v>
      </c>
      <c r="KK86" s="21" t="s">
        <v>1562</v>
      </c>
      <c r="KL86" s="21" t="s">
        <v>659</v>
      </c>
      <c r="KM86" s="21" t="s">
        <v>656</v>
      </c>
      <c r="KN86" s="21" t="s">
        <v>656</v>
      </c>
      <c r="KO86" s="21" t="s">
        <v>659</v>
      </c>
      <c r="QW86" s="21" t="s">
        <v>656</v>
      </c>
      <c r="TI86" s="21" t="s">
        <v>656</v>
      </c>
      <c r="TL86" s="21" t="s">
        <v>656</v>
      </c>
      <c r="TZ86" s="21" t="s">
        <v>656</v>
      </c>
      <c r="US86" s="21" t="s">
        <v>659</v>
      </c>
      <c r="WL86" s="21" t="s">
        <v>1525</v>
      </c>
      <c r="WM86" s="21" t="s">
        <v>1563</v>
      </c>
      <c r="WN86" s="21" t="s">
        <v>1527</v>
      </c>
      <c r="WO86" s="21">
        <v>7.139897225E9</v>
      </c>
      <c r="WT86" s="21" t="s">
        <v>945</v>
      </c>
      <c r="WU86" s="21" t="s">
        <v>1144</v>
      </c>
      <c r="WV86" s="21">
        <v>2.812295579E9</v>
      </c>
      <c r="WW86" s="21" t="s">
        <v>947</v>
      </c>
      <c r="WX86" s="21" t="s">
        <v>1564</v>
      </c>
    </row>
    <row r="87">
      <c r="A87" s="21">
        <v>507.0</v>
      </c>
      <c r="B87" s="22">
        <v>44365.0</v>
      </c>
      <c r="C87" s="21">
        <v>2021.0</v>
      </c>
      <c r="D87" s="21">
        <v>2.0210053E7</v>
      </c>
      <c r="E87" s="21">
        <v>35420.0</v>
      </c>
      <c r="F87" s="21" t="s">
        <v>778</v>
      </c>
      <c r="G87" s="21">
        <v>32467.0</v>
      </c>
      <c r="H87" s="21" t="s">
        <v>1565</v>
      </c>
      <c r="I87" s="21" t="s">
        <v>652</v>
      </c>
      <c r="J87" s="21" t="s">
        <v>653</v>
      </c>
      <c r="K87" s="21" t="s">
        <v>654</v>
      </c>
      <c r="L87" s="21">
        <v>77002.0</v>
      </c>
      <c r="M87" s="23">
        <v>44336.791666666664</v>
      </c>
      <c r="N87" s="21" t="s">
        <v>655</v>
      </c>
      <c r="O87" s="21" t="s">
        <v>659</v>
      </c>
      <c r="P87" s="21">
        <v>32.324246</v>
      </c>
      <c r="Q87" s="21">
        <v>-92.460519</v>
      </c>
      <c r="R87" s="21">
        <v>1305609.0</v>
      </c>
      <c r="S87" s="24">
        <v>44336.813888888886</v>
      </c>
      <c r="T87" s="21">
        <v>1305672.0</v>
      </c>
      <c r="U87" s="21" t="s">
        <v>657</v>
      </c>
      <c r="W87" s="21">
        <v>22773.0</v>
      </c>
      <c r="X87" s="21">
        <v>0.0</v>
      </c>
      <c r="Y87" s="21">
        <v>0.1</v>
      </c>
      <c r="Z87" s="21" t="s">
        <v>656</v>
      </c>
      <c r="AF87" s="21">
        <v>0.0</v>
      </c>
      <c r="AG87" s="21" t="s">
        <v>656</v>
      </c>
      <c r="AM87" s="21">
        <v>0.0</v>
      </c>
      <c r="AN87" s="21" t="s">
        <v>994</v>
      </c>
      <c r="AT87" s="21" t="s">
        <v>659</v>
      </c>
      <c r="AU87" s="21" t="s">
        <v>660</v>
      </c>
      <c r="AV87" s="24">
        <v>44336.645833333336</v>
      </c>
      <c r="AW87" s="21" t="s">
        <v>656</v>
      </c>
      <c r="BI87" s="21">
        <v>0.0</v>
      </c>
      <c r="BJ87" s="24">
        <v>44336.59722222222</v>
      </c>
      <c r="BK87" s="24">
        <v>44336.59722222222</v>
      </c>
      <c r="BM87" s="21" t="s">
        <v>662</v>
      </c>
      <c r="BN87" s="21" t="s">
        <v>751</v>
      </c>
      <c r="BO87" s="21">
        <v>71226.0</v>
      </c>
      <c r="BP87" s="21" t="s">
        <v>1566</v>
      </c>
      <c r="BQ87" s="21" t="s">
        <v>827</v>
      </c>
      <c r="BR87" s="21" t="s">
        <v>665</v>
      </c>
      <c r="BT87" s="21" t="s">
        <v>1567</v>
      </c>
      <c r="BU87" s="21" t="s">
        <v>1568</v>
      </c>
      <c r="BV87" s="21" t="s">
        <v>656</v>
      </c>
      <c r="BW87" s="21" t="s">
        <v>668</v>
      </c>
      <c r="BX87" s="21" t="s">
        <v>669</v>
      </c>
      <c r="BY87" s="21" t="s">
        <v>670</v>
      </c>
      <c r="CC87" s="21" t="s">
        <v>656</v>
      </c>
      <c r="CZ87" s="21" t="s">
        <v>712</v>
      </c>
      <c r="DA87" s="21" t="s">
        <v>672</v>
      </c>
      <c r="DB87" s="21" t="s">
        <v>830</v>
      </c>
      <c r="EO87" s="21">
        <v>2010.0</v>
      </c>
      <c r="EP87" s="21">
        <v>2010.0</v>
      </c>
      <c r="EQ87" s="21" t="s">
        <v>1081</v>
      </c>
      <c r="ER87" s="21" t="s">
        <v>1458</v>
      </c>
      <c r="ES87" s="21" t="s">
        <v>696</v>
      </c>
      <c r="FB87" s="21" t="s">
        <v>1569</v>
      </c>
      <c r="FC87" s="21" t="s">
        <v>677</v>
      </c>
      <c r="FD87" s="21" t="s">
        <v>656</v>
      </c>
      <c r="FF87" s="21">
        <v>1100.0</v>
      </c>
      <c r="FH87" s="21" t="s">
        <v>656</v>
      </c>
      <c r="FI87" s="21" t="s">
        <v>656</v>
      </c>
      <c r="FO87" s="21">
        <v>0.0</v>
      </c>
      <c r="FP87" s="21">
        <v>61487.0</v>
      </c>
      <c r="FQ87" s="21">
        <v>0.0</v>
      </c>
      <c r="FR87" s="21">
        <v>435.0</v>
      </c>
      <c r="FS87" s="21">
        <v>100.0</v>
      </c>
      <c r="FT87" s="21">
        <v>0.0</v>
      </c>
      <c r="FV87" s="21">
        <v>2.7</v>
      </c>
      <c r="FW87" s="21">
        <v>62022.0</v>
      </c>
      <c r="FX87" s="21">
        <v>0.0</v>
      </c>
      <c r="FY87" s="21">
        <v>0.0</v>
      </c>
      <c r="FZ87" s="21">
        <v>0.0</v>
      </c>
      <c r="GA87" s="21">
        <v>0.0</v>
      </c>
      <c r="GB87" s="21" t="s">
        <v>656</v>
      </c>
      <c r="GF87" s="21">
        <v>1150.0</v>
      </c>
      <c r="GG87" s="21">
        <v>50.26</v>
      </c>
      <c r="GH87" s="21">
        <v>1440.0</v>
      </c>
      <c r="GI87" s="21" t="s">
        <v>774</v>
      </c>
      <c r="GK87" s="25">
        <v>40513.0</v>
      </c>
      <c r="GL87" s="21" t="s">
        <v>656</v>
      </c>
      <c r="GM87" s="21" t="s">
        <v>679</v>
      </c>
      <c r="GN87" s="21" t="s">
        <v>656</v>
      </c>
      <c r="GQ87" s="21" t="s">
        <v>656</v>
      </c>
      <c r="HK87" s="21" t="s">
        <v>721</v>
      </c>
      <c r="HL87" s="21" t="s">
        <v>659</v>
      </c>
      <c r="HM87" s="21" t="s">
        <v>659</v>
      </c>
      <c r="HN87" s="21" t="s">
        <v>656</v>
      </c>
      <c r="HO87" s="21" t="s">
        <v>656</v>
      </c>
      <c r="HP87" s="21" t="s">
        <v>656</v>
      </c>
      <c r="HQ87" s="21" t="s">
        <v>698</v>
      </c>
      <c r="HS87" s="21" t="s">
        <v>699</v>
      </c>
      <c r="HT87" s="21" t="s">
        <v>723</v>
      </c>
      <c r="HU87" s="21" t="s">
        <v>1570</v>
      </c>
      <c r="IH87" s="21" t="s">
        <v>656</v>
      </c>
      <c r="II87" s="21" t="s">
        <v>656</v>
      </c>
      <c r="IN87" s="21" t="s">
        <v>761</v>
      </c>
      <c r="IO87" s="21" t="s">
        <v>762</v>
      </c>
      <c r="OU87" s="21" t="s">
        <v>762</v>
      </c>
      <c r="PF87" s="21" t="s">
        <v>659</v>
      </c>
      <c r="QE87" s="21" t="s">
        <v>659</v>
      </c>
      <c r="QF87" s="21" t="s">
        <v>1571</v>
      </c>
      <c r="WL87" s="21" t="s">
        <v>1554</v>
      </c>
      <c r="WN87" s="21" t="s">
        <v>1494</v>
      </c>
      <c r="WO87" s="21">
        <v>7.139897085E9</v>
      </c>
      <c r="WT87" s="21" t="s">
        <v>945</v>
      </c>
      <c r="WU87" s="21" t="s">
        <v>1144</v>
      </c>
      <c r="WV87" s="21" t="s">
        <v>948</v>
      </c>
      <c r="WW87" s="21" t="s">
        <v>947</v>
      </c>
      <c r="WX87" s="21" t="s">
        <v>1572</v>
      </c>
    </row>
    <row r="88">
      <c r="A88" s="21">
        <v>517.0</v>
      </c>
      <c r="B88" s="22">
        <v>44327.0</v>
      </c>
      <c r="C88" s="21">
        <v>2021.0</v>
      </c>
      <c r="D88" s="21">
        <v>2.0210046E7</v>
      </c>
      <c r="E88" s="21">
        <v>36520.0</v>
      </c>
      <c r="F88" s="21" t="s">
        <v>778</v>
      </c>
      <c r="G88" s="21">
        <v>40069.0</v>
      </c>
      <c r="H88" s="21" t="s">
        <v>993</v>
      </c>
      <c r="I88" s="21" t="s">
        <v>652</v>
      </c>
      <c r="J88" s="21" t="s">
        <v>653</v>
      </c>
      <c r="K88" s="21" t="s">
        <v>654</v>
      </c>
      <c r="L88" s="21">
        <v>77002.0</v>
      </c>
      <c r="M88" s="23">
        <v>44297.60277777778</v>
      </c>
      <c r="N88" s="21" t="s">
        <v>655</v>
      </c>
      <c r="O88" s="21" t="s">
        <v>659</v>
      </c>
      <c r="P88" s="21">
        <v>28.309167</v>
      </c>
      <c r="Q88" s="21">
        <v>-93.265278</v>
      </c>
      <c r="R88" s="21">
        <v>1302453.0</v>
      </c>
      <c r="S88" s="24">
        <v>44297.60902777778</v>
      </c>
      <c r="T88" s="21">
        <v>1302658.0</v>
      </c>
      <c r="U88" s="21" t="s">
        <v>657</v>
      </c>
      <c r="W88" s="21">
        <v>10652.0</v>
      </c>
      <c r="X88" s="21">
        <v>0.0</v>
      </c>
      <c r="Y88" s="21">
        <v>0.5</v>
      </c>
      <c r="Z88" s="21" t="s">
        <v>656</v>
      </c>
      <c r="AF88" s="21">
        <v>0.0</v>
      </c>
      <c r="AG88" s="21" t="s">
        <v>656</v>
      </c>
      <c r="AM88" s="21">
        <v>0.0</v>
      </c>
      <c r="AN88" s="21" t="s">
        <v>658</v>
      </c>
      <c r="AO88" s="21" t="s">
        <v>659</v>
      </c>
      <c r="AQ88" s="24">
        <v>44297.60277777778</v>
      </c>
      <c r="AR88" s="24">
        <v>44345.59375</v>
      </c>
      <c r="AT88" s="21" t="s">
        <v>659</v>
      </c>
      <c r="AU88" s="21" t="s">
        <v>661</v>
      </c>
      <c r="AV88" s="24">
        <v>44297.69583333333</v>
      </c>
      <c r="AW88" s="21" t="s">
        <v>656</v>
      </c>
      <c r="BC88" s="21" t="s">
        <v>704</v>
      </c>
      <c r="BE88" s="24">
        <v>44297.60277777778</v>
      </c>
      <c r="BF88" s="21" t="s">
        <v>704</v>
      </c>
      <c r="BH88" s="24">
        <v>44297.69236111111</v>
      </c>
      <c r="BI88" s="21">
        <v>0.0</v>
      </c>
      <c r="BJ88" s="24">
        <v>44297.60277777778</v>
      </c>
      <c r="BK88" s="24">
        <v>44297.61111111111</v>
      </c>
      <c r="BM88" s="21" t="s">
        <v>705</v>
      </c>
      <c r="BT88" s="21" t="s">
        <v>995</v>
      </c>
      <c r="BU88" s="21" t="s">
        <v>1560</v>
      </c>
      <c r="CP88" s="21">
        <v>185.0</v>
      </c>
      <c r="CQ88" s="21" t="s">
        <v>708</v>
      </c>
      <c r="CV88" s="21" t="s">
        <v>997</v>
      </c>
      <c r="CW88" s="21" t="s">
        <v>998</v>
      </c>
      <c r="CX88" s="21">
        <v>551.0</v>
      </c>
      <c r="CY88" s="21" t="s">
        <v>711</v>
      </c>
      <c r="CZ88" s="21" t="s">
        <v>712</v>
      </c>
      <c r="DA88" s="21" t="s">
        <v>713</v>
      </c>
      <c r="DB88" s="21" t="s">
        <v>714</v>
      </c>
      <c r="DC88" s="21" t="s">
        <v>715</v>
      </c>
      <c r="DD88" s="21">
        <v>30.0</v>
      </c>
      <c r="DE88" s="21" t="s">
        <v>656</v>
      </c>
      <c r="DF88" s="21">
        <v>0.568</v>
      </c>
      <c r="DG88" s="21">
        <v>60000.0</v>
      </c>
      <c r="DH88" s="21" t="s">
        <v>1561</v>
      </c>
      <c r="DI88" s="21" t="s">
        <v>848</v>
      </c>
      <c r="DK88" s="21" t="s">
        <v>999</v>
      </c>
      <c r="DL88" s="21" t="s">
        <v>696</v>
      </c>
      <c r="DM88" s="21" t="s">
        <v>1000</v>
      </c>
      <c r="DN88" s="21" t="s">
        <v>656</v>
      </c>
      <c r="EO88" s="21">
        <v>1975.0</v>
      </c>
      <c r="EP88" s="21">
        <v>1975.0</v>
      </c>
      <c r="EQ88" s="21" t="s">
        <v>674</v>
      </c>
      <c r="ES88" s="21" t="s">
        <v>675</v>
      </c>
      <c r="EV88" s="21" t="s">
        <v>718</v>
      </c>
      <c r="FC88" s="21" t="s">
        <v>677</v>
      </c>
      <c r="FD88" s="21" t="s">
        <v>656</v>
      </c>
      <c r="FF88" s="21">
        <v>717.0</v>
      </c>
      <c r="FH88" s="21" t="s">
        <v>656</v>
      </c>
      <c r="FI88" s="21" t="s">
        <v>656</v>
      </c>
      <c r="FL88" s="21" t="s">
        <v>656</v>
      </c>
      <c r="FO88" s="21">
        <v>0.0</v>
      </c>
      <c r="FP88" s="21">
        <v>25352.0</v>
      </c>
      <c r="FQ88" s="21">
        <v>0.0</v>
      </c>
      <c r="FR88" s="21">
        <v>494337.0</v>
      </c>
      <c r="FS88" s="21">
        <v>0.0</v>
      </c>
      <c r="FT88" s="21">
        <v>0.0</v>
      </c>
      <c r="FV88" s="21">
        <v>2.38</v>
      </c>
      <c r="FW88" s="21">
        <v>519689.0</v>
      </c>
      <c r="FX88" s="21">
        <v>0.0</v>
      </c>
      <c r="FY88" s="21">
        <v>0.0</v>
      </c>
      <c r="FZ88" s="21">
        <v>0.0</v>
      </c>
      <c r="GA88" s="21">
        <v>0.0</v>
      </c>
      <c r="GB88" s="21" t="s">
        <v>656</v>
      </c>
      <c r="GF88" s="21">
        <v>350.0</v>
      </c>
      <c r="GG88" s="21">
        <v>1000.0</v>
      </c>
      <c r="GH88" s="21">
        <v>1200.0</v>
      </c>
      <c r="GI88" s="21" t="s">
        <v>719</v>
      </c>
      <c r="GK88" s="25">
        <v>27456.0</v>
      </c>
      <c r="GL88" s="21" t="s">
        <v>656</v>
      </c>
      <c r="GM88" s="21" t="s">
        <v>679</v>
      </c>
      <c r="GN88" s="21" t="s">
        <v>656</v>
      </c>
      <c r="GQ88" s="21" t="s">
        <v>656</v>
      </c>
      <c r="GS88" s="21" t="s">
        <v>720</v>
      </c>
      <c r="GT88" s="21" t="s">
        <v>720</v>
      </c>
      <c r="GU88" s="21">
        <v>132000.0</v>
      </c>
      <c r="GV88" s="21" t="s">
        <v>659</v>
      </c>
      <c r="HD88" s="21" t="s">
        <v>659</v>
      </c>
      <c r="HI88" s="21" t="s">
        <v>659</v>
      </c>
      <c r="HJ88" s="21" t="s">
        <v>1001</v>
      </c>
      <c r="HK88" s="21" t="s">
        <v>1002</v>
      </c>
      <c r="HL88" s="21" t="s">
        <v>659</v>
      </c>
      <c r="HM88" s="21" t="s">
        <v>659</v>
      </c>
      <c r="HN88" s="21" t="s">
        <v>659</v>
      </c>
      <c r="HO88" s="21" t="s">
        <v>656</v>
      </c>
      <c r="HP88" s="21" t="s">
        <v>656</v>
      </c>
      <c r="HQ88" s="21" t="s">
        <v>696</v>
      </c>
      <c r="HR88" s="21" t="s">
        <v>1573</v>
      </c>
      <c r="HT88" s="21" t="s">
        <v>723</v>
      </c>
      <c r="HU88" s="21" t="s">
        <v>1331</v>
      </c>
      <c r="IH88" s="21" t="s">
        <v>656</v>
      </c>
      <c r="II88" s="21" t="s">
        <v>656</v>
      </c>
      <c r="IN88" s="21" t="s">
        <v>725</v>
      </c>
      <c r="IO88" s="21" t="s">
        <v>726</v>
      </c>
      <c r="IP88" s="21" t="s">
        <v>726</v>
      </c>
      <c r="JT88" s="21" t="s">
        <v>727</v>
      </c>
      <c r="JV88" s="21" t="s">
        <v>659</v>
      </c>
      <c r="KB88" s="21" t="s">
        <v>659</v>
      </c>
      <c r="KJ88" s="21" t="s">
        <v>659</v>
      </c>
      <c r="KK88" s="21" t="s">
        <v>1558</v>
      </c>
      <c r="KL88" s="21" t="s">
        <v>659</v>
      </c>
      <c r="KM88" s="21" t="s">
        <v>656</v>
      </c>
      <c r="KN88" s="21" t="s">
        <v>656</v>
      </c>
      <c r="KO88" s="21" t="s">
        <v>659</v>
      </c>
      <c r="QW88" s="21" t="s">
        <v>656</v>
      </c>
      <c r="TI88" s="21" t="s">
        <v>656</v>
      </c>
      <c r="TL88" s="21" t="s">
        <v>656</v>
      </c>
      <c r="TZ88" s="21" t="s">
        <v>656</v>
      </c>
      <c r="WL88" s="21" t="s">
        <v>1525</v>
      </c>
      <c r="WM88" s="21" t="s">
        <v>1563</v>
      </c>
      <c r="WN88" s="21" t="s">
        <v>1527</v>
      </c>
      <c r="WO88" s="21" t="s">
        <v>1526</v>
      </c>
      <c r="WT88" s="21" t="s">
        <v>945</v>
      </c>
      <c r="WU88" s="21" t="s">
        <v>1144</v>
      </c>
      <c r="WV88" s="21">
        <v>2.812295579E9</v>
      </c>
      <c r="WW88" s="21" t="s">
        <v>947</v>
      </c>
      <c r="WX88" s="21" t="s">
        <v>1574</v>
      </c>
    </row>
    <row r="89">
      <c r="A89" s="21">
        <v>527.0</v>
      </c>
      <c r="B89" s="22">
        <v>44286.0</v>
      </c>
      <c r="C89" s="21">
        <v>2021.0</v>
      </c>
      <c r="D89" s="21">
        <v>2.0210036E7</v>
      </c>
      <c r="E89" s="21">
        <v>35111.0</v>
      </c>
      <c r="F89" s="21" t="s">
        <v>701</v>
      </c>
      <c r="G89" s="21">
        <v>32099.0</v>
      </c>
      <c r="H89" s="21" t="s">
        <v>651</v>
      </c>
      <c r="I89" s="21" t="s">
        <v>652</v>
      </c>
      <c r="J89" s="21" t="s">
        <v>653</v>
      </c>
      <c r="K89" s="21" t="s">
        <v>654</v>
      </c>
      <c r="L89" s="21">
        <v>77002.0</v>
      </c>
      <c r="M89" s="23">
        <v>44258.34375</v>
      </c>
      <c r="N89" s="21" t="s">
        <v>655</v>
      </c>
      <c r="O89" s="21" t="s">
        <v>656</v>
      </c>
      <c r="P89" s="21">
        <v>32.726957</v>
      </c>
      <c r="Q89" s="21">
        <v>-97.215384</v>
      </c>
      <c r="R89" s="21">
        <v>1299475.0</v>
      </c>
      <c r="S89" s="24">
        <v>44258.38680555556</v>
      </c>
      <c r="T89" s="21">
        <v>1299643.0</v>
      </c>
      <c r="U89" s="21" t="s">
        <v>657</v>
      </c>
      <c r="W89" s="21">
        <v>11500.0</v>
      </c>
      <c r="X89" s="21">
        <v>0.0</v>
      </c>
      <c r="Y89" s="21">
        <v>0.0</v>
      </c>
      <c r="Z89" s="21" t="s">
        <v>656</v>
      </c>
      <c r="AF89" s="21">
        <v>0.0</v>
      </c>
      <c r="AG89" s="21" t="s">
        <v>656</v>
      </c>
      <c r="AM89" s="21">
        <v>0.0</v>
      </c>
      <c r="AN89" s="21" t="s">
        <v>658</v>
      </c>
      <c r="AO89" s="21" t="s">
        <v>656</v>
      </c>
      <c r="AP89" s="21" t="s">
        <v>1575</v>
      </c>
      <c r="AT89" s="21" t="s">
        <v>656</v>
      </c>
      <c r="AW89" s="21" t="s">
        <v>656</v>
      </c>
      <c r="BI89" s="21">
        <v>0.0</v>
      </c>
      <c r="BJ89" s="24">
        <v>44258.2875</v>
      </c>
      <c r="BK89" s="24">
        <v>44258.29861111111</v>
      </c>
      <c r="BM89" s="21" t="s">
        <v>662</v>
      </c>
      <c r="BN89" s="21" t="s">
        <v>654</v>
      </c>
      <c r="BO89" s="21">
        <v>76112.0</v>
      </c>
      <c r="BP89" s="21" t="s">
        <v>1576</v>
      </c>
      <c r="BQ89" s="21" t="s">
        <v>1577</v>
      </c>
      <c r="BR89" s="21" t="s">
        <v>665</v>
      </c>
      <c r="BT89" s="21" t="s">
        <v>1578</v>
      </c>
      <c r="BU89" s="21" t="s">
        <v>1579</v>
      </c>
      <c r="BV89" s="21" t="s">
        <v>656</v>
      </c>
      <c r="BW89" s="21" t="s">
        <v>668</v>
      </c>
      <c r="BX89" s="21" t="s">
        <v>669</v>
      </c>
      <c r="BY89" s="21" t="s">
        <v>670</v>
      </c>
      <c r="CC89" s="21" t="s">
        <v>656</v>
      </c>
      <c r="CZ89" s="21" t="s">
        <v>671</v>
      </c>
      <c r="DA89" s="21" t="s">
        <v>920</v>
      </c>
      <c r="DB89" s="21" t="s">
        <v>696</v>
      </c>
      <c r="EN89" s="21" t="s">
        <v>1580</v>
      </c>
      <c r="EO89" s="21">
        <v>1960.0</v>
      </c>
      <c r="EP89" s="21">
        <v>1960.0</v>
      </c>
      <c r="EQ89" s="21" t="s">
        <v>674</v>
      </c>
      <c r="ES89" s="21" t="s">
        <v>696</v>
      </c>
      <c r="FB89" s="21" t="s">
        <v>1581</v>
      </c>
      <c r="FC89" s="21" t="s">
        <v>1152</v>
      </c>
      <c r="FD89" s="21" t="s">
        <v>659</v>
      </c>
      <c r="FE89" s="21" t="s">
        <v>1216</v>
      </c>
      <c r="FF89" s="21">
        <v>499.0</v>
      </c>
      <c r="FH89" s="21" t="s">
        <v>656</v>
      </c>
      <c r="FI89" s="21" t="s">
        <v>656</v>
      </c>
      <c r="FO89" s="21">
        <v>0.0</v>
      </c>
      <c r="FP89" s="21">
        <v>34500.0</v>
      </c>
      <c r="FQ89" s="21">
        <v>0.0</v>
      </c>
      <c r="FR89" s="21">
        <v>2500.0</v>
      </c>
      <c r="FS89" s="21">
        <v>0.0</v>
      </c>
      <c r="FT89" s="21">
        <v>0.0</v>
      </c>
      <c r="FV89" s="21">
        <v>3.0</v>
      </c>
      <c r="FW89" s="21">
        <v>37000.0</v>
      </c>
      <c r="FX89" s="21">
        <v>0.0</v>
      </c>
      <c r="FY89" s="21">
        <v>0.0</v>
      </c>
      <c r="FZ89" s="21">
        <v>0.0</v>
      </c>
      <c r="GA89" s="21">
        <v>0.0</v>
      </c>
      <c r="GB89" s="21" t="s">
        <v>656</v>
      </c>
      <c r="GF89" s="21">
        <v>380.0</v>
      </c>
      <c r="GG89" s="21">
        <v>0.0</v>
      </c>
      <c r="GH89" s="21">
        <v>811.0</v>
      </c>
      <c r="GI89" s="21" t="s">
        <v>774</v>
      </c>
      <c r="GK89" s="25">
        <v>22251.0</v>
      </c>
      <c r="GL89" s="21" t="s">
        <v>656</v>
      </c>
      <c r="GM89" s="21" t="s">
        <v>679</v>
      </c>
      <c r="GN89" s="21" t="s">
        <v>656</v>
      </c>
      <c r="GQ89" s="21" t="s">
        <v>656</v>
      </c>
      <c r="HK89" s="21" t="s">
        <v>721</v>
      </c>
      <c r="HL89" s="21" t="s">
        <v>659</v>
      </c>
      <c r="HM89" s="21" t="s">
        <v>659</v>
      </c>
      <c r="HN89" s="21" t="s">
        <v>659</v>
      </c>
      <c r="HO89" s="21" t="s">
        <v>656</v>
      </c>
      <c r="HP89" s="21" t="s">
        <v>656</v>
      </c>
      <c r="HQ89" s="21" t="s">
        <v>696</v>
      </c>
      <c r="HR89" s="21" t="s">
        <v>1582</v>
      </c>
      <c r="HT89" s="21" t="s">
        <v>723</v>
      </c>
      <c r="HU89" s="21" t="s">
        <v>1583</v>
      </c>
      <c r="IH89" s="21" t="s">
        <v>656</v>
      </c>
      <c r="II89" s="21" t="s">
        <v>656</v>
      </c>
      <c r="IN89" s="21" t="s">
        <v>761</v>
      </c>
      <c r="IO89" s="21" t="s">
        <v>762</v>
      </c>
      <c r="OU89" s="21" t="s">
        <v>762</v>
      </c>
      <c r="PE89" s="21" t="s">
        <v>659</v>
      </c>
      <c r="PG89" s="21" t="s">
        <v>659</v>
      </c>
      <c r="PH89" s="21" t="s">
        <v>1584</v>
      </c>
      <c r="QE89" s="21" t="s">
        <v>659</v>
      </c>
      <c r="QF89" s="21" t="s">
        <v>1585</v>
      </c>
      <c r="UZ89" s="21" t="s">
        <v>659</v>
      </c>
      <c r="WL89" s="21" t="s">
        <v>1357</v>
      </c>
      <c r="WM89" s="21" t="s">
        <v>1358</v>
      </c>
      <c r="WN89" s="21" t="s">
        <v>1359</v>
      </c>
      <c r="WO89" s="21">
        <v>1.9032436541E10</v>
      </c>
      <c r="WQ89" s="21" t="s">
        <v>1357</v>
      </c>
      <c r="WR89" s="21" t="s">
        <v>1359</v>
      </c>
      <c r="WS89" s="21">
        <v>1.9032436541E10</v>
      </c>
      <c r="WT89" s="21" t="s">
        <v>1193</v>
      </c>
      <c r="WU89" s="21" t="s">
        <v>1194</v>
      </c>
      <c r="WV89" s="21">
        <v>9.795319036E9</v>
      </c>
      <c r="WW89" s="21" t="s">
        <v>1196</v>
      </c>
      <c r="WX89" s="21" t="s">
        <v>1586</v>
      </c>
    </row>
    <row r="90">
      <c r="A90" s="21">
        <v>534.0</v>
      </c>
      <c r="B90" s="22">
        <v>44274.0</v>
      </c>
      <c r="C90" s="21">
        <v>2021.0</v>
      </c>
      <c r="D90" s="21">
        <v>2.0210028E7</v>
      </c>
      <c r="E90" s="21">
        <v>35147.0</v>
      </c>
      <c r="F90" s="21" t="s">
        <v>778</v>
      </c>
      <c r="G90" s="21">
        <v>32099.0</v>
      </c>
      <c r="H90" s="21" t="s">
        <v>651</v>
      </c>
      <c r="I90" s="21" t="s">
        <v>652</v>
      </c>
      <c r="J90" s="21" t="s">
        <v>653</v>
      </c>
      <c r="K90" s="21" t="s">
        <v>654</v>
      </c>
      <c r="L90" s="21">
        <v>77002.0</v>
      </c>
      <c r="M90" s="23">
        <v>44247.35763888889</v>
      </c>
      <c r="N90" s="21" t="s">
        <v>655</v>
      </c>
      <c r="O90" s="21" t="s">
        <v>656</v>
      </c>
      <c r="P90" s="21">
        <v>32.729471</v>
      </c>
      <c r="Q90" s="21">
        <v>-97.220657</v>
      </c>
      <c r="R90" s="21">
        <v>1298490.0</v>
      </c>
      <c r="S90" s="24">
        <v>44247.393055555556</v>
      </c>
      <c r="T90" s="21">
        <v>1298629.0</v>
      </c>
      <c r="U90" s="21" t="s">
        <v>657</v>
      </c>
      <c r="W90" s="21">
        <v>8760.0</v>
      </c>
      <c r="X90" s="21">
        <v>0.0</v>
      </c>
      <c r="Y90" s="21">
        <v>0.0</v>
      </c>
      <c r="Z90" s="21" t="s">
        <v>656</v>
      </c>
      <c r="AF90" s="21">
        <v>0.0</v>
      </c>
      <c r="AG90" s="21" t="s">
        <v>656</v>
      </c>
      <c r="AM90" s="21">
        <v>0.0</v>
      </c>
      <c r="AN90" s="21" t="s">
        <v>658</v>
      </c>
      <c r="AO90" s="21" t="s">
        <v>656</v>
      </c>
      <c r="AP90" s="21" t="s">
        <v>1587</v>
      </c>
      <c r="AT90" s="21" t="s">
        <v>656</v>
      </c>
      <c r="AW90" s="21" t="s">
        <v>656</v>
      </c>
      <c r="BI90" s="21">
        <v>0.0</v>
      </c>
      <c r="BJ90" s="24">
        <v>44247.05694444444</v>
      </c>
      <c r="BK90" s="24">
        <v>44247.0625</v>
      </c>
      <c r="BM90" s="21" t="s">
        <v>662</v>
      </c>
      <c r="BN90" s="21" t="s">
        <v>654</v>
      </c>
      <c r="BO90" s="21">
        <v>76112.0</v>
      </c>
      <c r="BP90" s="21" t="s">
        <v>1588</v>
      </c>
      <c r="BQ90" s="21" t="s">
        <v>1577</v>
      </c>
      <c r="BR90" s="21" t="s">
        <v>665</v>
      </c>
      <c r="BT90" s="21" t="s">
        <v>1589</v>
      </c>
      <c r="BU90" s="21" t="s">
        <v>1579</v>
      </c>
      <c r="BV90" s="21" t="s">
        <v>656</v>
      </c>
      <c r="BW90" s="21" t="s">
        <v>668</v>
      </c>
      <c r="BX90" s="21" t="s">
        <v>669</v>
      </c>
      <c r="BY90" s="21" t="s">
        <v>670</v>
      </c>
      <c r="CC90" s="21" t="s">
        <v>656</v>
      </c>
      <c r="CZ90" s="21" t="s">
        <v>671</v>
      </c>
      <c r="DA90" s="21" t="s">
        <v>920</v>
      </c>
      <c r="DB90" s="21" t="s">
        <v>1516</v>
      </c>
      <c r="EL90" s="21" t="s">
        <v>1365</v>
      </c>
      <c r="EM90" s="21" t="s">
        <v>1517</v>
      </c>
      <c r="EO90" s="21">
        <v>1960.0</v>
      </c>
      <c r="EP90" s="21">
        <v>1960.0</v>
      </c>
      <c r="EQ90" s="21" t="s">
        <v>1081</v>
      </c>
      <c r="ER90" s="21" t="s">
        <v>1365</v>
      </c>
      <c r="ES90" s="21" t="s">
        <v>696</v>
      </c>
      <c r="FB90" s="21" t="s">
        <v>1581</v>
      </c>
      <c r="FC90" s="21" t="s">
        <v>1256</v>
      </c>
      <c r="FD90" s="21" t="s">
        <v>659</v>
      </c>
      <c r="FE90" s="21" t="s">
        <v>1216</v>
      </c>
      <c r="FF90" s="21">
        <v>401.0</v>
      </c>
      <c r="FH90" s="21" t="s">
        <v>656</v>
      </c>
      <c r="FI90" s="21" t="s">
        <v>656</v>
      </c>
      <c r="FO90" s="21">
        <v>0.0</v>
      </c>
      <c r="FP90" s="21">
        <v>26280.0</v>
      </c>
      <c r="FQ90" s="21">
        <v>0.0</v>
      </c>
      <c r="FR90" s="21">
        <v>0.0</v>
      </c>
      <c r="FS90" s="21">
        <v>0.0</v>
      </c>
      <c r="FT90" s="21">
        <v>0.0</v>
      </c>
      <c r="FV90" s="21">
        <v>3.0</v>
      </c>
      <c r="FW90" s="21">
        <v>26280.0</v>
      </c>
      <c r="FX90" s="21">
        <v>0.0</v>
      </c>
      <c r="FY90" s="21">
        <v>0.0</v>
      </c>
      <c r="FZ90" s="21">
        <v>0.0</v>
      </c>
      <c r="GA90" s="21">
        <v>0.0</v>
      </c>
      <c r="GB90" s="21" t="s">
        <v>656</v>
      </c>
      <c r="GF90" s="21">
        <v>400.0</v>
      </c>
      <c r="GG90" s="21">
        <v>45.0</v>
      </c>
      <c r="GH90" s="21">
        <v>753.0</v>
      </c>
      <c r="GI90" s="21" t="s">
        <v>774</v>
      </c>
      <c r="GK90" s="25">
        <v>22251.0</v>
      </c>
      <c r="GL90" s="21" t="s">
        <v>656</v>
      </c>
      <c r="GM90" s="21" t="s">
        <v>679</v>
      </c>
      <c r="GN90" s="21" t="s">
        <v>656</v>
      </c>
      <c r="GQ90" s="21" t="s">
        <v>656</v>
      </c>
      <c r="HK90" s="21" t="s">
        <v>721</v>
      </c>
      <c r="HL90" s="21" t="s">
        <v>659</v>
      </c>
      <c r="HM90" s="21" t="s">
        <v>659</v>
      </c>
      <c r="HN90" s="21" t="s">
        <v>659</v>
      </c>
      <c r="HO90" s="21" t="s">
        <v>659</v>
      </c>
      <c r="HP90" s="21" t="s">
        <v>659</v>
      </c>
      <c r="HQ90" s="21" t="s">
        <v>681</v>
      </c>
      <c r="HT90" s="21" t="s">
        <v>723</v>
      </c>
      <c r="HU90" s="21" t="s">
        <v>1590</v>
      </c>
      <c r="IH90" s="21" t="s">
        <v>656</v>
      </c>
      <c r="II90" s="21" t="s">
        <v>656</v>
      </c>
      <c r="IN90" s="21" t="s">
        <v>867</v>
      </c>
      <c r="IO90" s="21" t="s">
        <v>868</v>
      </c>
      <c r="KP90" s="21" t="s">
        <v>868</v>
      </c>
      <c r="KT90" s="21" t="s">
        <v>869</v>
      </c>
      <c r="KV90" s="21" t="s">
        <v>659</v>
      </c>
      <c r="KZ90" s="21" t="s">
        <v>659</v>
      </c>
      <c r="LA90" s="21" t="s">
        <v>1591</v>
      </c>
      <c r="WL90" s="21" t="s">
        <v>1357</v>
      </c>
      <c r="WM90" s="21" t="s">
        <v>1358</v>
      </c>
      <c r="WN90" s="21" t="s">
        <v>1359</v>
      </c>
      <c r="WO90" s="21">
        <v>9.032436541E9</v>
      </c>
      <c r="WT90" s="21" t="s">
        <v>1193</v>
      </c>
      <c r="WU90" s="21" t="s">
        <v>1194</v>
      </c>
      <c r="WV90" s="21">
        <v>9.795319036E9</v>
      </c>
      <c r="WW90" s="21" t="s">
        <v>1196</v>
      </c>
      <c r="WX90" s="21" t="s">
        <v>1592</v>
      </c>
    </row>
    <row r="91">
      <c r="A91" s="21">
        <v>537.0</v>
      </c>
      <c r="B91" s="22">
        <v>44274.0</v>
      </c>
      <c r="C91" s="21">
        <v>2021.0</v>
      </c>
      <c r="D91" s="21">
        <v>2.0210027E7</v>
      </c>
      <c r="E91" s="21">
        <v>35146.0</v>
      </c>
      <c r="F91" s="21" t="s">
        <v>778</v>
      </c>
      <c r="G91" s="21">
        <v>32099.0</v>
      </c>
      <c r="H91" s="21" t="s">
        <v>651</v>
      </c>
      <c r="I91" s="21" t="s">
        <v>652</v>
      </c>
      <c r="J91" s="21" t="s">
        <v>653</v>
      </c>
      <c r="K91" s="21" t="s">
        <v>654</v>
      </c>
      <c r="L91" s="21">
        <v>77002.0</v>
      </c>
      <c r="M91" s="23">
        <v>44246.322916666664</v>
      </c>
      <c r="N91" s="21" t="s">
        <v>655</v>
      </c>
      <c r="O91" s="21" t="s">
        <v>656</v>
      </c>
      <c r="P91" s="21">
        <v>32.726957</v>
      </c>
      <c r="Q91" s="21">
        <v>-97.215384</v>
      </c>
      <c r="R91" s="21">
        <v>1298390.0</v>
      </c>
      <c r="S91" s="24">
        <v>44246.330555555556</v>
      </c>
      <c r="T91" s="21">
        <v>1298491.0</v>
      </c>
      <c r="U91" s="21" t="s">
        <v>657</v>
      </c>
      <c r="W91" s="21">
        <v>93696.0</v>
      </c>
      <c r="X91" s="21">
        <v>0.0</v>
      </c>
      <c r="Y91" s="21">
        <v>0.0</v>
      </c>
      <c r="Z91" s="21" t="s">
        <v>656</v>
      </c>
      <c r="AF91" s="21">
        <v>0.0</v>
      </c>
      <c r="AG91" s="21" t="s">
        <v>656</v>
      </c>
      <c r="AM91" s="21">
        <v>0.0</v>
      </c>
      <c r="AN91" s="21" t="s">
        <v>658</v>
      </c>
      <c r="AO91" s="21" t="s">
        <v>656</v>
      </c>
      <c r="AP91" s="21" t="s">
        <v>1587</v>
      </c>
      <c r="AT91" s="21" t="s">
        <v>656</v>
      </c>
      <c r="AW91" s="21" t="s">
        <v>656</v>
      </c>
      <c r="BI91" s="21">
        <v>0.0</v>
      </c>
      <c r="BJ91" s="24">
        <v>44246.29375</v>
      </c>
      <c r="BK91" s="24">
        <v>44246.375</v>
      </c>
      <c r="BM91" s="21" t="s">
        <v>662</v>
      </c>
      <c r="BN91" s="21" t="s">
        <v>654</v>
      </c>
      <c r="BO91" s="21">
        <v>76112.0</v>
      </c>
      <c r="BP91" s="21" t="s">
        <v>1588</v>
      </c>
      <c r="BQ91" s="21" t="s">
        <v>1577</v>
      </c>
      <c r="BR91" s="21" t="s">
        <v>665</v>
      </c>
      <c r="BT91" s="21" t="s">
        <v>1578</v>
      </c>
      <c r="BU91" s="21" t="s">
        <v>1579</v>
      </c>
      <c r="BV91" s="21" t="s">
        <v>656</v>
      </c>
      <c r="BW91" s="21" t="s">
        <v>668</v>
      </c>
      <c r="BX91" s="21" t="s">
        <v>669</v>
      </c>
      <c r="BY91" s="21" t="s">
        <v>670</v>
      </c>
      <c r="CC91" s="21" t="s">
        <v>656</v>
      </c>
      <c r="CZ91" s="21" t="s">
        <v>671</v>
      </c>
      <c r="DA91" s="21" t="s">
        <v>920</v>
      </c>
      <c r="DB91" s="21" t="s">
        <v>1516</v>
      </c>
      <c r="EL91" s="21" t="s">
        <v>1365</v>
      </c>
      <c r="EM91" s="21" t="s">
        <v>1517</v>
      </c>
      <c r="EO91" s="21">
        <v>1960.0</v>
      </c>
      <c r="EP91" s="21">
        <v>1960.0</v>
      </c>
      <c r="EQ91" s="21" t="s">
        <v>1081</v>
      </c>
      <c r="ER91" s="21" t="s">
        <v>1365</v>
      </c>
      <c r="ES91" s="21" t="s">
        <v>696</v>
      </c>
      <c r="FB91" s="21" t="s">
        <v>1581</v>
      </c>
      <c r="FC91" s="21" t="s">
        <v>1152</v>
      </c>
      <c r="FD91" s="21" t="s">
        <v>659</v>
      </c>
      <c r="FE91" s="21" t="s">
        <v>1216</v>
      </c>
      <c r="FF91" s="21">
        <v>499.0</v>
      </c>
      <c r="FH91" s="21" t="s">
        <v>656</v>
      </c>
      <c r="FI91" s="21" t="s">
        <v>656</v>
      </c>
      <c r="FO91" s="21">
        <v>0.0</v>
      </c>
      <c r="FP91" s="21">
        <v>281088.0</v>
      </c>
      <c r="FQ91" s="21">
        <v>0.0</v>
      </c>
      <c r="FR91" s="21">
        <v>0.0</v>
      </c>
      <c r="FS91" s="21">
        <v>0.0</v>
      </c>
      <c r="FT91" s="21">
        <v>0.0</v>
      </c>
      <c r="FV91" s="21">
        <v>3.0</v>
      </c>
      <c r="FW91" s="21">
        <v>281088.0</v>
      </c>
      <c r="FX91" s="21">
        <v>0.0</v>
      </c>
      <c r="FY91" s="21">
        <v>0.0</v>
      </c>
      <c r="FZ91" s="21">
        <v>0.0</v>
      </c>
      <c r="GA91" s="21">
        <v>0.0</v>
      </c>
      <c r="GB91" s="21" t="s">
        <v>656</v>
      </c>
      <c r="GF91" s="21">
        <v>380.0</v>
      </c>
      <c r="GG91" s="21">
        <v>50.0</v>
      </c>
      <c r="GH91" s="21">
        <v>811.0</v>
      </c>
      <c r="GI91" s="21" t="s">
        <v>774</v>
      </c>
      <c r="GK91" s="25">
        <v>22251.0</v>
      </c>
      <c r="GL91" s="21" t="s">
        <v>656</v>
      </c>
      <c r="GM91" s="21" t="s">
        <v>679</v>
      </c>
      <c r="GN91" s="21" t="s">
        <v>656</v>
      </c>
      <c r="GQ91" s="21" t="s">
        <v>656</v>
      </c>
      <c r="HK91" s="21" t="s">
        <v>721</v>
      </c>
      <c r="HL91" s="21" t="s">
        <v>659</v>
      </c>
      <c r="HM91" s="21" t="s">
        <v>659</v>
      </c>
      <c r="HN91" s="21" t="s">
        <v>659</v>
      </c>
      <c r="HO91" s="21" t="s">
        <v>659</v>
      </c>
      <c r="HP91" s="21" t="s">
        <v>659</v>
      </c>
      <c r="HQ91" s="21" t="s">
        <v>681</v>
      </c>
      <c r="HT91" s="21" t="s">
        <v>723</v>
      </c>
      <c r="HU91" s="21" t="s">
        <v>1590</v>
      </c>
      <c r="IH91" s="21" t="s">
        <v>656</v>
      </c>
      <c r="II91" s="21" t="s">
        <v>656</v>
      </c>
      <c r="IN91" s="21" t="s">
        <v>867</v>
      </c>
      <c r="IO91" s="21" t="s">
        <v>868</v>
      </c>
      <c r="KP91" s="21" t="s">
        <v>868</v>
      </c>
      <c r="KT91" s="21" t="s">
        <v>869</v>
      </c>
      <c r="KV91" s="21" t="s">
        <v>659</v>
      </c>
      <c r="KZ91" s="21" t="s">
        <v>659</v>
      </c>
      <c r="LA91" s="21" t="s">
        <v>1591</v>
      </c>
      <c r="WL91" s="21" t="s">
        <v>1357</v>
      </c>
      <c r="WM91" s="21" t="s">
        <v>1358</v>
      </c>
      <c r="WN91" s="21" t="s">
        <v>1359</v>
      </c>
      <c r="WO91" s="21" t="s">
        <v>1360</v>
      </c>
      <c r="WT91" s="21" t="s">
        <v>1193</v>
      </c>
      <c r="WU91" s="21" t="s">
        <v>1194</v>
      </c>
      <c r="WV91" s="21">
        <v>9.795319036E9</v>
      </c>
      <c r="WW91" s="21" t="s">
        <v>1196</v>
      </c>
      <c r="WX91" s="21" t="s">
        <v>1593</v>
      </c>
    </row>
    <row r="92">
      <c r="A92" s="21">
        <v>556.0</v>
      </c>
      <c r="B92" s="22">
        <v>44209.0</v>
      </c>
      <c r="C92" s="21">
        <v>2020.0</v>
      </c>
      <c r="D92" s="21">
        <v>2.0210005E7</v>
      </c>
      <c r="E92" s="21">
        <v>39713.0</v>
      </c>
      <c r="F92" s="21" t="s">
        <v>778</v>
      </c>
      <c r="G92" s="21">
        <v>19610.0</v>
      </c>
      <c r="H92" s="21" t="s">
        <v>1270</v>
      </c>
      <c r="I92" s="21" t="s">
        <v>652</v>
      </c>
      <c r="J92" s="21" t="s">
        <v>653</v>
      </c>
      <c r="K92" s="21" t="s">
        <v>654</v>
      </c>
      <c r="L92" s="21">
        <v>77002.0</v>
      </c>
      <c r="M92" s="23">
        <v>44179.086805555555</v>
      </c>
      <c r="N92" s="21" t="s">
        <v>655</v>
      </c>
      <c r="O92" s="21" t="s">
        <v>656</v>
      </c>
      <c r="P92" s="21">
        <v>35.62051</v>
      </c>
      <c r="Q92" s="21">
        <v>-100.97441</v>
      </c>
      <c r="R92" s="21">
        <v>1294211.0</v>
      </c>
      <c r="S92" s="24">
        <v>44179.126388888886</v>
      </c>
      <c r="T92" s="21">
        <v>1294327.0</v>
      </c>
      <c r="U92" s="21" t="s">
        <v>657</v>
      </c>
      <c r="W92" s="21">
        <v>36994.0</v>
      </c>
      <c r="X92" s="21">
        <v>0.0</v>
      </c>
      <c r="Y92" s="21">
        <v>0.1</v>
      </c>
      <c r="Z92" s="21" t="s">
        <v>656</v>
      </c>
      <c r="AF92" s="21">
        <v>0.0</v>
      </c>
      <c r="AG92" s="21" t="s">
        <v>656</v>
      </c>
      <c r="AM92" s="21">
        <v>0.0</v>
      </c>
      <c r="AN92" s="21" t="s">
        <v>658</v>
      </c>
      <c r="AO92" s="21" t="s">
        <v>659</v>
      </c>
      <c r="AQ92" s="24">
        <v>44179.114583333336</v>
      </c>
      <c r="AR92" s="24">
        <v>44179.25</v>
      </c>
      <c r="AT92" s="21" t="s">
        <v>659</v>
      </c>
      <c r="AU92" s="21" t="s">
        <v>661</v>
      </c>
      <c r="AV92" s="24">
        <v>44179.09375</v>
      </c>
      <c r="AW92" s="21" t="s">
        <v>656</v>
      </c>
      <c r="BI92" s="21">
        <v>0.0</v>
      </c>
      <c r="BJ92" s="24">
        <v>44179.086805555555</v>
      </c>
      <c r="BK92" s="24">
        <v>44179.104166666664</v>
      </c>
      <c r="BL92" s="24">
        <v>44179.104166666664</v>
      </c>
      <c r="BM92" s="21" t="s">
        <v>662</v>
      </c>
      <c r="BN92" s="21" t="s">
        <v>654</v>
      </c>
      <c r="BO92" s="21">
        <v>79065.0</v>
      </c>
      <c r="BP92" s="21" t="s">
        <v>1594</v>
      </c>
      <c r="BQ92" s="21" t="s">
        <v>1595</v>
      </c>
      <c r="BR92" s="21" t="s">
        <v>735</v>
      </c>
      <c r="BS92" s="21" t="s">
        <v>1596</v>
      </c>
      <c r="BT92" s="21" t="s">
        <v>1597</v>
      </c>
      <c r="BU92" s="21" t="s">
        <v>1598</v>
      </c>
      <c r="BV92" s="21" t="s">
        <v>656</v>
      </c>
      <c r="BW92" s="21" t="s">
        <v>668</v>
      </c>
      <c r="BX92" s="21" t="s">
        <v>669</v>
      </c>
      <c r="BY92" s="21" t="s">
        <v>670</v>
      </c>
      <c r="CC92" s="21" t="s">
        <v>656</v>
      </c>
      <c r="CZ92" s="21" t="s">
        <v>712</v>
      </c>
      <c r="DA92" s="21" t="s">
        <v>672</v>
      </c>
      <c r="DB92" s="21" t="s">
        <v>714</v>
      </c>
      <c r="DC92" s="21" t="s">
        <v>715</v>
      </c>
      <c r="DD92" s="21">
        <v>1.0</v>
      </c>
      <c r="DE92" s="21" t="s">
        <v>656</v>
      </c>
      <c r="DF92" s="21">
        <v>0.179</v>
      </c>
      <c r="DG92" s="21">
        <v>35000.0</v>
      </c>
      <c r="DH92" s="21" t="s">
        <v>964</v>
      </c>
      <c r="DI92" s="21" t="s">
        <v>921</v>
      </c>
      <c r="DK92" s="21" t="s">
        <v>1329</v>
      </c>
      <c r="DL92" s="21" t="s">
        <v>1599</v>
      </c>
      <c r="DN92" s="21" t="s">
        <v>659</v>
      </c>
      <c r="EO92" s="21">
        <v>1983.0</v>
      </c>
      <c r="EP92" s="21" t="s">
        <v>684</v>
      </c>
      <c r="EQ92" s="21" t="s">
        <v>674</v>
      </c>
      <c r="ES92" s="21" t="s">
        <v>696</v>
      </c>
      <c r="FB92" s="21" t="s">
        <v>1600</v>
      </c>
      <c r="FC92" s="21" t="s">
        <v>677</v>
      </c>
      <c r="FD92" s="21" t="s">
        <v>656</v>
      </c>
      <c r="FF92" s="21">
        <v>526.0</v>
      </c>
      <c r="FH92" s="21" t="s">
        <v>656</v>
      </c>
      <c r="FI92" s="21" t="s">
        <v>656</v>
      </c>
      <c r="FL92" s="21" t="s">
        <v>656</v>
      </c>
      <c r="FO92" s="21">
        <v>0.0</v>
      </c>
      <c r="FP92" s="21">
        <v>86196.0</v>
      </c>
      <c r="FQ92" s="21">
        <v>0.0</v>
      </c>
      <c r="FR92" s="21">
        <v>500.0</v>
      </c>
      <c r="FS92" s="21">
        <v>0.0</v>
      </c>
      <c r="FT92" s="21">
        <v>0.0</v>
      </c>
      <c r="FV92" s="21">
        <v>2.33</v>
      </c>
      <c r="FW92" s="21">
        <v>86696.0</v>
      </c>
      <c r="FX92" s="21">
        <v>0.0</v>
      </c>
      <c r="FY92" s="21">
        <v>0.0</v>
      </c>
      <c r="FZ92" s="21">
        <v>0.0</v>
      </c>
      <c r="GA92" s="21">
        <v>0.0</v>
      </c>
      <c r="GB92" s="21" t="s">
        <v>656</v>
      </c>
      <c r="GF92" s="21">
        <v>710.0</v>
      </c>
      <c r="GG92" s="21">
        <v>25.0</v>
      </c>
      <c r="GH92" s="21">
        <v>1008.0</v>
      </c>
      <c r="GI92" s="21" t="s">
        <v>719</v>
      </c>
      <c r="GK92" s="25">
        <v>34669.0</v>
      </c>
      <c r="GL92" s="21" t="s">
        <v>957</v>
      </c>
      <c r="GM92" s="21" t="s">
        <v>679</v>
      </c>
      <c r="GN92" s="21" t="s">
        <v>656</v>
      </c>
      <c r="GQ92" s="21" t="s">
        <v>656</v>
      </c>
      <c r="HK92" s="21" t="s">
        <v>721</v>
      </c>
      <c r="HL92" s="21" t="s">
        <v>659</v>
      </c>
      <c r="HM92" s="21" t="s">
        <v>659</v>
      </c>
      <c r="HN92" s="21" t="s">
        <v>659</v>
      </c>
      <c r="HO92" s="21" t="s">
        <v>659</v>
      </c>
      <c r="HP92" s="21" t="s">
        <v>659</v>
      </c>
      <c r="HQ92" s="21" t="s">
        <v>681</v>
      </c>
      <c r="HT92" s="21" t="s">
        <v>723</v>
      </c>
      <c r="HU92" s="21" t="s">
        <v>1601</v>
      </c>
      <c r="IH92" s="21" t="s">
        <v>656</v>
      </c>
      <c r="II92" s="21" t="s">
        <v>656</v>
      </c>
      <c r="IN92" s="21" t="s">
        <v>761</v>
      </c>
      <c r="IO92" s="21" t="s">
        <v>762</v>
      </c>
      <c r="OU92" s="21" t="s">
        <v>762</v>
      </c>
      <c r="PF92" s="21" t="s">
        <v>659</v>
      </c>
      <c r="QE92" s="21" t="s">
        <v>659</v>
      </c>
      <c r="QF92" s="21" t="s">
        <v>1602</v>
      </c>
      <c r="WL92" s="21" t="s">
        <v>1554</v>
      </c>
      <c r="WN92" s="21" t="s">
        <v>1494</v>
      </c>
      <c r="WO92" s="21">
        <v>7.139897085E9</v>
      </c>
      <c r="WT92" s="21" t="s">
        <v>945</v>
      </c>
      <c r="WU92" s="21" t="s">
        <v>946</v>
      </c>
      <c r="WV92" s="21">
        <v>7.139897126E9</v>
      </c>
      <c r="WW92" s="21" t="s">
        <v>947</v>
      </c>
      <c r="WX92" s="21" t="s">
        <v>1603</v>
      </c>
    </row>
    <row r="93">
      <c r="A93" s="21">
        <v>571.0</v>
      </c>
      <c r="B93" s="22">
        <v>44158.0</v>
      </c>
      <c r="C93" s="21">
        <v>2020.0</v>
      </c>
      <c r="D93" s="21">
        <v>2.0200124E7</v>
      </c>
      <c r="E93" s="21">
        <v>36399.0</v>
      </c>
      <c r="F93" s="21" t="s">
        <v>778</v>
      </c>
      <c r="G93" s="21">
        <v>5304.0</v>
      </c>
      <c r="H93" s="21" t="s">
        <v>932</v>
      </c>
      <c r="I93" s="21" t="s">
        <v>652</v>
      </c>
      <c r="J93" s="21" t="s">
        <v>653</v>
      </c>
      <c r="K93" s="21" t="s">
        <v>654</v>
      </c>
      <c r="L93" s="21">
        <v>77002.0</v>
      </c>
      <c r="M93" s="23">
        <v>44132.00347222222</v>
      </c>
      <c r="N93" s="21" t="s">
        <v>655</v>
      </c>
      <c r="O93" s="21" t="s">
        <v>659</v>
      </c>
      <c r="P93" s="21">
        <v>31.1169</v>
      </c>
      <c r="Q93" s="21">
        <v>-88.0122</v>
      </c>
      <c r="R93" s="21">
        <v>1290975.0</v>
      </c>
      <c r="S93" s="24">
        <v>44133.541666666664</v>
      </c>
      <c r="T93" s="21">
        <v>1291048.0</v>
      </c>
      <c r="U93" s="21" t="s">
        <v>657</v>
      </c>
      <c r="W93" s="21">
        <v>84000.0</v>
      </c>
      <c r="X93" s="21">
        <v>0.0</v>
      </c>
      <c r="Y93" s="21">
        <v>0.1</v>
      </c>
      <c r="Z93" s="21" t="s">
        <v>656</v>
      </c>
      <c r="AF93" s="21">
        <v>0.0</v>
      </c>
      <c r="AG93" s="21" t="s">
        <v>656</v>
      </c>
      <c r="AM93" s="21">
        <v>0.0</v>
      </c>
      <c r="AN93" s="21" t="s">
        <v>658</v>
      </c>
      <c r="AO93" s="21" t="s">
        <v>656</v>
      </c>
      <c r="AP93" s="21" t="s">
        <v>1604</v>
      </c>
      <c r="AT93" s="21" t="s">
        <v>656</v>
      </c>
      <c r="AW93" s="21" t="s">
        <v>656</v>
      </c>
      <c r="BI93" s="21">
        <v>0.0</v>
      </c>
      <c r="BJ93" s="24">
        <v>44132.916666666664</v>
      </c>
      <c r="BK93" s="24">
        <v>44132.99930555555</v>
      </c>
      <c r="BM93" s="21" t="s">
        <v>662</v>
      </c>
      <c r="BN93" s="21" t="s">
        <v>1605</v>
      </c>
      <c r="BO93" s="21">
        <v>36560.0</v>
      </c>
      <c r="BP93" s="21" t="s">
        <v>1606</v>
      </c>
      <c r="BQ93" s="21" t="s">
        <v>1607</v>
      </c>
      <c r="BR93" s="21" t="s">
        <v>892</v>
      </c>
      <c r="BS93" s="21">
        <v>190.8</v>
      </c>
      <c r="BT93" s="21" t="s">
        <v>1608</v>
      </c>
      <c r="BU93" s="21" t="s">
        <v>1609</v>
      </c>
      <c r="BV93" s="21" t="s">
        <v>656</v>
      </c>
      <c r="BW93" s="21" t="s">
        <v>668</v>
      </c>
      <c r="BX93" s="21" t="s">
        <v>669</v>
      </c>
      <c r="BY93" s="21" t="s">
        <v>670</v>
      </c>
      <c r="CC93" s="21" t="s">
        <v>656</v>
      </c>
      <c r="CZ93" s="21" t="s">
        <v>712</v>
      </c>
      <c r="DA93" s="21" t="s">
        <v>672</v>
      </c>
      <c r="DB93" s="21" t="s">
        <v>1610</v>
      </c>
      <c r="EO93" s="21">
        <v>2019.0</v>
      </c>
      <c r="EP93" s="21">
        <v>2019.0</v>
      </c>
      <c r="EQ93" s="21" t="s">
        <v>1081</v>
      </c>
      <c r="ER93" s="21" t="s">
        <v>1365</v>
      </c>
      <c r="ES93" s="21" t="s">
        <v>675</v>
      </c>
      <c r="EV93" s="21" t="s">
        <v>696</v>
      </c>
      <c r="EW93" s="21" t="s">
        <v>1611</v>
      </c>
      <c r="FC93" s="21" t="s">
        <v>677</v>
      </c>
      <c r="FD93" s="21" t="s">
        <v>656</v>
      </c>
      <c r="FF93" s="21">
        <v>517.0</v>
      </c>
      <c r="FH93" s="21" t="s">
        <v>656</v>
      </c>
      <c r="FI93" s="21" t="s">
        <v>656</v>
      </c>
      <c r="FL93" s="21" t="s">
        <v>659</v>
      </c>
      <c r="FN93" s="21" t="s">
        <v>659</v>
      </c>
      <c r="FO93" s="21">
        <v>0.0</v>
      </c>
      <c r="FP93" s="21">
        <v>261240.0</v>
      </c>
      <c r="FQ93" s="21">
        <v>0.0</v>
      </c>
      <c r="FR93" s="21">
        <v>100.0</v>
      </c>
      <c r="FS93" s="21">
        <v>2000.0</v>
      </c>
      <c r="FT93" s="21">
        <v>0.0</v>
      </c>
      <c r="FV93" s="21">
        <v>3.11</v>
      </c>
      <c r="FW93" s="21">
        <v>263340.0</v>
      </c>
      <c r="FX93" s="21">
        <v>0.0</v>
      </c>
      <c r="FY93" s="21">
        <v>0.0</v>
      </c>
      <c r="FZ93" s="21">
        <v>0.0</v>
      </c>
      <c r="GA93" s="21">
        <v>0.0</v>
      </c>
      <c r="GB93" s="21" t="s">
        <v>656</v>
      </c>
      <c r="GF93" s="21">
        <v>784.0</v>
      </c>
      <c r="GG93" s="21">
        <v>250.0</v>
      </c>
      <c r="GH93" s="21">
        <v>973.0</v>
      </c>
      <c r="GI93" s="21" t="s">
        <v>1095</v>
      </c>
      <c r="GK93" s="25">
        <v>21186.0</v>
      </c>
      <c r="GL93" s="21" t="s">
        <v>656</v>
      </c>
      <c r="GM93" s="21" t="s">
        <v>679</v>
      </c>
      <c r="GN93" s="21" t="s">
        <v>656</v>
      </c>
      <c r="GQ93" s="21" t="s">
        <v>656</v>
      </c>
      <c r="HK93" s="21" t="s">
        <v>721</v>
      </c>
      <c r="HL93" s="21" t="s">
        <v>659</v>
      </c>
      <c r="HM93" s="21" t="s">
        <v>659</v>
      </c>
      <c r="HN93" s="21" t="s">
        <v>659</v>
      </c>
      <c r="HO93" s="21" t="s">
        <v>659</v>
      </c>
      <c r="HP93" s="21" t="s">
        <v>659</v>
      </c>
      <c r="HQ93" s="21" t="s">
        <v>681</v>
      </c>
      <c r="HT93" s="21" t="s">
        <v>723</v>
      </c>
      <c r="HU93" s="21" t="s">
        <v>1612</v>
      </c>
      <c r="IH93" s="21" t="s">
        <v>656</v>
      </c>
      <c r="II93" s="21" t="s">
        <v>656</v>
      </c>
      <c r="IN93" s="21" t="s">
        <v>761</v>
      </c>
      <c r="IO93" s="21" t="s">
        <v>1203</v>
      </c>
      <c r="OU93" s="21" t="s">
        <v>1203</v>
      </c>
      <c r="PO93" s="21" t="s">
        <v>1613</v>
      </c>
      <c r="PT93" s="21" t="s">
        <v>659</v>
      </c>
      <c r="WL93" s="21" t="s">
        <v>1492</v>
      </c>
      <c r="WN93" s="21" t="s">
        <v>1614</v>
      </c>
      <c r="WO93" s="21">
        <v>7.139897085E9</v>
      </c>
      <c r="WT93" s="21" t="s">
        <v>945</v>
      </c>
      <c r="WU93" s="21" t="s">
        <v>1144</v>
      </c>
      <c r="WV93" s="21">
        <v>7.139897126E9</v>
      </c>
      <c r="WW93" s="21" t="s">
        <v>947</v>
      </c>
      <c r="WX93" s="21" t="s">
        <v>1615</v>
      </c>
    </row>
    <row r="94">
      <c r="A94" s="21">
        <v>573.0</v>
      </c>
      <c r="B94" s="22">
        <v>44159.0</v>
      </c>
      <c r="C94" s="21">
        <v>2020.0</v>
      </c>
      <c r="D94" s="21">
        <v>2.0200127E7</v>
      </c>
      <c r="E94" s="21">
        <v>36510.0</v>
      </c>
      <c r="F94" s="21" t="s">
        <v>778</v>
      </c>
      <c r="G94" s="21">
        <v>18152.0</v>
      </c>
      <c r="H94" s="21" t="s">
        <v>702</v>
      </c>
      <c r="I94" s="21" t="s">
        <v>652</v>
      </c>
      <c r="J94" s="21" t="s">
        <v>653</v>
      </c>
      <c r="K94" s="21" t="s">
        <v>654</v>
      </c>
      <c r="L94" s="21">
        <v>77002.0</v>
      </c>
      <c r="M94" s="23">
        <v>44130.65416666667</v>
      </c>
      <c r="N94" s="21" t="s">
        <v>655</v>
      </c>
      <c r="O94" s="21" t="s">
        <v>659</v>
      </c>
      <c r="P94" s="21">
        <v>28.121944</v>
      </c>
      <c r="Q94" s="21">
        <v>-92.975833</v>
      </c>
      <c r="R94" s="21">
        <v>1290995.0</v>
      </c>
      <c r="S94" s="24">
        <v>44133.65416666667</v>
      </c>
      <c r="T94" s="21">
        <v>1291104.0</v>
      </c>
      <c r="U94" s="21" t="s">
        <v>657</v>
      </c>
      <c r="W94" s="21">
        <v>3563.0</v>
      </c>
      <c r="X94" s="21">
        <v>0.0</v>
      </c>
      <c r="Y94" s="21">
        <v>0.1</v>
      </c>
      <c r="Z94" s="21" t="s">
        <v>656</v>
      </c>
      <c r="AF94" s="21">
        <v>0.0</v>
      </c>
      <c r="AG94" s="21" t="s">
        <v>656</v>
      </c>
      <c r="AM94" s="21">
        <v>0.0</v>
      </c>
      <c r="AN94" s="21" t="s">
        <v>658</v>
      </c>
      <c r="AO94" s="21" t="s">
        <v>656</v>
      </c>
      <c r="AP94" s="21" t="s">
        <v>1616</v>
      </c>
      <c r="AT94" s="21" t="s">
        <v>656</v>
      </c>
      <c r="AW94" s="21" t="s">
        <v>656</v>
      </c>
      <c r="BC94" s="21" t="s">
        <v>704</v>
      </c>
      <c r="BE94" s="24">
        <v>44130.5</v>
      </c>
      <c r="BF94" s="21" t="s">
        <v>704</v>
      </c>
      <c r="BH94" s="24">
        <v>44133.625</v>
      </c>
      <c r="BI94" s="21">
        <v>0.0</v>
      </c>
      <c r="BJ94" s="24">
        <v>44133.65416666667</v>
      </c>
      <c r="BK94" s="24">
        <v>44133.6125</v>
      </c>
      <c r="BM94" s="21" t="s">
        <v>705</v>
      </c>
      <c r="BT94" s="21" t="s">
        <v>1617</v>
      </c>
      <c r="BU94" s="21">
        <v>4093.0</v>
      </c>
      <c r="CP94" s="21">
        <v>240.0</v>
      </c>
      <c r="CQ94" s="21" t="s">
        <v>708</v>
      </c>
      <c r="CV94" s="21" t="s">
        <v>997</v>
      </c>
      <c r="CW94" s="21" t="s">
        <v>1618</v>
      </c>
      <c r="CX94" s="21">
        <v>335.0</v>
      </c>
      <c r="CY94" s="21" t="s">
        <v>1619</v>
      </c>
      <c r="CZ94" s="21" t="s">
        <v>712</v>
      </c>
      <c r="DA94" s="21" t="s">
        <v>713</v>
      </c>
      <c r="DB94" s="21" t="s">
        <v>714</v>
      </c>
      <c r="DC94" s="21" t="s">
        <v>715</v>
      </c>
      <c r="DD94" s="21">
        <v>20.0</v>
      </c>
      <c r="DE94" s="21" t="s">
        <v>656</v>
      </c>
      <c r="DF94" s="21">
        <v>0.5</v>
      </c>
      <c r="DG94" s="21">
        <v>60000.0</v>
      </c>
      <c r="DH94" s="21" t="s">
        <v>1620</v>
      </c>
      <c r="DI94" s="21" t="s">
        <v>696</v>
      </c>
      <c r="DJ94" s="21" t="s">
        <v>684</v>
      </c>
      <c r="DK94" s="21" t="s">
        <v>684</v>
      </c>
      <c r="DL94" s="21" t="s">
        <v>1599</v>
      </c>
      <c r="DN94" s="21" t="s">
        <v>659</v>
      </c>
      <c r="EO94" s="21">
        <v>1977.0</v>
      </c>
      <c r="EP94" s="21">
        <v>1977.0</v>
      </c>
      <c r="EQ94" s="21" t="s">
        <v>674</v>
      </c>
      <c r="ES94" s="21" t="s">
        <v>675</v>
      </c>
      <c r="EV94" s="21" t="s">
        <v>718</v>
      </c>
      <c r="FC94" s="21" t="s">
        <v>677</v>
      </c>
      <c r="FD94" s="21" t="s">
        <v>656</v>
      </c>
      <c r="FF94" s="21">
        <v>488.0</v>
      </c>
      <c r="FH94" s="21" t="s">
        <v>656</v>
      </c>
      <c r="FI94" s="21" t="s">
        <v>656</v>
      </c>
      <c r="FL94" s="21" t="s">
        <v>656</v>
      </c>
      <c r="FO94" s="21">
        <v>0.0</v>
      </c>
      <c r="FP94" s="21">
        <v>10511.0</v>
      </c>
      <c r="FQ94" s="21">
        <v>0.0</v>
      </c>
      <c r="FR94" s="21">
        <v>100000.0</v>
      </c>
      <c r="FS94" s="21">
        <v>2000.0</v>
      </c>
      <c r="FT94" s="21">
        <v>0.0</v>
      </c>
      <c r="FV94" s="21">
        <v>2.95</v>
      </c>
      <c r="FW94" s="21">
        <v>112511.0</v>
      </c>
      <c r="FX94" s="21">
        <v>0.0</v>
      </c>
      <c r="FY94" s="21">
        <v>0.0</v>
      </c>
      <c r="FZ94" s="21">
        <v>0.0</v>
      </c>
      <c r="GA94" s="21">
        <v>0.0</v>
      </c>
      <c r="GB94" s="21" t="s">
        <v>656</v>
      </c>
      <c r="GF94" s="21">
        <v>704.0</v>
      </c>
      <c r="GG94" s="21">
        <v>0.0</v>
      </c>
      <c r="GH94" s="21">
        <v>984.0</v>
      </c>
      <c r="GI94" s="21" t="s">
        <v>719</v>
      </c>
      <c r="GK94" s="25">
        <v>41108.0</v>
      </c>
      <c r="GL94" s="21" t="s">
        <v>656</v>
      </c>
      <c r="GM94" s="21" t="s">
        <v>679</v>
      </c>
      <c r="GN94" s="21" t="s">
        <v>656</v>
      </c>
      <c r="GQ94" s="21" t="s">
        <v>656</v>
      </c>
      <c r="GS94" s="21" t="s">
        <v>720</v>
      </c>
      <c r="GT94" s="21" t="s">
        <v>720</v>
      </c>
      <c r="GU94" s="21">
        <v>237600.0</v>
      </c>
      <c r="GV94" s="21" t="s">
        <v>656</v>
      </c>
      <c r="GW94" s="21" t="s">
        <v>659</v>
      </c>
      <c r="GY94" s="21" t="s">
        <v>659</v>
      </c>
      <c r="HD94" s="21" t="s">
        <v>659</v>
      </c>
      <c r="HG94" s="21" t="s">
        <v>659</v>
      </c>
      <c r="HK94" s="21" t="s">
        <v>721</v>
      </c>
      <c r="HL94" s="21" t="s">
        <v>659</v>
      </c>
      <c r="HM94" s="21" t="s">
        <v>659</v>
      </c>
      <c r="HN94" s="21" t="s">
        <v>659</v>
      </c>
      <c r="HO94" s="21" t="s">
        <v>656</v>
      </c>
      <c r="HP94" s="21" t="s">
        <v>656</v>
      </c>
      <c r="HQ94" s="21" t="s">
        <v>698</v>
      </c>
      <c r="HS94" s="21" t="s">
        <v>1003</v>
      </c>
      <c r="HT94" s="21" t="s">
        <v>723</v>
      </c>
      <c r="HU94" s="21" t="s">
        <v>1621</v>
      </c>
      <c r="IH94" s="21" t="s">
        <v>656</v>
      </c>
      <c r="II94" s="21" t="s">
        <v>656</v>
      </c>
      <c r="IN94" s="21" t="s">
        <v>725</v>
      </c>
      <c r="IO94" s="21" t="s">
        <v>900</v>
      </c>
      <c r="IP94" s="21" t="s">
        <v>900</v>
      </c>
      <c r="IQ94" s="21" t="s">
        <v>1014</v>
      </c>
      <c r="IT94" s="21" t="s">
        <v>659</v>
      </c>
      <c r="JB94" s="21" t="s">
        <v>659</v>
      </c>
      <c r="JF94" s="21" t="s">
        <v>656</v>
      </c>
      <c r="JR94" s="21" t="s">
        <v>659</v>
      </c>
      <c r="JS94" s="21" t="s">
        <v>656</v>
      </c>
      <c r="QW94" s="21" t="s">
        <v>656</v>
      </c>
      <c r="TI94" s="21" t="s">
        <v>656</v>
      </c>
      <c r="TL94" s="21" t="s">
        <v>656</v>
      </c>
      <c r="TZ94" s="21" t="s">
        <v>656</v>
      </c>
      <c r="UO94" s="21" t="s">
        <v>659</v>
      </c>
      <c r="WL94" s="21" t="s">
        <v>1518</v>
      </c>
      <c r="WM94" s="21" t="s">
        <v>1546</v>
      </c>
      <c r="WN94" s="21" t="s">
        <v>1519</v>
      </c>
      <c r="WO94" s="21">
        <v>1.7139894527E10</v>
      </c>
      <c r="WT94" s="21" t="s">
        <v>945</v>
      </c>
      <c r="WU94" s="21" t="s">
        <v>1144</v>
      </c>
      <c r="WV94" s="21">
        <v>7.139897126E9</v>
      </c>
      <c r="WW94" s="21" t="s">
        <v>947</v>
      </c>
      <c r="WX94" s="21" t="s">
        <v>1622</v>
      </c>
    </row>
    <row r="95">
      <c r="A95" s="21">
        <v>575.0</v>
      </c>
      <c r="B95" s="22">
        <v>44152.0</v>
      </c>
      <c r="C95" s="21">
        <v>2020.0</v>
      </c>
      <c r="D95" s="21">
        <v>2.0200121E7</v>
      </c>
      <c r="E95" s="21">
        <v>34543.0</v>
      </c>
      <c r="F95" s="21" t="s">
        <v>701</v>
      </c>
      <c r="G95" s="21">
        <v>19610.0</v>
      </c>
      <c r="H95" s="21" t="s">
        <v>1270</v>
      </c>
      <c r="I95" s="21" t="s">
        <v>652</v>
      </c>
      <c r="J95" s="21" t="s">
        <v>653</v>
      </c>
      <c r="K95" s="21" t="s">
        <v>654</v>
      </c>
      <c r="L95" s="21">
        <v>77002.0</v>
      </c>
      <c r="M95" s="23">
        <v>44123.251388888886</v>
      </c>
      <c r="N95" s="21" t="s">
        <v>1162</v>
      </c>
      <c r="O95" s="21" t="s">
        <v>659</v>
      </c>
      <c r="P95" s="21">
        <v>32.532378</v>
      </c>
      <c r="Q95" s="21">
        <v>-103.809277</v>
      </c>
      <c r="R95" s="21">
        <v>1290106.0</v>
      </c>
      <c r="S95" s="24">
        <v>44123.322222222225</v>
      </c>
      <c r="T95" s="21">
        <v>1290280.0</v>
      </c>
      <c r="U95" s="21" t="s">
        <v>657</v>
      </c>
      <c r="W95" s="21">
        <v>7894.0</v>
      </c>
      <c r="X95" s="21">
        <v>0.0</v>
      </c>
      <c r="Y95" s="21">
        <v>0.0</v>
      </c>
      <c r="Z95" s="21" t="s">
        <v>656</v>
      </c>
      <c r="AF95" s="21">
        <v>0.0</v>
      </c>
      <c r="AG95" s="21" t="s">
        <v>656</v>
      </c>
      <c r="AM95" s="21">
        <v>0.0</v>
      </c>
      <c r="AN95" s="21" t="s">
        <v>658</v>
      </c>
      <c r="AO95" s="21" t="s">
        <v>659</v>
      </c>
      <c r="AQ95" s="24">
        <v>44122.34861111111</v>
      </c>
      <c r="AR95" s="24">
        <v>44122.35763888889</v>
      </c>
      <c r="AT95" s="21" t="s">
        <v>656</v>
      </c>
      <c r="AW95" s="21" t="s">
        <v>656</v>
      </c>
      <c r="BI95" s="21">
        <v>0.0</v>
      </c>
      <c r="BJ95" s="24">
        <v>44122.34097222222</v>
      </c>
      <c r="BK95" s="24">
        <v>44122.34375</v>
      </c>
      <c r="BM95" s="21" t="s">
        <v>662</v>
      </c>
      <c r="BN95" s="21" t="s">
        <v>1163</v>
      </c>
      <c r="BO95" s="21">
        <v>88220.0</v>
      </c>
      <c r="BP95" s="21" t="s">
        <v>1623</v>
      </c>
      <c r="BQ95" s="21" t="s">
        <v>1263</v>
      </c>
      <c r="BR95" s="21" t="s">
        <v>892</v>
      </c>
      <c r="BS95" s="21">
        <v>79.4</v>
      </c>
      <c r="BT95" s="21" t="s">
        <v>1624</v>
      </c>
      <c r="BU95" s="21" t="s">
        <v>1625</v>
      </c>
      <c r="BV95" s="21" t="s">
        <v>656</v>
      </c>
      <c r="BW95" s="21" t="s">
        <v>668</v>
      </c>
      <c r="BX95" s="21" t="s">
        <v>669</v>
      </c>
      <c r="BY95" s="21" t="s">
        <v>670</v>
      </c>
      <c r="CC95" s="21" t="s">
        <v>656</v>
      </c>
      <c r="CZ95" s="21" t="s">
        <v>712</v>
      </c>
      <c r="DA95" s="21" t="s">
        <v>672</v>
      </c>
      <c r="DB95" s="21" t="s">
        <v>756</v>
      </c>
      <c r="EH95" s="21" t="s">
        <v>1432</v>
      </c>
      <c r="EO95" s="21">
        <v>1960.0</v>
      </c>
      <c r="EP95" s="21">
        <v>1959.0</v>
      </c>
      <c r="EQ95" s="21" t="s">
        <v>674</v>
      </c>
      <c r="ES95" s="21" t="s">
        <v>696</v>
      </c>
      <c r="FB95" s="21" t="s">
        <v>1626</v>
      </c>
      <c r="FC95" s="21" t="s">
        <v>677</v>
      </c>
      <c r="FD95" s="21" t="s">
        <v>656</v>
      </c>
      <c r="FF95" s="21">
        <v>526.0</v>
      </c>
      <c r="FH95" s="21" t="s">
        <v>656</v>
      </c>
      <c r="FI95" s="21" t="s">
        <v>656</v>
      </c>
      <c r="FO95" s="21">
        <v>0.0</v>
      </c>
      <c r="FP95" s="21">
        <v>4736.0</v>
      </c>
      <c r="FQ95" s="21">
        <v>0.0</v>
      </c>
      <c r="FR95" s="21">
        <v>0.0</v>
      </c>
      <c r="FS95" s="21">
        <v>500.0</v>
      </c>
      <c r="FT95" s="21">
        <v>0.0</v>
      </c>
      <c r="FV95" s="21">
        <v>0.6</v>
      </c>
      <c r="FW95" s="21">
        <v>5236.0</v>
      </c>
      <c r="FX95" s="21">
        <v>0.0</v>
      </c>
      <c r="FY95" s="21">
        <v>0.0</v>
      </c>
      <c r="FZ95" s="21">
        <v>0.0</v>
      </c>
      <c r="GA95" s="21">
        <v>0.0</v>
      </c>
      <c r="GB95" s="21" t="s">
        <v>656</v>
      </c>
      <c r="GF95" s="21">
        <v>988.0</v>
      </c>
      <c r="GG95" s="21">
        <v>423.0</v>
      </c>
      <c r="GH95" s="21">
        <v>1008.0</v>
      </c>
      <c r="GI95" s="21" t="s">
        <v>1095</v>
      </c>
      <c r="GK95" s="25">
        <v>21916.0</v>
      </c>
      <c r="GL95" s="21" t="s">
        <v>957</v>
      </c>
      <c r="GM95" s="21" t="s">
        <v>679</v>
      </c>
      <c r="GN95" s="21" t="s">
        <v>656</v>
      </c>
      <c r="GQ95" s="21" t="s">
        <v>656</v>
      </c>
      <c r="HK95" s="21" t="s">
        <v>721</v>
      </c>
      <c r="HL95" s="21" t="s">
        <v>659</v>
      </c>
      <c r="HM95" s="21" t="s">
        <v>659</v>
      </c>
      <c r="HN95" s="21" t="s">
        <v>659</v>
      </c>
      <c r="HO95" s="21" t="s">
        <v>656</v>
      </c>
      <c r="HP95" s="21" t="s">
        <v>659</v>
      </c>
      <c r="HQ95" s="21" t="s">
        <v>698</v>
      </c>
      <c r="HS95" s="21" t="s">
        <v>699</v>
      </c>
      <c r="HT95" s="21" t="s">
        <v>723</v>
      </c>
      <c r="HU95" s="21" t="s">
        <v>1627</v>
      </c>
      <c r="IH95" s="21" t="s">
        <v>656</v>
      </c>
      <c r="II95" s="21" t="s">
        <v>656</v>
      </c>
      <c r="IN95" s="21" t="s">
        <v>761</v>
      </c>
      <c r="IO95" s="21" t="s">
        <v>762</v>
      </c>
      <c r="OU95" s="21" t="s">
        <v>762</v>
      </c>
      <c r="PG95" s="21" t="s">
        <v>659</v>
      </c>
      <c r="PH95" s="21" t="s">
        <v>1628</v>
      </c>
      <c r="QE95" s="21" t="s">
        <v>659</v>
      </c>
      <c r="QF95" s="21" t="s">
        <v>1629</v>
      </c>
      <c r="WL95" s="21" t="s">
        <v>1554</v>
      </c>
      <c r="WN95" s="21" t="s">
        <v>1494</v>
      </c>
      <c r="WO95" s="21" t="s">
        <v>1495</v>
      </c>
      <c r="WT95" s="21" t="s">
        <v>945</v>
      </c>
      <c r="WV95" s="21" t="s">
        <v>948</v>
      </c>
      <c r="WW95" s="21" t="s">
        <v>947</v>
      </c>
      <c r="WX95" s="21" t="s">
        <v>1630</v>
      </c>
    </row>
    <row r="96">
      <c r="A96" s="21">
        <v>576.0</v>
      </c>
      <c r="B96" s="22">
        <v>44146.0</v>
      </c>
      <c r="C96" s="21">
        <v>2020.0</v>
      </c>
      <c r="D96" s="21">
        <v>2.020012E7</v>
      </c>
      <c r="E96" s="21">
        <v>36519.0</v>
      </c>
      <c r="F96" s="21" t="s">
        <v>778</v>
      </c>
      <c r="G96" s="21">
        <v>40069.0</v>
      </c>
      <c r="H96" s="21" t="s">
        <v>993</v>
      </c>
      <c r="I96" s="21" t="s">
        <v>652</v>
      </c>
      <c r="J96" s="21" t="s">
        <v>653</v>
      </c>
      <c r="K96" s="21" t="s">
        <v>654</v>
      </c>
      <c r="L96" s="21">
        <v>77002.0</v>
      </c>
      <c r="M96" s="23">
        <v>44115.62152777778</v>
      </c>
      <c r="N96" s="21" t="s">
        <v>655</v>
      </c>
      <c r="O96" s="21" t="s">
        <v>659</v>
      </c>
      <c r="P96" s="21">
        <v>28.0973385</v>
      </c>
      <c r="Q96" s="21">
        <v>-93.50274218</v>
      </c>
      <c r="R96" s="21">
        <v>1289546.0</v>
      </c>
      <c r="S96" s="24">
        <v>44116.49375</v>
      </c>
      <c r="T96" s="21">
        <v>1289549.0</v>
      </c>
      <c r="U96" s="21" t="s">
        <v>657</v>
      </c>
      <c r="W96" s="21">
        <v>63214.0</v>
      </c>
      <c r="X96" s="21">
        <v>0.0</v>
      </c>
      <c r="Y96" s="21">
        <v>0.0</v>
      </c>
      <c r="Z96" s="21" t="s">
        <v>656</v>
      </c>
      <c r="AF96" s="21">
        <v>0.0</v>
      </c>
      <c r="AG96" s="21" t="s">
        <v>656</v>
      </c>
      <c r="AM96" s="21">
        <v>0.0</v>
      </c>
      <c r="AN96" s="21" t="s">
        <v>994</v>
      </c>
      <c r="AT96" s="21" t="s">
        <v>656</v>
      </c>
      <c r="AW96" s="21" t="s">
        <v>656</v>
      </c>
      <c r="BC96" s="21" t="s">
        <v>1119</v>
      </c>
      <c r="BD96" s="21" t="s">
        <v>1631</v>
      </c>
      <c r="BF96" s="21" t="s">
        <v>704</v>
      </c>
      <c r="BH96" s="24">
        <v>44116.416666666664</v>
      </c>
      <c r="BI96" s="21">
        <v>0.0</v>
      </c>
      <c r="BJ96" s="24">
        <v>44115.62152777778</v>
      </c>
      <c r="BK96" s="24">
        <v>44116.416666666664</v>
      </c>
      <c r="BM96" s="21" t="s">
        <v>705</v>
      </c>
      <c r="BT96" s="21" t="s">
        <v>1632</v>
      </c>
      <c r="BU96" s="21">
        <v>4813.0</v>
      </c>
      <c r="CP96" s="21">
        <v>255.0</v>
      </c>
      <c r="CQ96" s="21" t="s">
        <v>708</v>
      </c>
      <c r="CV96" s="21" t="s">
        <v>997</v>
      </c>
      <c r="CW96" s="21" t="s">
        <v>1633</v>
      </c>
      <c r="CX96" s="21">
        <v>330.0</v>
      </c>
      <c r="CY96" s="21" t="s">
        <v>1634</v>
      </c>
      <c r="CZ96" s="21" t="s">
        <v>712</v>
      </c>
      <c r="DA96" s="21" t="s">
        <v>713</v>
      </c>
      <c r="DB96" s="21" t="s">
        <v>714</v>
      </c>
      <c r="DC96" s="21" t="s">
        <v>715</v>
      </c>
      <c r="DD96" s="21">
        <v>24.0</v>
      </c>
      <c r="DE96" s="21" t="s">
        <v>656</v>
      </c>
      <c r="DF96" s="21">
        <v>0.5</v>
      </c>
      <c r="DG96" s="21">
        <v>60000.0</v>
      </c>
      <c r="DH96" s="21" t="s">
        <v>1561</v>
      </c>
      <c r="DI96" s="21" t="s">
        <v>1063</v>
      </c>
      <c r="DK96" s="21" t="s">
        <v>684</v>
      </c>
      <c r="DL96" s="21" t="s">
        <v>696</v>
      </c>
      <c r="DM96" s="21" t="s">
        <v>1000</v>
      </c>
      <c r="DN96" s="21" t="s">
        <v>684</v>
      </c>
      <c r="EO96" s="21">
        <v>1977.0</v>
      </c>
      <c r="EP96" s="21" t="s">
        <v>684</v>
      </c>
      <c r="EQ96" s="21" t="s">
        <v>674</v>
      </c>
      <c r="ES96" s="21" t="s">
        <v>744</v>
      </c>
      <c r="EX96" s="21" t="s">
        <v>745</v>
      </c>
      <c r="EZ96" s="21">
        <v>75.4</v>
      </c>
      <c r="FA96" s="21">
        <v>24.0</v>
      </c>
      <c r="FC96" s="21" t="s">
        <v>677</v>
      </c>
      <c r="FD96" s="21" t="s">
        <v>656</v>
      </c>
      <c r="FF96" s="21">
        <v>585.0</v>
      </c>
      <c r="FH96" s="21" t="s">
        <v>656</v>
      </c>
      <c r="FI96" s="21" t="s">
        <v>656</v>
      </c>
      <c r="FL96" s="21" t="s">
        <v>656</v>
      </c>
      <c r="FO96" s="21">
        <v>0.0</v>
      </c>
      <c r="FP96" s="21">
        <v>141599.0</v>
      </c>
      <c r="FQ96" s="21">
        <v>0.0</v>
      </c>
      <c r="FR96" s="21">
        <v>0.0</v>
      </c>
      <c r="FS96" s="21">
        <v>0.0</v>
      </c>
      <c r="FT96" s="21">
        <v>100000.0</v>
      </c>
      <c r="FU96" s="21" t="s">
        <v>1635</v>
      </c>
      <c r="FV96" s="21">
        <v>2.24</v>
      </c>
      <c r="FW96" s="21">
        <v>241599.0</v>
      </c>
      <c r="FX96" s="21">
        <v>0.0</v>
      </c>
      <c r="FY96" s="21">
        <v>0.0</v>
      </c>
      <c r="FZ96" s="21">
        <v>0.0</v>
      </c>
      <c r="GA96" s="21">
        <v>0.0</v>
      </c>
      <c r="GB96" s="21" t="s">
        <v>656</v>
      </c>
      <c r="GF96" s="21">
        <v>720.0</v>
      </c>
      <c r="GG96" s="21">
        <v>0.0</v>
      </c>
      <c r="GH96" s="21">
        <v>1250.0</v>
      </c>
      <c r="GI96" s="21" t="s">
        <v>719</v>
      </c>
      <c r="GK96" s="25">
        <v>30621.0</v>
      </c>
      <c r="GL96" s="21" t="s">
        <v>656</v>
      </c>
      <c r="GM96" s="21" t="s">
        <v>679</v>
      </c>
      <c r="GN96" s="21" t="s">
        <v>656</v>
      </c>
      <c r="GQ96" s="21" t="s">
        <v>656</v>
      </c>
      <c r="GT96" s="21" t="s">
        <v>720</v>
      </c>
      <c r="GU96" s="21">
        <v>211147.0</v>
      </c>
      <c r="GV96" s="21" t="s">
        <v>656</v>
      </c>
      <c r="GW96" s="21" t="s">
        <v>659</v>
      </c>
      <c r="GX96" s="21" t="s">
        <v>659</v>
      </c>
      <c r="GY96" s="21" t="s">
        <v>659</v>
      </c>
      <c r="HD96" s="21" t="s">
        <v>659</v>
      </c>
      <c r="HG96" s="21" t="s">
        <v>659</v>
      </c>
      <c r="HK96" s="21" t="s">
        <v>1002</v>
      </c>
      <c r="HL96" s="21" t="s">
        <v>659</v>
      </c>
      <c r="HM96" s="21" t="s">
        <v>659</v>
      </c>
      <c r="HN96" s="21" t="s">
        <v>659</v>
      </c>
      <c r="HO96" s="21" t="s">
        <v>656</v>
      </c>
      <c r="HP96" s="21" t="s">
        <v>656</v>
      </c>
      <c r="HQ96" s="21" t="s">
        <v>696</v>
      </c>
      <c r="HR96" s="21" t="s">
        <v>1636</v>
      </c>
      <c r="HT96" s="21" t="s">
        <v>723</v>
      </c>
      <c r="HU96" s="21" t="s">
        <v>1637</v>
      </c>
      <c r="IH96" s="21" t="s">
        <v>656</v>
      </c>
      <c r="II96" s="21" t="s">
        <v>656</v>
      </c>
      <c r="IN96" s="21" t="s">
        <v>867</v>
      </c>
      <c r="IO96" s="21" t="s">
        <v>1638</v>
      </c>
      <c r="KP96" s="21" t="s">
        <v>1638</v>
      </c>
      <c r="KU96" s="21" t="s">
        <v>1639</v>
      </c>
      <c r="KV96" s="21" t="s">
        <v>659</v>
      </c>
      <c r="KW96" s="21" t="s">
        <v>659</v>
      </c>
      <c r="VA96" s="21" t="s">
        <v>659</v>
      </c>
      <c r="WL96" s="21" t="s">
        <v>945</v>
      </c>
      <c r="WM96" s="21" t="s">
        <v>1144</v>
      </c>
      <c r="WN96" s="21" t="s">
        <v>947</v>
      </c>
      <c r="WO96" s="21">
        <v>7.139897126E9</v>
      </c>
      <c r="WT96" s="21" t="s">
        <v>945</v>
      </c>
      <c r="WU96" s="21" t="s">
        <v>1144</v>
      </c>
      <c r="WV96" s="21">
        <v>7.139897126E9</v>
      </c>
      <c r="WW96" s="21" t="s">
        <v>947</v>
      </c>
      <c r="WX96" s="21" t="s">
        <v>1640</v>
      </c>
    </row>
    <row r="97">
      <c r="A97" s="21">
        <v>585.0</v>
      </c>
      <c r="B97" s="22">
        <v>44127.0</v>
      </c>
      <c r="C97" s="21">
        <v>2020.0</v>
      </c>
      <c r="D97" s="21">
        <v>2.0200112E7</v>
      </c>
      <c r="E97" s="21">
        <v>35005.0</v>
      </c>
      <c r="F97" s="21" t="s">
        <v>778</v>
      </c>
      <c r="G97" s="21">
        <v>5304.0</v>
      </c>
      <c r="H97" s="21" t="s">
        <v>932</v>
      </c>
      <c r="I97" s="21" t="s">
        <v>652</v>
      </c>
      <c r="J97" s="21" t="s">
        <v>653</v>
      </c>
      <c r="K97" s="21" t="s">
        <v>654</v>
      </c>
      <c r="L97" s="21">
        <v>77002.0</v>
      </c>
      <c r="M97" s="23">
        <v>44098.40833333333</v>
      </c>
      <c r="N97" s="21" t="s">
        <v>933</v>
      </c>
      <c r="O97" s="21" t="s">
        <v>659</v>
      </c>
      <c r="P97" s="21">
        <v>26.618578</v>
      </c>
      <c r="Q97" s="21">
        <v>-80.173433</v>
      </c>
      <c r="R97" s="21">
        <v>1288141.0</v>
      </c>
      <c r="S97" s="24">
        <v>44098.45347222222</v>
      </c>
      <c r="T97" s="21">
        <v>1288281.0</v>
      </c>
      <c r="U97" s="21" t="s">
        <v>657</v>
      </c>
      <c r="W97" s="21">
        <v>12000.0</v>
      </c>
      <c r="X97" s="21">
        <v>0.0</v>
      </c>
      <c r="Y97" s="21">
        <v>0.1</v>
      </c>
      <c r="Z97" s="21" t="s">
        <v>656</v>
      </c>
      <c r="AF97" s="21">
        <v>0.0</v>
      </c>
      <c r="AG97" s="21" t="s">
        <v>656</v>
      </c>
      <c r="AM97" s="21">
        <v>0.0</v>
      </c>
      <c r="AN97" s="21" t="s">
        <v>658</v>
      </c>
      <c r="AO97" s="21" t="s">
        <v>659</v>
      </c>
      <c r="AQ97" s="24">
        <v>44098.42569444444</v>
      </c>
      <c r="AR97" s="24">
        <v>44176.25</v>
      </c>
      <c r="AT97" s="21" t="s">
        <v>659</v>
      </c>
      <c r="AU97" s="21" t="s">
        <v>661</v>
      </c>
      <c r="AV97" s="24">
        <v>44098.447916666664</v>
      </c>
      <c r="AW97" s="21" t="s">
        <v>656</v>
      </c>
      <c r="BC97" s="21" t="s">
        <v>704</v>
      </c>
      <c r="BE97" s="24">
        <v>44098.42083333333</v>
      </c>
      <c r="BF97" s="21" t="s">
        <v>704</v>
      </c>
      <c r="BH97" s="24">
        <v>44098.42569444444</v>
      </c>
      <c r="BI97" s="21">
        <v>0.0</v>
      </c>
      <c r="BJ97" s="24">
        <v>44098.40902777778</v>
      </c>
      <c r="BK97" s="24">
        <v>44098.41111111111</v>
      </c>
      <c r="BM97" s="21" t="s">
        <v>662</v>
      </c>
      <c r="BN97" s="21" t="s">
        <v>934</v>
      </c>
      <c r="BO97" s="21">
        <v>33467.0</v>
      </c>
      <c r="BP97" s="21" t="s">
        <v>1641</v>
      </c>
      <c r="BQ97" s="21" t="s">
        <v>1642</v>
      </c>
      <c r="BR97" s="21" t="s">
        <v>892</v>
      </c>
      <c r="BS97" s="21">
        <v>844.25</v>
      </c>
      <c r="BT97" s="21" t="s">
        <v>1643</v>
      </c>
      <c r="BU97" s="21" t="s">
        <v>1644</v>
      </c>
      <c r="BV97" s="21" t="s">
        <v>656</v>
      </c>
      <c r="BW97" s="21" t="s">
        <v>738</v>
      </c>
      <c r="BX97" s="21" t="s">
        <v>739</v>
      </c>
      <c r="BY97" s="21" t="s">
        <v>740</v>
      </c>
      <c r="CA97" s="21">
        <v>38.0</v>
      </c>
      <c r="CB97" s="21" t="s">
        <v>656</v>
      </c>
      <c r="CC97" s="21" t="s">
        <v>656</v>
      </c>
      <c r="CZ97" s="21" t="s">
        <v>712</v>
      </c>
      <c r="DA97" s="21" t="s">
        <v>741</v>
      </c>
      <c r="DB97" s="21" t="s">
        <v>714</v>
      </c>
      <c r="DC97" s="21" t="s">
        <v>715</v>
      </c>
      <c r="DD97" s="21">
        <v>18.0</v>
      </c>
      <c r="DE97" s="21" t="s">
        <v>656</v>
      </c>
      <c r="DF97" s="21">
        <v>0.25</v>
      </c>
      <c r="DG97" s="21">
        <v>52000.0</v>
      </c>
      <c r="DH97" s="21" t="s">
        <v>964</v>
      </c>
      <c r="DI97" s="21" t="s">
        <v>1645</v>
      </c>
      <c r="DK97" s="21" t="s">
        <v>1646</v>
      </c>
      <c r="DL97" s="21" t="s">
        <v>1374</v>
      </c>
      <c r="DN97" s="21" t="s">
        <v>659</v>
      </c>
      <c r="EO97" s="21">
        <v>1959.0</v>
      </c>
      <c r="EP97" s="21" t="s">
        <v>684</v>
      </c>
      <c r="EQ97" s="21" t="s">
        <v>674</v>
      </c>
      <c r="ES97" s="21" t="s">
        <v>744</v>
      </c>
      <c r="EX97" s="21" t="s">
        <v>773</v>
      </c>
      <c r="EZ97" s="21">
        <v>264.0</v>
      </c>
      <c r="FA97" s="21">
        <v>18.0</v>
      </c>
      <c r="FC97" s="21" t="s">
        <v>1256</v>
      </c>
      <c r="FD97" s="21" t="s">
        <v>659</v>
      </c>
      <c r="FE97" s="21" t="s">
        <v>1216</v>
      </c>
      <c r="FF97" s="21">
        <v>365.0</v>
      </c>
      <c r="FH97" s="21" t="s">
        <v>656</v>
      </c>
      <c r="FI97" s="21" t="s">
        <v>659</v>
      </c>
      <c r="FO97" s="21">
        <v>190000.0</v>
      </c>
      <c r="FP97" s="21">
        <v>22920.0</v>
      </c>
      <c r="FQ97" s="21">
        <v>0.0</v>
      </c>
      <c r="FR97" s="21">
        <v>1360000.0</v>
      </c>
      <c r="FS97" s="21">
        <v>2000.0</v>
      </c>
      <c r="FT97" s="21">
        <v>0.0</v>
      </c>
      <c r="FV97" s="21">
        <v>1.91</v>
      </c>
      <c r="FW97" s="21">
        <v>1574920.0</v>
      </c>
      <c r="FX97" s="21">
        <v>0.0</v>
      </c>
      <c r="FY97" s="21">
        <v>0.0</v>
      </c>
      <c r="FZ97" s="21">
        <v>0.0</v>
      </c>
      <c r="GA97" s="21">
        <v>0.0</v>
      </c>
      <c r="GB97" s="21" t="s">
        <v>656</v>
      </c>
      <c r="GF97" s="21">
        <v>846.0</v>
      </c>
      <c r="GG97" s="21">
        <v>4.8</v>
      </c>
      <c r="GH97" s="21">
        <v>866.0</v>
      </c>
      <c r="GI97" s="21" t="s">
        <v>719</v>
      </c>
      <c r="GK97" s="25">
        <v>37991.0</v>
      </c>
      <c r="GL97" s="21" t="s">
        <v>656</v>
      </c>
      <c r="GM97" s="21" t="s">
        <v>679</v>
      </c>
      <c r="GN97" s="21" t="s">
        <v>656</v>
      </c>
      <c r="GQ97" s="21" t="s">
        <v>659</v>
      </c>
      <c r="GR97" s="21" t="s">
        <v>659</v>
      </c>
      <c r="GS97" s="21" t="s">
        <v>720</v>
      </c>
      <c r="GT97" s="21" t="s">
        <v>720</v>
      </c>
      <c r="GU97" s="21">
        <v>81312.0</v>
      </c>
      <c r="GV97" s="21" t="s">
        <v>659</v>
      </c>
      <c r="HD97" s="21" t="s">
        <v>656</v>
      </c>
      <c r="HK97" s="21" t="s">
        <v>721</v>
      </c>
      <c r="HL97" s="21" t="s">
        <v>659</v>
      </c>
      <c r="HM97" s="21" t="s">
        <v>659</v>
      </c>
      <c r="HN97" s="21" t="s">
        <v>659</v>
      </c>
      <c r="HO97" s="21" t="s">
        <v>659</v>
      </c>
      <c r="HP97" s="21" t="s">
        <v>659</v>
      </c>
      <c r="HQ97" s="21" t="s">
        <v>806</v>
      </c>
      <c r="HT97" s="21" t="s">
        <v>760</v>
      </c>
      <c r="HV97" s="21" t="s">
        <v>659</v>
      </c>
      <c r="HY97" s="21" t="s">
        <v>659</v>
      </c>
      <c r="HZ97" s="21" t="s">
        <v>659</v>
      </c>
      <c r="IH97" s="21" t="s">
        <v>659</v>
      </c>
      <c r="II97" s="21" t="s">
        <v>656</v>
      </c>
      <c r="IJ97" s="21">
        <v>3.0</v>
      </c>
      <c r="IK97" s="21">
        <v>0.0</v>
      </c>
      <c r="IN97" s="21" t="s">
        <v>808</v>
      </c>
      <c r="IO97" s="21" t="s">
        <v>1104</v>
      </c>
      <c r="NS97" s="21" t="s">
        <v>1104</v>
      </c>
      <c r="NU97" s="21" t="s">
        <v>659</v>
      </c>
      <c r="OE97" s="21" t="s">
        <v>1105</v>
      </c>
      <c r="OR97" s="21" t="s">
        <v>659</v>
      </c>
      <c r="OS97" s="21" t="s">
        <v>1647</v>
      </c>
      <c r="OT97" s="21">
        <v>1088.0</v>
      </c>
      <c r="QW97" s="21" t="s">
        <v>659</v>
      </c>
      <c r="QX97" s="21" t="s">
        <v>659</v>
      </c>
      <c r="RA97" s="21" t="s">
        <v>659</v>
      </c>
      <c r="RE97" s="21">
        <v>2017.0</v>
      </c>
      <c r="RF97" s="21" t="s">
        <v>810</v>
      </c>
      <c r="RG97" s="21" t="s">
        <v>811</v>
      </c>
      <c r="RI97" s="21" t="s">
        <v>812</v>
      </c>
      <c r="RK97" s="21">
        <v>2007.0</v>
      </c>
      <c r="RL97" s="21" t="s">
        <v>810</v>
      </c>
      <c r="RM97" s="21" t="s">
        <v>811</v>
      </c>
      <c r="RO97" s="21" t="s">
        <v>812</v>
      </c>
      <c r="SK97" s="21">
        <v>2017.0</v>
      </c>
      <c r="SL97" s="21" t="s">
        <v>810</v>
      </c>
      <c r="SM97" s="21" t="s">
        <v>812</v>
      </c>
      <c r="SO97" s="21" t="s">
        <v>814</v>
      </c>
      <c r="SP97" s="21">
        <v>2007.0</v>
      </c>
      <c r="SQ97" s="21" t="s">
        <v>810</v>
      </c>
      <c r="SR97" s="21" t="s">
        <v>812</v>
      </c>
      <c r="ST97" s="21" t="s">
        <v>814</v>
      </c>
      <c r="TI97" s="21" t="s">
        <v>659</v>
      </c>
      <c r="TJ97" s="21">
        <v>2018.0</v>
      </c>
      <c r="TK97" s="21">
        <v>1447.0</v>
      </c>
      <c r="TL97" s="21" t="s">
        <v>656</v>
      </c>
      <c r="TZ97" s="21" t="s">
        <v>656</v>
      </c>
      <c r="WL97" s="21" t="s">
        <v>1554</v>
      </c>
      <c r="WM97" s="21" t="s">
        <v>1648</v>
      </c>
      <c r="WN97" s="21" t="s">
        <v>1494</v>
      </c>
      <c r="WO97" s="21" t="s">
        <v>1495</v>
      </c>
      <c r="WT97" s="21" t="s">
        <v>945</v>
      </c>
      <c r="WU97" s="21" t="s">
        <v>984</v>
      </c>
      <c r="WV97" s="21" t="s">
        <v>948</v>
      </c>
      <c r="WW97" s="21" t="s">
        <v>947</v>
      </c>
      <c r="WX97" s="21" t="s">
        <v>1649</v>
      </c>
    </row>
    <row r="98">
      <c r="A98" s="21">
        <v>592.0</v>
      </c>
      <c r="B98" s="22">
        <v>44114.0</v>
      </c>
      <c r="C98" s="21">
        <v>2020.0</v>
      </c>
      <c r="D98" s="21">
        <v>2.0200105E7</v>
      </c>
      <c r="E98" s="21">
        <v>34977.0</v>
      </c>
      <c r="F98" s="21" t="s">
        <v>778</v>
      </c>
      <c r="G98" s="21">
        <v>5304.0</v>
      </c>
      <c r="H98" s="21" t="s">
        <v>932</v>
      </c>
      <c r="I98" s="21" t="s">
        <v>652</v>
      </c>
      <c r="J98" s="21" t="s">
        <v>653</v>
      </c>
      <c r="K98" s="21" t="s">
        <v>654</v>
      </c>
      <c r="L98" s="21">
        <v>77002.0</v>
      </c>
      <c r="M98" s="23">
        <v>44084.032638888886</v>
      </c>
      <c r="N98" s="21" t="s">
        <v>933</v>
      </c>
      <c r="O98" s="21" t="s">
        <v>659</v>
      </c>
      <c r="P98" s="21">
        <v>28.84415</v>
      </c>
      <c r="Q98" s="21">
        <v>-81.34115</v>
      </c>
      <c r="R98" s="21">
        <v>1286952.0</v>
      </c>
      <c r="S98" s="24">
        <v>44084.1</v>
      </c>
      <c r="T98" s="21">
        <v>1287145.0</v>
      </c>
      <c r="U98" s="21" t="s">
        <v>657</v>
      </c>
      <c r="W98" s="21">
        <v>22000.0</v>
      </c>
      <c r="X98" s="21">
        <v>0.0</v>
      </c>
      <c r="Y98" s="21">
        <v>0.1</v>
      </c>
      <c r="Z98" s="21" t="s">
        <v>656</v>
      </c>
      <c r="AF98" s="21">
        <v>0.0</v>
      </c>
      <c r="AG98" s="21" t="s">
        <v>656</v>
      </c>
      <c r="AM98" s="21">
        <v>0.0</v>
      </c>
      <c r="AN98" s="21" t="s">
        <v>658</v>
      </c>
      <c r="AO98" s="21" t="s">
        <v>659</v>
      </c>
      <c r="AQ98" s="24">
        <v>44084.08888888889</v>
      </c>
      <c r="AR98" s="24">
        <v>44159.77916666667</v>
      </c>
      <c r="AT98" s="21" t="s">
        <v>659</v>
      </c>
      <c r="AU98" s="21" t="s">
        <v>661</v>
      </c>
      <c r="AV98" s="24">
        <v>44084.10763888889</v>
      </c>
      <c r="AW98" s="21" t="s">
        <v>659</v>
      </c>
      <c r="AX98" s="24">
        <v>44084.03680555556</v>
      </c>
      <c r="AY98" s="21" t="s">
        <v>1174</v>
      </c>
      <c r="BA98" s="21">
        <v>2200.0</v>
      </c>
      <c r="BB98" s="21" t="s">
        <v>656</v>
      </c>
      <c r="BC98" s="21" t="s">
        <v>704</v>
      </c>
      <c r="BE98" s="24">
        <v>44084.08888888889</v>
      </c>
      <c r="BF98" s="21" t="s">
        <v>704</v>
      </c>
      <c r="BH98" s="24">
        <v>44084.089583333334</v>
      </c>
      <c r="BI98" s="21">
        <v>20.0</v>
      </c>
      <c r="BJ98" s="24">
        <v>44084.032638888886</v>
      </c>
      <c r="BK98" s="24">
        <v>44084.103472222225</v>
      </c>
      <c r="BM98" s="21" t="s">
        <v>662</v>
      </c>
      <c r="BN98" s="21" t="s">
        <v>934</v>
      </c>
      <c r="BO98" s="21">
        <v>32771.0</v>
      </c>
      <c r="BP98" s="21" t="s">
        <v>1650</v>
      </c>
      <c r="BQ98" s="21" t="s">
        <v>1651</v>
      </c>
      <c r="BR98" s="21" t="s">
        <v>892</v>
      </c>
      <c r="BS98" s="21">
        <v>15.0</v>
      </c>
      <c r="BT98" s="21" t="s">
        <v>1652</v>
      </c>
      <c r="BU98" s="21" t="s">
        <v>1653</v>
      </c>
      <c r="BV98" s="21" t="s">
        <v>656</v>
      </c>
      <c r="BW98" s="21" t="s">
        <v>738</v>
      </c>
      <c r="BX98" s="21" t="s">
        <v>739</v>
      </c>
      <c r="BY98" s="21" t="s">
        <v>740</v>
      </c>
      <c r="CA98" s="21">
        <v>37.0</v>
      </c>
      <c r="CB98" s="21" t="s">
        <v>656</v>
      </c>
      <c r="CC98" s="21" t="s">
        <v>656</v>
      </c>
      <c r="CZ98" s="21" t="s">
        <v>712</v>
      </c>
      <c r="DA98" s="21" t="s">
        <v>741</v>
      </c>
      <c r="DB98" s="21" t="s">
        <v>714</v>
      </c>
      <c r="DC98" s="21" t="s">
        <v>769</v>
      </c>
      <c r="DD98" s="21">
        <v>12.0</v>
      </c>
      <c r="DF98" s="21">
        <v>0.219</v>
      </c>
      <c r="DG98" s="21">
        <v>42000.0</v>
      </c>
      <c r="DH98" s="21" t="s">
        <v>964</v>
      </c>
      <c r="DI98" s="21" t="s">
        <v>1645</v>
      </c>
      <c r="DK98" s="21" t="s">
        <v>1654</v>
      </c>
      <c r="DL98" s="21" t="s">
        <v>1374</v>
      </c>
      <c r="DN98" s="21" t="s">
        <v>659</v>
      </c>
      <c r="EO98" s="21">
        <v>1959.0</v>
      </c>
      <c r="EP98" s="21">
        <v>1959.0</v>
      </c>
      <c r="EQ98" s="21" t="s">
        <v>674</v>
      </c>
      <c r="ES98" s="21" t="s">
        <v>744</v>
      </c>
      <c r="EX98" s="21" t="s">
        <v>773</v>
      </c>
      <c r="EZ98" s="21">
        <v>317.0</v>
      </c>
      <c r="FA98" s="21">
        <v>24.0</v>
      </c>
      <c r="FC98" s="21" t="s">
        <v>677</v>
      </c>
      <c r="FD98" s="21" t="s">
        <v>656</v>
      </c>
      <c r="FF98" s="21">
        <v>235.0</v>
      </c>
      <c r="FH98" s="21" t="s">
        <v>656</v>
      </c>
      <c r="FI98" s="21" t="s">
        <v>656</v>
      </c>
      <c r="FO98" s="21">
        <v>68000.0</v>
      </c>
      <c r="FP98" s="21">
        <v>48180.0</v>
      </c>
      <c r="FQ98" s="21">
        <v>0.0</v>
      </c>
      <c r="FR98" s="21">
        <v>2054568.0</v>
      </c>
      <c r="FS98" s="21">
        <v>2000.0</v>
      </c>
      <c r="FT98" s="21">
        <v>0.0</v>
      </c>
      <c r="FV98" s="21">
        <v>2.19</v>
      </c>
      <c r="FW98" s="21">
        <v>2172748.0</v>
      </c>
      <c r="FX98" s="21">
        <v>0.0</v>
      </c>
      <c r="FY98" s="21">
        <v>0.0</v>
      </c>
      <c r="FZ98" s="21">
        <v>32.0</v>
      </c>
      <c r="GA98" s="21">
        <v>93.0</v>
      </c>
      <c r="GB98" s="21" t="s">
        <v>656</v>
      </c>
      <c r="GF98" s="21">
        <v>695.0</v>
      </c>
      <c r="GG98" s="21">
        <v>0.0</v>
      </c>
      <c r="GH98" s="21">
        <v>713.0</v>
      </c>
      <c r="GI98" s="21" t="s">
        <v>1095</v>
      </c>
      <c r="GK98" s="25">
        <v>32777.0</v>
      </c>
      <c r="GL98" s="21" t="s">
        <v>656</v>
      </c>
      <c r="GM98" s="21" t="s">
        <v>679</v>
      </c>
      <c r="GN98" s="21" t="s">
        <v>656</v>
      </c>
      <c r="GQ98" s="21" t="s">
        <v>659</v>
      </c>
      <c r="GR98" s="21" t="s">
        <v>659</v>
      </c>
      <c r="GS98" s="21" t="s">
        <v>720</v>
      </c>
      <c r="GT98" s="21" t="s">
        <v>720</v>
      </c>
      <c r="GU98" s="21">
        <v>38544.0</v>
      </c>
      <c r="GV98" s="21" t="s">
        <v>659</v>
      </c>
      <c r="HD98" s="21" t="s">
        <v>656</v>
      </c>
      <c r="HK98" s="21" t="s">
        <v>721</v>
      </c>
      <c r="HL98" s="21" t="s">
        <v>659</v>
      </c>
      <c r="HM98" s="21" t="s">
        <v>659</v>
      </c>
      <c r="HN98" s="21" t="s">
        <v>659</v>
      </c>
      <c r="HO98" s="21" t="s">
        <v>659</v>
      </c>
      <c r="HP98" s="21" t="s">
        <v>659</v>
      </c>
      <c r="HQ98" s="21" t="s">
        <v>681</v>
      </c>
      <c r="HT98" s="21" t="s">
        <v>760</v>
      </c>
      <c r="HV98" s="21" t="s">
        <v>659</v>
      </c>
      <c r="HY98" s="21" t="s">
        <v>659</v>
      </c>
      <c r="HZ98" s="21" t="s">
        <v>659</v>
      </c>
      <c r="IH98" s="21" t="s">
        <v>659</v>
      </c>
      <c r="II98" s="21" t="s">
        <v>656</v>
      </c>
      <c r="IJ98" s="21">
        <v>2.0</v>
      </c>
      <c r="IK98" s="21">
        <v>0.0</v>
      </c>
      <c r="IN98" s="21" t="s">
        <v>808</v>
      </c>
      <c r="IO98" s="21" t="s">
        <v>1104</v>
      </c>
      <c r="NS98" s="21" t="s">
        <v>1104</v>
      </c>
      <c r="NU98" s="21" t="s">
        <v>659</v>
      </c>
      <c r="OE98" s="21" t="s">
        <v>1105</v>
      </c>
      <c r="OK98" s="21" t="s">
        <v>659</v>
      </c>
      <c r="OR98" s="21" t="s">
        <v>659</v>
      </c>
      <c r="OS98" s="21" t="s">
        <v>1655</v>
      </c>
      <c r="OT98" s="21">
        <v>1062.0</v>
      </c>
      <c r="QW98" s="21" t="s">
        <v>659</v>
      </c>
      <c r="QX98" s="21" t="s">
        <v>659</v>
      </c>
      <c r="RA98" s="21" t="s">
        <v>659</v>
      </c>
      <c r="RE98" s="21">
        <v>2019.0</v>
      </c>
      <c r="RF98" s="21" t="s">
        <v>810</v>
      </c>
      <c r="RG98" s="21" t="s">
        <v>811</v>
      </c>
      <c r="RI98" s="21" t="s">
        <v>812</v>
      </c>
      <c r="RK98" s="21">
        <v>2014.0</v>
      </c>
      <c r="RL98" s="21" t="s">
        <v>810</v>
      </c>
      <c r="RM98" s="21" t="s">
        <v>811</v>
      </c>
      <c r="RO98" s="21" t="s">
        <v>812</v>
      </c>
      <c r="SK98" s="21">
        <v>2019.0</v>
      </c>
      <c r="SL98" s="21" t="s">
        <v>810</v>
      </c>
      <c r="SM98" s="21" t="s">
        <v>812</v>
      </c>
      <c r="SO98" s="21" t="s">
        <v>814</v>
      </c>
      <c r="SP98" s="21">
        <v>2014.0</v>
      </c>
      <c r="SQ98" s="21" t="s">
        <v>810</v>
      </c>
      <c r="SR98" s="21" t="s">
        <v>812</v>
      </c>
      <c r="ST98" s="21" t="s">
        <v>814</v>
      </c>
      <c r="TI98" s="21" t="s">
        <v>656</v>
      </c>
      <c r="TL98" s="21" t="s">
        <v>656</v>
      </c>
      <c r="TZ98" s="21" t="s">
        <v>656</v>
      </c>
      <c r="WL98" s="21" t="s">
        <v>1554</v>
      </c>
      <c r="WM98" s="21" t="s">
        <v>1648</v>
      </c>
      <c r="WN98" s="21" t="s">
        <v>1494</v>
      </c>
      <c r="WO98" s="21" t="s">
        <v>1495</v>
      </c>
      <c r="WT98" s="21" t="s">
        <v>945</v>
      </c>
      <c r="WU98" s="21" t="s">
        <v>984</v>
      </c>
      <c r="WV98" s="21" t="s">
        <v>948</v>
      </c>
      <c r="WW98" s="21" t="s">
        <v>947</v>
      </c>
      <c r="WX98" s="21" t="s">
        <v>1656</v>
      </c>
    </row>
    <row r="99">
      <c r="A99" s="21">
        <v>613.0</v>
      </c>
      <c r="B99" s="22">
        <v>44056.0</v>
      </c>
      <c r="C99" s="21">
        <v>2020.0</v>
      </c>
      <c r="D99" s="21">
        <v>2.0200081E7</v>
      </c>
      <c r="E99" s="21">
        <v>36511.0</v>
      </c>
      <c r="F99" s="21" t="s">
        <v>778</v>
      </c>
      <c r="G99" s="21">
        <v>18152.0</v>
      </c>
      <c r="H99" s="21" t="s">
        <v>702</v>
      </c>
      <c r="I99" s="21" t="s">
        <v>652</v>
      </c>
      <c r="J99" s="21" t="s">
        <v>653</v>
      </c>
      <c r="K99" s="21" t="s">
        <v>654</v>
      </c>
      <c r="L99" s="21">
        <v>77002.0</v>
      </c>
      <c r="M99" s="23">
        <v>44026.416666666664</v>
      </c>
      <c r="N99" s="21" t="s">
        <v>655</v>
      </c>
      <c r="O99" s="21" t="s">
        <v>656</v>
      </c>
      <c r="P99" s="21">
        <v>28.38582</v>
      </c>
      <c r="Q99" s="21">
        <v>-90.14482</v>
      </c>
      <c r="R99" s="21">
        <v>1281840.0</v>
      </c>
      <c r="S99" s="24">
        <v>44026.45277777778</v>
      </c>
      <c r="T99" s="21">
        <v>1282148.0</v>
      </c>
      <c r="U99" s="21" t="s">
        <v>657</v>
      </c>
      <c r="W99" s="21">
        <v>1488.0</v>
      </c>
      <c r="X99" s="21">
        <v>200.0</v>
      </c>
      <c r="Y99" s="21">
        <v>0.0</v>
      </c>
      <c r="Z99" s="21" t="s">
        <v>656</v>
      </c>
      <c r="AF99" s="21">
        <v>0.0</v>
      </c>
      <c r="AG99" s="21" t="s">
        <v>656</v>
      </c>
      <c r="AM99" s="21">
        <v>0.0</v>
      </c>
      <c r="AN99" s="21" t="s">
        <v>658</v>
      </c>
      <c r="AO99" s="21" t="s">
        <v>659</v>
      </c>
      <c r="AQ99" s="24">
        <v>44026.416666666664</v>
      </c>
      <c r="AS99" s="21" t="s">
        <v>659</v>
      </c>
      <c r="AT99" s="21" t="s">
        <v>656</v>
      </c>
      <c r="AW99" s="21" t="s">
        <v>656</v>
      </c>
      <c r="BC99" s="21" t="s">
        <v>704</v>
      </c>
      <c r="BE99" s="24">
        <v>44026.416666666664</v>
      </c>
      <c r="BF99" s="21" t="s">
        <v>704</v>
      </c>
      <c r="BH99" s="24">
        <v>44026.708333333336</v>
      </c>
      <c r="BI99" s="21">
        <v>0.0</v>
      </c>
      <c r="BJ99" s="24">
        <v>44032.416666666664</v>
      </c>
      <c r="BK99" s="24">
        <v>44026.416666666664</v>
      </c>
      <c r="BM99" s="21" t="s">
        <v>705</v>
      </c>
      <c r="BT99" s="21" t="s">
        <v>1657</v>
      </c>
      <c r="BU99" s="21">
        <v>10941.0</v>
      </c>
      <c r="CP99" s="21">
        <v>236.0</v>
      </c>
      <c r="CQ99" s="21" t="s">
        <v>708</v>
      </c>
      <c r="CV99" s="21" t="s">
        <v>997</v>
      </c>
      <c r="CW99" s="21" t="s">
        <v>847</v>
      </c>
      <c r="CX99" s="21">
        <v>229.0</v>
      </c>
      <c r="CY99" s="21" t="s">
        <v>1061</v>
      </c>
      <c r="CZ99" s="21" t="s">
        <v>712</v>
      </c>
      <c r="DA99" s="21" t="s">
        <v>713</v>
      </c>
      <c r="DB99" s="21" t="s">
        <v>714</v>
      </c>
      <c r="DC99" s="21" t="s">
        <v>715</v>
      </c>
      <c r="DD99" s="21">
        <v>10.0</v>
      </c>
      <c r="DE99" s="21" t="s">
        <v>656</v>
      </c>
      <c r="DF99" s="21">
        <v>0.5</v>
      </c>
      <c r="DG99" s="21">
        <v>42000.0</v>
      </c>
      <c r="DH99" s="21" t="s">
        <v>964</v>
      </c>
      <c r="DI99" s="21" t="s">
        <v>921</v>
      </c>
      <c r="DK99" s="21" t="s">
        <v>1329</v>
      </c>
      <c r="DL99" s="21" t="s">
        <v>824</v>
      </c>
      <c r="DN99" s="21" t="s">
        <v>659</v>
      </c>
      <c r="EO99" s="21">
        <v>1996.0</v>
      </c>
      <c r="EP99" s="21">
        <v>1995.0</v>
      </c>
      <c r="EQ99" s="21" t="s">
        <v>674</v>
      </c>
      <c r="ES99" s="21" t="s">
        <v>675</v>
      </c>
      <c r="EV99" s="21" t="s">
        <v>718</v>
      </c>
      <c r="FC99" s="21" t="s">
        <v>677</v>
      </c>
      <c r="FD99" s="21" t="s">
        <v>656</v>
      </c>
      <c r="FF99" s="21">
        <v>239.0</v>
      </c>
      <c r="FH99" s="21" t="s">
        <v>656</v>
      </c>
      <c r="FI99" s="21" t="s">
        <v>656</v>
      </c>
      <c r="FL99" s="21" t="s">
        <v>656</v>
      </c>
      <c r="FO99" s="21">
        <v>0.0</v>
      </c>
      <c r="FP99" s="21">
        <v>2559.0</v>
      </c>
      <c r="FQ99" s="21">
        <v>344.0</v>
      </c>
      <c r="FR99" s="21">
        <v>228870.0</v>
      </c>
      <c r="FS99" s="21">
        <v>4000.0</v>
      </c>
      <c r="FT99" s="21">
        <v>0.0</v>
      </c>
      <c r="FV99" s="21">
        <v>1.72</v>
      </c>
      <c r="FW99" s="21">
        <v>235773.0</v>
      </c>
      <c r="FX99" s="21">
        <v>0.0</v>
      </c>
      <c r="FY99" s="21">
        <v>0.0</v>
      </c>
      <c r="FZ99" s="21">
        <v>0.0</v>
      </c>
      <c r="GA99" s="21">
        <v>0.0</v>
      </c>
      <c r="GB99" s="21" t="s">
        <v>656</v>
      </c>
      <c r="GF99" s="21">
        <v>939.0</v>
      </c>
      <c r="GG99" s="21">
        <v>0.5</v>
      </c>
      <c r="GH99" s="21">
        <v>1200.0</v>
      </c>
      <c r="GI99" s="21" t="s">
        <v>719</v>
      </c>
      <c r="GK99" s="25">
        <v>40757.0</v>
      </c>
      <c r="GL99" s="21" t="s">
        <v>656</v>
      </c>
      <c r="GM99" s="21" t="s">
        <v>679</v>
      </c>
      <c r="GN99" s="21" t="s">
        <v>656</v>
      </c>
      <c r="GQ99" s="21" t="s">
        <v>656</v>
      </c>
      <c r="GS99" s="21" t="s">
        <v>720</v>
      </c>
      <c r="GT99" s="21" t="s">
        <v>720</v>
      </c>
      <c r="GU99" s="21">
        <v>59664.0</v>
      </c>
      <c r="GV99" s="21" t="s">
        <v>656</v>
      </c>
      <c r="GY99" s="21" t="s">
        <v>659</v>
      </c>
      <c r="HD99" s="21" t="s">
        <v>659</v>
      </c>
      <c r="HG99" s="21" t="s">
        <v>659</v>
      </c>
      <c r="HK99" s="21" t="s">
        <v>721</v>
      </c>
      <c r="HL99" s="21" t="s">
        <v>659</v>
      </c>
      <c r="HM99" s="21" t="s">
        <v>659</v>
      </c>
      <c r="HN99" s="21" t="s">
        <v>659</v>
      </c>
      <c r="HO99" s="21" t="s">
        <v>656</v>
      </c>
      <c r="HP99" s="21" t="s">
        <v>656</v>
      </c>
      <c r="HQ99" s="21" t="s">
        <v>806</v>
      </c>
      <c r="HT99" s="21" t="s">
        <v>723</v>
      </c>
      <c r="HU99" s="21" t="s">
        <v>1658</v>
      </c>
      <c r="IH99" s="21" t="s">
        <v>656</v>
      </c>
      <c r="II99" s="21" t="s">
        <v>656</v>
      </c>
      <c r="IN99" s="21" t="s">
        <v>725</v>
      </c>
      <c r="IO99" s="21" t="s">
        <v>726</v>
      </c>
      <c r="IP99" s="21" t="s">
        <v>726</v>
      </c>
      <c r="JT99" s="21" t="s">
        <v>696</v>
      </c>
      <c r="JU99" s="21" t="s">
        <v>1659</v>
      </c>
      <c r="JZ99" s="21" t="s">
        <v>659</v>
      </c>
      <c r="KA99" s="21" t="s">
        <v>1660</v>
      </c>
      <c r="KB99" s="21" t="s">
        <v>659</v>
      </c>
      <c r="KJ99" s="21" t="s">
        <v>659</v>
      </c>
      <c r="KK99" s="21" t="s">
        <v>1661</v>
      </c>
      <c r="KL99" s="21" t="s">
        <v>659</v>
      </c>
      <c r="KM99" s="21" t="s">
        <v>656</v>
      </c>
      <c r="KN99" s="21" t="s">
        <v>656</v>
      </c>
      <c r="KO99" s="21" t="s">
        <v>656</v>
      </c>
      <c r="QW99" s="21" t="s">
        <v>656</v>
      </c>
      <c r="TI99" s="21" t="s">
        <v>656</v>
      </c>
      <c r="TL99" s="21" t="s">
        <v>656</v>
      </c>
      <c r="TZ99" s="21" t="s">
        <v>656</v>
      </c>
      <c r="WL99" s="21" t="s">
        <v>945</v>
      </c>
      <c r="WN99" s="21" t="s">
        <v>947</v>
      </c>
      <c r="WT99" s="21" t="s">
        <v>945</v>
      </c>
      <c r="WU99" s="21" t="s">
        <v>1144</v>
      </c>
      <c r="WV99" s="21" t="s">
        <v>948</v>
      </c>
      <c r="WW99" s="21" t="s">
        <v>947</v>
      </c>
      <c r="WX99" s="21" t="s">
        <v>1662</v>
      </c>
    </row>
    <row r="100">
      <c r="A100" s="21">
        <v>614.0</v>
      </c>
      <c r="B100" s="22">
        <v>44054.0</v>
      </c>
      <c r="C100" s="21">
        <v>2020.0</v>
      </c>
      <c r="D100" s="21">
        <v>2.0200079E7</v>
      </c>
      <c r="E100" s="21">
        <v>34437.0</v>
      </c>
      <c r="F100" s="21" t="s">
        <v>778</v>
      </c>
      <c r="G100" s="21">
        <v>39193.0</v>
      </c>
      <c r="H100" s="21" t="s">
        <v>1509</v>
      </c>
      <c r="I100" s="21" t="s">
        <v>652</v>
      </c>
      <c r="J100" s="21" t="s">
        <v>653</v>
      </c>
      <c r="K100" s="21" t="s">
        <v>654</v>
      </c>
      <c r="L100" s="21">
        <v>77002.0</v>
      </c>
      <c r="M100" s="23">
        <v>44024.52291666667</v>
      </c>
      <c r="N100" s="21" t="s">
        <v>933</v>
      </c>
      <c r="O100" s="21" t="s">
        <v>659</v>
      </c>
      <c r="P100" s="21">
        <v>40.45206</v>
      </c>
      <c r="Q100" s="21">
        <v>-81.22733</v>
      </c>
      <c r="R100" s="21">
        <v>1281699.0</v>
      </c>
      <c r="S100" s="24">
        <v>44024.56458333333</v>
      </c>
      <c r="T100" s="21">
        <v>1281846.0</v>
      </c>
      <c r="U100" s="21" t="s">
        <v>657</v>
      </c>
      <c r="W100" s="21">
        <v>3700.0</v>
      </c>
      <c r="X100" s="21">
        <v>2800.0</v>
      </c>
      <c r="Y100" s="21">
        <v>0.0</v>
      </c>
      <c r="Z100" s="21" t="s">
        <v>656</v>
      </c>
      <c r="AF100" s="21">
        <v>0.0</v>
      </c>
      <c r="AG100" s="21" t="s">
        <v>656</v>
      </c>
      <c r="AM100" s="21">
        <v>0.0</v>
      </c>
      <c r="AN100" s="21" t="s">
        <v>658</v>
      </c>
      <c r="AO100" s="21" t="s">
        <v>659</v>
      </c>
      <c r="AQ100" s="24">
        <v>44024.080555555556</v>
      </c>
      <c r="AR100" s="24">
        <v>44024.131944444445</v>
      </c>
      <c r="AT100" s="21" t="s">
        <v>659</v>
      </c>
      <c r="AU100" s="21" t="s">
        <v>661</v>
      </c>
      <c r="AV100" s="24">
        <v>44024.08888888889</v>
      </c>
      <c r="AW100" s="21" t="s">
        <v>656</v>
      </c>
      <c r="BI100" s="21">
        <v>0.0</v>
      </c>
      <c r="BJ100" s="24">
        <v>44024.06527777778</v>
      </c>
      <c r="BK100" s="24">
        <v>44024.07916666667</v>
      </c>
      <c r="BM100" s="21" t="s">
        <v>662</v>
      </c>
      <c r="BN100" s="21" t="s">
        <v>1511</v>
      </c>
      <c r="BO100" s="21">
        <v>44621.0</v>
      </c>
      <c r="BP100" s="21" t="s">
        <v>1663</v>
      </c>
      <c r="BQ100" s="21" t="s">
        <v>1664</v>
      </c>
      <c r="BR100" s="21" t="s">
        <v>665</v>
      </c>
      <c r="BT100" s="21" t="s">
        <v>1665</v>
      </c>
      <c r="BU100" s="21" t="s">
        <v>1666</v>
      </c>
      <c r="BV100" s="21" t="s">
        <v>656</v>
      </c>
      <c r="BW100" s="21" t="s">
        <v>668</v>
      </c>
      <c r="BX100" s="21" t="s">
        <v>669</v>
      </c>
      <c r="BY100" s="21" t="s">
        <v>670</v>
      </c>
      <c r="CC100" s="21" t="s">
        <v>656</v>
      </c>
      <c r="CZ100" s="21" t="s">
        <v>712</v>
      </c>
      <c r="DA100" s="21" t="s">
        <v>672</v>
      </c>
      <c r="DB100" s="21" t="s">
        <v>1516</v>
      </c>
      <c r="EL100" s="21" t="s">
        <v>1365</v>
      </c>
      <c r="EM100" s="21" t="s">
        <v>1517</v>
      </c>
      <c r="EO100" s="21">
        <v>2018.0</v>
      </c>
      <c r="EP100" s="21">
        <v>2018.0</v>
      </c>
      <c r="EQ100" s="21" t="s">
        <v>1081</v>
      </c>
      <c r="ER100" s="21" t="s">
        <v>1365</v>
      </c>
      <c r="ES100" s="21" t="s">
        <v>675</v>
      </c>
      <c r="EV100" s="21" t="s">
        <v>1083</v>
      </c>
      <c r="FC100" s="21" t="s">
        <v>677</v>
      </c>
      <c r="FD100" s="21" t="s">
        <v>656</v>
      </c>
      <c r="FF100" s="21">
        <v>1.0</v>
      </c>
      <c r="FH100" s="21" t="s">
        <v>656</v>
      </c>
      <c r="FI100" s="21" t="s">
        <v>656</v>
      </c>
      <c r="FO100" s="21">
        <v>0.0</v>
      </c>
      <c r="FP100" s="21">
        <v>5291.0</v>
      </c>
      <c r="FQ100" s="21">
        <v>4004.0</v>
      </c>
      <c r="FR100" s="21">
        <v>100.0</v>
      </c>
      <c r="FS100" s="21">
        <v>0.0</v>
      </c>
      <c r="FT100" s="21">
        <v>0.0</v>
      </c>
      <c r="FV100" s="21">
        <v>1.43</v>
      </c>
      <c r="FW100" s="21">
        <v>9395.0</v>
      </c>
      <c r="FX100" s="21">
        <v>0.0</v>
      </c>
      <c r="FY100" s="21">
        <v>0.0</v>
      </c>
      <c r="FZ100" s="21">
        <v>0.0</v>
      </c>
      <c r="GA100" s="21">
        <v>0.0</v>
      </c>
      <c r="GB100" s="21" t="s">
        <v>656</v>
      </c>
      <c r="GF100" s="21">
        <v>1262.0</v>
      </c>
      <c r="GG100" s="21">
        <v>407000.0</v>
      </c>
      <c r="GH100" s="21">
        <v>1440.0</v>
      </c>
      <c r="GI100" s="21" t="s">
        <v>719</v>
      </c>
      <c r="GK100" s="25">
        <v>43013.0</v>
      </c>
      <c r="GL100" s="21" t="s">
        <v>656</v>
      </c>
      <c r="GM100" s="21" t="s">
        <v>679</v>
      </c>
      <c r="GN100" s="21" t="s">
        <v>656</v>
      </c>
      <c r="GQ100" s="21" t="s">
        <v>656</v>
      </c>
      <c r="HK100" s="21" t="s">
        <v>721</v>
      </c>
      <c r="HL100" s="21" t="s">
        <v>659</v>
      </c>
      <c r="HM100" s="21" t="s">
        <v>659</v>
      </c>
      <c r="HN100" s="21" t="s">
        <v>659</v>
      </c>
      <c r="HO100" s="21" t="s">
        <v>659</v>
      </c>
      <c r="HP100" s="21" t="s">
        <v>659</v>
      </c>
      <c r="HQ100" s="21" t="s">
        <v>1113</v>
      </c>
      <c r="HS100" s="21" t="s">
        <v>699</v>
      </c>
      <c r="HT100" s="21" t="s">
        <v>723</v>
      </c>
      <c r="HU100" s="21" t="s">
        <v>1667</v>
      </c>
      <c r="IH100" s="21" t="s">
        <v>656</v>
      </c>
      <c r="II100" s="21" t="s">
        <v>656</v>
      </c>
      <c r="IN100" s="21" t="s">
        <v>761</v>
      </c>
      <c r="IO100" s="21" t="s">
        <v>1085</v>
      </c>
      <c r="OU100" s="21" t="s">
        <v>1085</v>
      </c>
      <c r="PK100" s="21" t="s">
        <v>1086</v>
      </c>
      <c r="PU100" s="21" t="s">
        <v>659</v>
      </c>
      <c r="WL100" s="21" t="s">
        <v>1554</v>
      </c>
      <c r="WM100" s="21" t="s">
        <v>1493</v>
      </c>
      <c r="WN100" s="21" t="s">
        <v>1494</v>
      </c>
      <c r="WO100" s="21">
        <v>8.326605977E9</v>
      </c>
      <c r="WT100" s="21" t="s">
        <v>945</v>
      </c>
      <c r="WU100" s="21" t="s">
        <v>1144</v>
      </c>
      <c r="WV100" s="21" t="s">
        <v>948</v>
      </c>
      <c r="WW100" s="21" t="s">
        <v>947</v>
      </c>
      <c r="WX100" s="21" t="s">
        <v>1668</v>
      </c>
    </row>
    <row r="101">
      <c r="A101" s="21">
        <v>621.0</v>
      </c>
      <c r="B101" s="22">
        <v>44025.0</v>
      </c>
      <c r="C101" s="21">
        <v>2020.0</v>
      </c>
      <c r="D101" s="21">
        <v>2.0200074E7</v>
      </c>
      <c r="E101" s="21">
        <v>34055.0</v>
      </c>
      <c r="F101" s="21" t="s">
        <v>778</v>
      </c>
      <c r="G101" s="21">
        <v>32099.0</v>
      </c>
      <c r="H101" s="21" t="s">
        <v>651</v>
      </c>
      <c r="I101" s="21" t="s">
        <v>652</v>
      </c>
      <c r="J101" s="21" t="s">
        <v>653</v>
      </c>
      <c r="K101" s="21" t="s">
        <v>654</v>
      </c>
      <c r="L101" s="21">
        <v>77002.0</v>
      </c>
      <c r="M101" s="23">
        <v>43998.77777777778</v>
      </c>
      <c r="N101" s="21" t="s">
        <v>655</v>
      </c>
      <c r="O101" s="21" t="s">
        <v>656</v>
      </c>
      <c r="P101" s="21">
        <v>28.9033</v>
      </c>
      <c r="Q101" s="21">
        <v>-96.71431</v>
      </c>
      <c r="R101" s="21">
        <v>1279731.0</v>
      </c>
      <c r="S101" s="24">
        <v>43998.81875</v>
      </c>
      <c r="T101" s="21">
        <v>1279859.0</v>
      </c>
      <c r="U101" s="21" t="s">
        <v>657</v>
      </c>
      <c r="W101" s="21">
        <v>9.0</v>
      </c>
      <c r="X101" s="21">
        <v>2768.0</v>
      </c>
      <c r="Y101" s="21">
        <v>0.0</v>
      </c>
      <c r="Z101" s="21" t="s">
        <v>656</v>
      </c>
      <c r="AF101" s="21">
        <v>0.0</v>
      </c>
      <c r="AG101" s="21" t="s">
        <v>656</v>
      </c>
      <c r="AM101" s="21">
        <v>0.0</v>
      </c>
      <c r="AN101" s="21" t="s">
        <v>658</v>
      </c>
      <c r="AO101" s="21" t="s">
        <v>659</v>
      </c>
      <c r="AQ101" s="24">
        <v>43998.87430555555</v>
      </c>
      <c r="AR101" s="24">
        <v>43999.79861111111</v>
      </c>
      <c r="AT101" s="21" t="s">
        <v>656</v>
      </c>
      <c r="AW101" s="21" t="s">
        <v>656</v>
      </c>
      <c r="BC101" s="21" t="s">
        <v>704</v>
      </c>
      <c r="BE101" s="24">
        <v>43998.86597222222</v>
      </c>
      <c r="BF101" s="21" t="s">
        <v>704</v>
      </c>
      <c r="BH101" s="24">
        <v>43998.87430555555</v>
      </c>
      <c r="BI101" s="21">
        <v>0.0</v>
      </c>
      <c r="BJ101" s="24">
        <v>43998.77777777778</v>
      </c>
      <c r="BK101" s="24">
        <v>43998.770833333336</v>
      </c>
      <c r="BM101" s="21" t="s">
        <v>662</v>
      </c>
      <c r="BN101" s="21" t="s">
        <v>654</v>
      </c>
      <c r="BO101" s="21">
        <v>77957.0</v>
      </c>
      <c r="BP101" s="21" t="s">
        <v>1669</v>
      </c>
      <c r="BQ101" s="21" t="s">
        <v>827</v>
      </c>
      <c r="BR101" s="21" t="s">
        <v>735</v>
      </c>
      <c r="BS101" s="21" t="s">
        <v>1670</v>
      </c>
      <c r="BT101" s="21" t="s">
        <v>1671</v>
      </c>
      <c r="BU101" s="21">
        <v>3022.0</v>
      </c>
      <c r="BV101" s="21" t="s">
        <v>656</v>
      </c>
      <c r="BW101" s="21" t="s">
        <v>738</v>
      </c>
      <c r="BX101" s="21" t="s">
        <v>739</v>
      </c>
      <c r="BY101" s="21" t="s">
        <v>740</v>
      </c>
      <c r="CA101" s="21">
        <v>51.0</v>
      </c>
      <c r="CB101" s="21" t="s">
        <v>656</v>
      </c>
      <c r="CC101" s="21" t="s">
        <v>656</v>
      </c>
      <c r="CZ101" s="21" t="s">
        <v>671</v>
      </c>
      <c r="DA101" s="21" t="s">
        <v>741</v>
      </c>
      <c r="DB101" s="21" t="s">
        <v>714</v>
      </c>
      <c r="DC101" s="21" t="s">
        <v>715</v>
      </c>
      <c r="DD101" s="21">
        <v>16.0</v>
      </c>
      <c r="DE101" s="21" t="s">
        <v>656</v>
      </c>
      <c r="DF101" s="21">
        <v>0.312</v>
      </c>
      <c r="DG101" s="21">
        <v>52000.0</v>
      </c>
      <c r="DH101" s="21" t="s">
        <v>1620</v>
      </c>
      <c r="DI101" s="21" t="s">
        <v>742</v>
      </c>
      <c r="DK101" s="21" t="s">
        <v>1672</v>
      </c>
      <c r="DL101" s="21" t="s">
        <v>743</v>
      </c>
      <c r="DN101" s="21" t="s">
        <v>659</v>
      </c>
      <c r="EO101" s="21">
        <v>1958.0</v>
      </c>
      <c r="EP101" s="21">
        <v>1958.0</v>
      </c>
      <c r="EQ101" s="21" t="s">
        <v>674</v>
      </c>
      <c r="ES101" s="21" t="s">
        <v>965</v>
      </c>
      <c r="ET101" s="21">
        <v>0.1</v>
      </c>
      <c r="EU101" s="21">
        <v>0.1</v>
      </c>
      <c r="FC101" s="21" t="s">
        <v>677</v>
      </c>
      <c r="FD101" s="21" t="s">
        <v>656</v>
      </c>
      <c r="FF101" s="21">
        <v>346.0</v>
      </c>
      <c r="FH101" s="21" t="s">
        <v>656</v>
      </c>
      <c r="FI101" s="21" t="s">
        <v>656</v>
      </c>
      <c r="FO101" s="21">
        <v>0.0</v>
      </c>
      <c r="FP101" s="21">
        <v>16.0</v>
      </c>
      <c r="FQ101" s="21">
        <v>5038.0</v>
      </c>
      <c r="FR101" s="21">
        <v>60000.0</v>
      </c>
      <c r="FS101" s="21">
        <v>1500.0</v>
      </c>
      <c r="FT101" s="21">
        <v>0.0</v>
      </c>
      <c r="FV101" s="21">
        <v>1.82</v>
      </c>
      <c r="FW101" s="21">
        <v>66554.0</v>
      </c>
      <c r="FX101" s="21">
        <v>0.0</v>
      </c>
      <c r="FY101" s="21">
        <v>0.0</v>
      </c>
      <c r="FZ101" s="21">
        <v>0.0</v>
      </c>
      <c r="GA101" s="21">
        <v>0.0</v>
      </c>
      <c r="GB101" s="21" t="s">
        <v>656</v>
      </c>
      <c r="GF101" s="21">
        <v>665.0</v>
      </c>
      <c r="GG101" s="21">
        <v>15000.0</v>
      </c>
      <c r="GH101" s="21">
        <v>880.0</v>
      </c>
      <c r="GI101" s="21" t="s">
        <v>1095</v>
      </c>
      <c r="GK101" s="25">
        <v>41946.0</v>
      </c>
      <c r="GL101" s="21" t="s">
        <v>656</v>
      </c>
      <c r="GM101" s="21" t="s">
        <v>679</v>
      </c>
      <c r="GN101" s="21" t="s">
        <v>656</v>
      </c>
      <c r="GQ101" s="21" t="s">
        <v>656</v>
      </c>
      <c r="GS101" s="21" t="s">
        <v>720</v>
      </c>
      <c r="GT101" s="21" t="s">
        <v>720</v>
      </c>
      <c r="GU101" s="21">
        <v>40656.0</v>
      </c>
      <c r="GV101" s="21" t="s">
        <v>659</v>
      </c>
      <c r="HD101" s="21" t="s">
        <v>656</v>
      </c>
      <c r="HK101" s="21" t="s">
        <v>721</v>
      </c>
      <c r="HL101" s="21" t="s">
        <v>659</v>
      </c>
      <c r="HM101" s="21" t="s">
        <v>659</v>
      </c>
      <c r="HN101" s="21" t="s">
        <v>659</v>
      </c>
      <c r="HO101" s="21" t="s">
        <v>656</v>
      </c>
      <c r="HP101" s="21" t="s">
        <v>656</v>
      </c>
      <c r="HQ101" s="21" t="s">
        <v>966</v>
      </c>
      <c r="HT101" s="21" t="s">
        <v>723</v>
      </c>
      <c r="HU101" s="21" t="s">
        <v>1084</v>
      </c>
      <c r="IH101" s="21" t="s">
        <v>656</v>
      </c>
      <c r="II101" s="21" t="s">
        <v>656</v>
      </c>
      <c r="IN101" s="21" t="s">
        <v>968</v>
      </c>
      <c r="IO101" s="21" t="s">
        <v>969</v>
      </c>
      <c r="LB101" s="21" t="s">
        <v>969</v>
      </c>
      <c r="LC101" s="21" t="s">
        <v>656</v>
      </c>
      <c r="LM101" s="21" t="s">
        <v>656</v>
      </c>
      <c r="LR101" s="21" t="s">
        <v>659</v>
      </c>
      <c r="MB101" s="21" t="s">
        <v>971</v>
      </c>
      <c r="MC101" s="21" t="s">
        <v>1673</v>
      </c>
      <c r="MD101" s="21" t="s">
        <v>1674</v>
      </c>
      <c r="ME101" s="21" t="s">
        <v>656</v>
      </c>
      <c r="MK101" s="21" t="s">
        <v>659</v>
      </c>
      <c r="ML101" s="21">
        <v>25.0</v>
      </c>
      <c r="MM101" s="21" t="s">
        <v>975</v>
      </c>
      <c r="MN101" s="21" t="s">
        <v>976</v>
      </c>
      <c r="WL101" s="21" t="s">
        <v>1189</v>
      </c>
      <c r="WM101" s="21" t="s">
        <v>1377</v>
      </c>
      <c r="WN101" s="21" t="s">
        <v>1675</v>
      </c>
      <c r="WO101" s="21" t="s">
        <v>1192</v>
      </c>
      <c r="WQ101" s="21" t="s">
        <v>1189</v>
      </c>
      <c r="WR101" s="21" t="s">
        <v>1191</v>
      </c>
      <c r="WS101" s="21" t="s">
        <v>1192</v>
      </c>
      <c r="WT101" s="21" t="s">
        <v>1193</v>
      </c>
      <c r="WU101" s="21" t="s">
        <v>1194</v>
      </c>
      <c r="WV101" s="21" t="s">
        <v>1195</v>
      </c>
      <c r="WW101" s="21" t="s">
        <v>1676</v>
      </c>
      <c r="WX101" s="21" t="s">
        <v>1677</v>
      </c>
    </row>
    <row r="102">
      <c r="A102" s="21">
        <v>632.0</v>
      </c>
      <c r="B102" s="22">
        <v>44000.0</v>
      </c>
      <c r="C102" s="21">
        <v>2020.0</v>
      </c>
      <c r="D102" s="21">
        <v>2.0200064E7</v>
      </c>
      <c r="E102" s="21">
        <v>34002.0</v>
      </c>
      <c r="F102" s="21" t="s">
        <v>778</v>
      </c>
      <c r="G102" s="21">
        <v>18152.0</v>
      </c>
      <c r="H102" s="21" t="s">
        <v>702</v>
      </c>
      <c r="I102" s="21" t="s">
        <v>652</v>
      </c>
      <c r="J102" s="21" t="s">
        <v>653</v>
      </c>
      <c r="K102" s="21" t="s">
        <v>654</v>
      </c>
      <c r="L102" s="21">
        <v>77002.0</v>
      </c>
      <c r="M102" s="23">
        <v>43968.722916666666</v>
      </c>
      <c r="N102" s="21" t="s">
        <v>655</v>
      </c>
      <c r="O102" s="21" t="s">
        <v>659</v>
      </c>
      <c r="P102" s="21">
        <v>28.85276</v>
      </c>
      <c r="Q102" s="21">
        <v>-92.02712</v>
      </c>
      <c r="R102" s="21">
        <v>1277657.0</v>
      </c>
      <c r="S102" s="24">
        <v>43970.5875</v>
      </c>
      <c r="T102" s="21">
        <v>1277765.0</v>
      </c>
      <c r="U102" s="21" t="s">
        <v>657</v>
      </c>
      <c r="W102" s="21">
        <v>354.0</v>
      </c>
      <c r="X102" s="21">
        <v>22692.0</v>
      </c>
      <c r="Y102" s="21">
        <v>0.0</v>
      </c>
      <c r="Z102" s="21" t="s">
        <v>656</v>
      </c>
      <c r="AF102" s="21">
        <v>0.0</v>
      </c>
      <c r="AG102" s="21" t="s">
        <v>656</v>
      </c>
      <c r="AM102" s="21">
        <v>0.0</v>
      </c>
      <c r="AN102" s="21" t="s">
        <v>658</v>
      </c>
      <c r="AO102" s="21" t="s">
        <v>659</v>
      </c>
      <c r="AQ102" s="24">
        <v>43969.319444444445</v>
      </c>
      <c r="AR102" s="24">
        <v>43973.75833333333</v>
      </c>
      <c r="AW102" s="21" t="s">
        <v>656</v>
      </c>
      <c r="BC102" s="21" t="s">
        <v>704</v>
      </c>
      <c r="BE102" s="24">
        <v>43969.319444444445</v>
      </c>
      <c r="BF102" s="21" t="s">
        <v>704</v>
      </c>
      <c r="BH102" s="24">
        <v>43969.333333333336</v>
      </c>
      <c r="BI102" s="21">
        <v>0.0</v>
      </c>
      <c r="BJ102" s="24">
        <v>43968.722916666666</v>
      </c>
      <c r="BK102" s="24">
        <v>43970.5</v>
      </c>
      <c r="BM102" s="21" t="s">
        <v>705</v>
      </c>
      <c r="BT102" s="21" t="s">
        <v>1657</v>
      </c>
      <c r="BU102" s="21" t="s">
        <v>1678</v>
      </c>
      <c r="CP102" s="21">
        <v>90.0</v>
      </c>
      <c r="CQ102" s="21" t="s">
        <v>708</v>
      </c>
      <c r="CV102" s="21" t="s">
        <v>997</v>
      </c>
      <c r="CW102" s="21" t="s">
        <v>1388</v>
      </c>
      <c r="CX102" s="21">
        <v>26.0</v>
      </c>
      <c r="CY102" s="21" t="s">
        <v>711</v>
      </c>
      <c r="CZ102" s="21" t="s">
        <v>712</v>
      </c>
      <c r="DA102" s="21" t="s">
        <v>713</v>
      </c>
      <c r="DB102" s="21" t="s">
        <v>714</v>
      </c>
      <c r="DC102" s="21" t="s">
        <v>715</v>
      </c>
      <c r="DD102" s="21">
        <v>26.0</v>
      </c>
      <c r="DE102" s="21" t="s">
        <v>656</v>
      </c>
      <c r="DF102" s="21">
        <v>0.5</v>
      </c>
      <c r="DG102" s="21">
        <v>60000.0</v>
      </c>
      <c r="DH102" s="21" t="s">
        <v>1533</v>
      </c>
      <c r="DI102" s="21" t="s">
        <v>742</v>
      </c>
      <c r="DK102" s="21" t="s">
        <v>1679</v>
      </c>
      <c r="DL102" s="21" t="s">
        <v>696</v>
      </c>
      <c r="DM102" s="21" t="s">
        <v>1680</v>
      </c>
      <c r="DN102" s="21" t="s">
        <v>656</v>
      </c>
      <c r="EO102" s="21">
        <v>1970.0</v>
      </c>
      <c r="EP102" s="21">
        <v>1970.0</v>
      </c>
      <c r="EQ102" s="21" t="s">
        <v>674</v>
      </c>
      <c r="ES102" s="21" t="s">
        <v>675</v>
      </c>
      <c r="EV102" s="21" t="s">
        <v>718</v>
      </c>
      <c r="FC102" s="21" t="s">
        <v>677</v>
      </c>
      <c r="FD102" s="21" t="s">
        <v>656</v>
      </c>
      <c r="FF102" s="21">
        <v>634.0</v>
      </c>
      <c r="FH102" s="21" t="s">
        <v>656</v>
      </c>
      <c r="FI102" s="21" t="s">
        <v>656</v>
      </c>
      <c r="FO102" s="21">
        <v>0.0</v>
      </c>
      <c r="FP102" s="21">
        <v>566.0</v>
      </c>
      <c r="FQ102" s="21">
        <v>36307.0</v>
      </c>
      <c r="FR102" s="21">
        <v>252639.0</v>
      </c>
      <c r="FS102" s="21">
        <v>25000.0</v>
      </c>
      <c r="FT102" s="21">
        <v>0.0</v>
      </c>
      <c r="FV102" s="21">
        <v>1.6</v>
      </c>
      <c r="FW102" s="21">
        <v>314512.0</v>
      </c>
      <c r="FX102" s="21">
        <v>0.0</v>
      </c>
      <c r="FY102" s="21">
        <v>0.0</v>
      </c>
      <c r="FZ102" s="21">
        <v>0.0</v>
      </c>
      <c r="GA102" s="21">
        <v>0.0</v>
      </c>
      <c r="GB102" s="21" t="s">
        <v>656</v>
      </c>
      <c r="GF102" s="21">
        <v>775.0</v>
      </c>
      <c r="GG102" s="21">
        <v>11000.0</v>
      </c>
      <c r="GH102" s="21">
        <v>1250.0</v>
      </c>
      <c r="GI102" s="21" t="s">
        <v>774</v>
      </c>
      <c r="GK102" s="25">
        <v>25637.0</v>
      </c>
      <c r="GL102" s="21" t="s">
        <v>656</v>
      </c>
      <c r="GM102" s="21" t="s">
        <v>679</v>
      </c>
      <c r="GN102" s="21" t="s">
        <v>656</v>
      </c>
      <c r="GQ102" s="21" t="s">
        <v>656</v>
      </c>
      <c r="GS102" s="21" t="s">
        <v>720</v>
      </c>
      <c r="GT102" s="21" t="s">
        <v>720</v>
      </c>
      <c r="GU102" s="21">
        <v>122364.0</v>
      </c>
      <c r="GV102" s="21" t="s">
        <v>656</v>
      </c>
      <c r="GY102" s="21" t="s">
        <v>659</v>
      </c>
      <c r="GZ102" s="21" t="s">
        <v>659</v>
      </c>
      <c r="HD102" s="21" t="s">
        <v>656</v>
      </c>
      <c r="HK102" s="21" t="s">
        <v>721</v>
      </c>
      <c r="HL102" s="21" t="s">
        <v>659</v>
      </c>
      <c r="HM102" s="21" t="s">
        <v>659</v>
      </c>
      <c r="HN102" s="21" t="s">
        <v>659</v>
      </c>
      <c r="HO102" s="21" t="s">
        <v>656</v>
      </c>
      <c r="HP102" s="21" t="s">
        <v>656</v>
      </c>
      <c r="HQ102" s="21" t="s">
        <v>941</v>
      </c>
      <c r="HT102" s="21" t="s">
        <v>723</v>
      </c>
      <c r="HU102" s="21" t="s">
        <v>1681</v>
      </c>
      <c r="IH102" s="21" t="s">
        <v>656</v>
      </c>
      <c r="II102" s="21" t="s">
        <v>656</v>
      </c>
      <c r="IN102" s="21" t="s">
        <v>725</v>
      </c>
      <c r="IO102" s="21" t="s">
        <v>726</v>
      </c>
      <c r="IP102" s="21" t="s">
        <v>726</v>
      </c>
      <c r="JT102" s="21" t="s">
        <v>696</v>
      </c>
      <c r="JU102" s="21" t="s">
        <v>1682</v>
      </c>
      <c r="JZ102" s="21" t="s">
        <v>659</v>
      </c>
      <c r="KA102" s="21" t="s">
        <v>1683</v>
      </c>
      <c r="KD102" s="21" t="s">
        <v>659</v>
      </c>
      <c r="KE102" s="21" t="s">
        <v>1684</v>
      </c>
      <c r="KJ102" s="21" t="s">
        <v>659</v>
      </c>
      <c r="KK102" s="21" t="s">
        <v>1685</v>
      </c>
      <c r="KL102" s="21" t="s">
        <v>659</v>
      </c>
      <c r="KM102" s="21" t="s">
        <v>656</v>
      </c>
      <c r="KN102" s="21" t="s">
        <v>659</v>
      </c>
      <c r="KO102" s="21" t="s">
        <v>659</v>
      </c>
      <c r="QW102" s="21" t="s">
        <v>656</v>
      </c>
      <c r="TI102" s="21" t="s">
        <v>656</v>
      </c>
      <c r="TL102" s="21" t="s">
        <v>656</v>
      </c>
      <c r="TZ102" s="21" t="s">
        <v>656</v>
      </c>
      <c r="WL102" s="21" t="s">
        <v>945</v>
      </c>
      <c r="WM102" s="21" t="s">
        <v>1144</v>
      </c>
      <c r="WN102" s="21" t="s">
        <v>947</v>
      </c>
      <c r="WO102" s="21" t="s">
        <v>948</v>
      </c>
      <c r="WP102" s="21" t="s">
        <v>1686</v>
      </c>
      <c r="WT102" s="21" t="s">
        <v>945</v>
      </c>
      <c r="WU102" s="21" t="s">
        <v>1687</v>
      </c>
      <c r="WV102" s="21" t="s">
        <v>948</v>
      </c>
      <c r="WW102" s="21" t="s">
        <v>947</v>
      </c>
      <c r="WX102" s="21" t="s">
        <v>1688</v>
      </c>
    </row>
    <row r="103">
      <c r="A103" s="21">
        <v>645.0</v>
      </c>
      <c r="B103" s="22">
        <v>43966.0</v>
      </c>
      <c r="C103" s="21">
        <v>2020.0</v>
      </c>
      <c r="D103" s="21">
        <v>2.0200052E7</v>
      </c>
      <c r="E103" s="21">
        <v>37245.0</v>
      </c>
      <c r="F103" s="21" t="s">
        <v>778</v>
      </c>
      <c r="G103" s="21">
        <v>602.0</v>
      </c>
      <c r="H103" s="21" t="s">
        <v>859</v>
      </c>
      <c r="I103" s="21" t="s">
        <v>652</v>
      </c>
      <c r="J103" s="21" t="s">
        <v>653</v>
      </c>
      <c r="K103" s="21" t="s">
        <v>654</v>
      </c>
      <c r="L103" s="21">
        <v>77002.0</v>
      </c>
      <c r="M103" s="23">
        <v>43937.541666666664</v>
      </c>
      <c r="N103" s="21" t="s">
        <v>655</v>
      </c>
      <c r="O103" s="21" t="s">
        <v>659</v>
      </c>
      <c r="P103" s="21">
        <v>35.214456</v>
      </c>
      <c r="Q103" s="21">
        <v>-92.40779</v>
      </c>
      <c r="R103" s="21">
        <v>1275515.0</v>
      </c>
      <c r="S103" s="24">
        <v>43937.55416666667</v>
      </c>
      <c r="T103" s="21">
        <v>1275610.0</v>
      </c>
      <c r="U103" s="21" t="s">
        <v>657</v>
      </c>
      <c r="W103" s="21">
        <v>200.0</v>
      </c>
      <c r="X103" s="21">
        <v>0.0</v>
      </c>
      <c r="Y103" s="21">
        <v>0.0</v>
      </c>
      <c r="Z103" s="21" t="s">
        <v>656</v>
      </c>
      <c r="AF103" s="21">
        <v>0.0</v>
      </c>
      <c r="AG103" s="21" t="s">
        <v>656</v>
      </c>
      <c r="AM103" s="21">
        <v>0.0</v>
      </c>
      <c r="AN103" s="21" t="s">
        <v>658</v>
      </c>
      <c r="AO103" s="21" t="s">
        <v>656</v>
      </c>
      <c r="AP103" s="21" t="s">
        <v>1689</v>
      </c>
      <c r="AT103" s="21" t="s">
        <v>656</v>
      </c>
      <c r="AW103" s="21" t="s">
        <v>656</v>
      </c>
      <c r="BC103" s="21" t="s">
        <v>1119</v>
      </c>
      <c r="BD103" s="21" t="s">
        <v>1690</v>
      </c>
      <c r="BF103" s="21" t="s">
        <v>1119</v>
      </c>
      <c r="BG103" s="21" t="s">
        <v>1691</v>
      </c>
      <c r="BI103" s="21">
        <v>0.0</v>
      </c>
      <c r="BJ103" s="24">
        <v>43936.520833333336</v>
      </c>
      <c r="BK103" s="24">
        <v>43936.520833333336</v>
      </c>
      <c r="BM103" s="21" t="s">
        <v>662</v>
      </c>
      <c r="BN103" s="21" t="s">
        <v>961</v>
      </c>
      <c r="BO103" s="21">
        <v>72508.0</v>
      </c>
      <c r="BP103" s="21" t="s">
        <v>1692</v>
      </c>
      <c r="BQ103" s="21" t="s">
        <v>1334</v>
      </c>
      <c r="BR103" s="21" t="s">
        <v>665</v>
      </c>
      <c r="BT103" s="21" t="s">
        <v>1693</v>
      </c>
      <c r="BU103" s="21" t="s">
        <v>1693</v>
      </c>
      <c r="BV103" s="21" t="s">
        <v>656</v>
      </c>
      <c r="BW103" s="21" t="s">
        <v>738</v>
      </c>
      <c r="BX103" s="21" t="s">
        <v>739</v>
      </c>
      <c r="BY103" s="21" t="s">
        <v>740</v>
      </c>
      <c r="CB103" s="21" t="s">
        <v>656</v>
      </c>
      <c r="CC103" s="21" t="s">
        <v>656</v>
      </c>
      <c r="CZ103" s="21" t="s">
        <v>712</v>
      </c>
      <c r="DA103" s="21" t="s">
        <v>741</v>
      </c>
      <c r="DB103" s="21" t="s">
        <v>800</v>
      </c>
      <c r="DD103" s="21">
        <v>4.0</v>
      </c>
      <c r="DF103" s="21">
        <v>0.188</v>
      </c>
      <c r="DG103" s="21">
        <v>30000.0</v>
      </c>
      <c r="DH103" s="21" t="s">
        <v>684</v>
      </c>
      <c r="DI103" s="21" t="s">
        <v>1338</v>
      </c>
      <c r="DK103" s="21" t="s">
        <v>684</v>
      </c>
      <c r="DL103" s="21" t="s">
        <v>743</v>
      </c>
      <c r="DN103" s="21" t="s">
        <v>659</v>
      </c>
      <c r="DV103" s="21" t="s">
        <v>804</v>
      </c>
      <c r="DX103" s="21" t="s">
        <v>656</v>
      </c>
      <c r="EO103" s="21">
        <v>1957.0</v>
      </c>
      <c r="EP103" s="21">
        <v>1957.0</v>
      </c>
      <c r="EQ103" s="21" t="s">
        <v>674</v>
      </c>
      <c r="ES103" s="21" t="s">
        <v>675</v>
      </c>
      <c r="EV103" s="21" t="s">
        <v>718</v>
      </c>
      <c r="FC103" s="21" t="s">
        <v>1256</v>
      </c>
      <c r="FD103" s="21" t="s">
        <v>656</v>
      </c>
      <c r="FF103" s="21">
        <v>55.0</v>
      </c>
      <c r="FH103" s="21" t="s">
        <v>656</v>
      </c>
      <c r="FI103" s="21" t="s">
        <v>656</v>
      </c>
      <c r="FO103" s="21">
        <v>0.0</v>
      </c>
      <c r="FP103" s="21">
        <v>348.0</v>
      </c>
      <c r="FQ103" s="21">
        <v>0.0</v>
      </c>
      <c r="FR103" s="21">
        <v>122800.0</v>
      </c>
      <c r="FS103" s="21">
        <v>1000.0</v>
      </c>
      <c r="FT103" s="21">
        <v>0.0</v>
      </c>
      <c r="FV103" s="21">
        <v>1.74</v>
      </c>
      <c r="FW103" s="21">
        <v>124148.0</v>
      </c>
      <c r="FX103" s="21">
        <v>0.0</v>
      </c>
      <c r="FY103" s="21">
        <v>0.0</v>
      </c>
      <c r="FZ103" s="21">
        <v>0.0</v>
      </c>
      <c r="GA103" s="21">
        <v>0.0</v>
      </c>
      <c r="GB103" s="21" t="s">
        <v>656</v>
      </c>
      <c r="GF103" s="21">
        <v>295.0</v>
      </c>
      <c r="GG103" s="21">
        <v>1000.0</v>
      </c>
      <c r="GH103" s="21">
        <v>310.0</v>
      </c>
      <c r="GI103" s="21" t="s">
        <v>774</v>
      </c>
      <c r="GK103" s="25">
        <v>43449.0</v>
      </c>
      <c r="GL103" s="21" t="s">
        <v>656</v>
      </c>
      <c r="GM103" s="21" t="s">
        <v>679</v>
      </c>
      <c r="GN103" s="21" t="s">
        <v>656</v>
      </c>
      <c r="GQ103" s="21" t="s">
        <v>659</v>
      </c>
      <c r="GR103" s="21" t="s">
        <v>659</v>
      </c>
      <c r="GU103" s="21">
        <v>61776.0</v>
      </c>
      <c r="GV103" s="21" t="s">
        <v>656</v>
      </c>
      <c r="GX103" s="21" t="s">
        <v>659</v>
      </c>
      <c r="HB103" s="21" t="s">
        <v>659</v>
      </c>
      <c r="HC103" s="21" t="s">
        <v>1694</v>
      </c>
      <c r="HD103" s="21" t="s">
        <v>656</v>
      </c>
      <c r="HK103" s="21" t="s">
        <v>721</v>
      </c>
      <c r="HL103" s="21" t="s">
        <v>659</v>
      </c>
      <c r="HM103" s="21" t="s">
        <v>659</v>
      </c>
      <c r="HN103" s="21" t="s">
        <v>659</v>
      </c>
      <c r="HO103" s="21" t="s">
        <v>656</v>
      </c>
      <c r="HP103" s="21" t="s">
        <v>656</v>
      </c>
      <c r="HQ103" s="21" t="s">
        <v>1127</v>
      </c>
      <c r="HS103" s="21" t="s">
        <v>699</v>
      </c>
      <c r="HT103" s="21" t="s">
        <v>723</v>
      </c>
      <c r="HU103" s="21" t="s">
        <v>1695</v>
      </c>
      <c r="IH103" s="21" t="s">
        <v>656</v>
      </c>
      <c r="II103" s="21" t="s">
        <v>656</v>
      </c>
      <c r="IN103" s="21" t="s">
        <v>808</v>
      </c>
      <c r="IO103" s="21" t="s">
        <v>809</v>
      </c>
      <c r="NS103" s="21" t="s">
        <v>809</v>
      </c>
      <c r="NT103" s="21" t="s">
        <v>659</v>
      </c>
      <c r="OC103" s="21" t="s">
        <v>659</v>
      </c>
      <c r="OD103" s="21" t="s">
        <v>1696</v>
      </c>
      <c r="OR103" s="21" t="s">
        <v>659</v>
      </c>
      <c r="OS103" s="21" t="s">
        <v>1697</v>
      </c>
      <c r="OT103" s="21" t="s">
        <v>684</v>
      </c>
      <c r="QW103" s="21" t="s">
        <v>656</v>
      </c>
      <c r="TI103" s="21" t="s">
        <v>659</v>
      </c>
      <c r="TJ103" s="21">
        <v>2018.0</v>
      </c>
      <c r="TK103" s="21">
        <v>388.0</v>
      </c>
      <c r="TL103" s="21" t="s">
        <v>1344</v>
      </c>
      <c r="TN103" s="21">
        <v>2013.0</v>
      </c>
      <c r="TS103" s="21" t="s">
        <v>1698</v>
      </c>
      <c r="TT103" s="21">
        <v>2013.0</v>
      </c>
      <c r="TY103" s="21" t="s">
        <v>659</v>
      </c>
      <c r="TZ103" s="21" t="s">
        <v>656</v>
      </c>
      <c r="UO103" s="21" t="s">
        <v>659</v>
      </c>
      <c r="WL103" s="21" t="s">
        <v>854</v>
      </c>
      <c r="WM103" s="21" t="s">
        <v>1289</v>
      </c>
      <c r="WN103" s="21" t="s">
        <v>857</v>
      </c>
      <c r="WO103" s="21">
        <v>1.405576823E10</v>
      </c>
      <c r="WQ103" s="21" t="s">
        <v>854</v>
      </c>
      <c r="WR103" s="21" t="s">
        <v>857</v>
      </c>
      <c r="WS103" s="21">
        <v>1.405576823E10</v>
      </c>
      <c r="WT103" s="21" t="s">
        <v>854</v>
      </c>
      <c r="WU103" s="21" t="s">
        <v>1289</v>
      </c>
      <c r="WV103" s="21">
        <v>1.405576823E10</v>
      </c>
      <c r="WW103" s="21" t="s">
        <v>857</v>
      </c>
      <c r="WX103" s="21" t="s">
        <v>1699</v>
      </c>
    </row>
    <row r="104">
      <c r="A104" s="21">
        <v>646.0</v>
      </c>
      <c r="B104" s="22">
        <v>43965.0</v>
      </c>
      <c r="C104" s="21">
        <v>2020.0</v>
      </c>
      <c r="D104" s="21">
        <v>2.0200051E7</v>
      </c>
      <c r="E104" s="21">
        <v>33756.0</v>
      </c>
      <c r="F104" s="21" t="s">
        <v>701</v>
      </c>
      <c r="G104" s="21">
        <v>15105.0</v>
      </c>
      <c r="H104" s="21" t="s">
        <v>794</v>
      </c>
      <c r="I104" s="21" t="s">
        <v>652</v>
      </c>
      <c r="J104" s="21" t="s">
        <v>653</v>
      </c>
      <c r="K104" s="21" t="s">
        <v>654</v>
      </c>
      <c r="L104" s="21">
        <v>77002.0</v>
      </c>
      <c r="M104" s="23">
        <v>43935.38888888889</v>
      </c>
      <c r="N104" s="21" t="s">
        <v>655</v>
      </c>
      <c r="O104" s="21" t="s">
        <v>659</v>
      </c>
      <c r="P104" s="21">
        <v>39.47196</v>
      </c>
      <c r="Q104" s="21">
        <v>-90.9141</v>
      </c>
      <c r="R104" s="21">
        <v>1275372.0</v>
      </c>
      <c r="S104" s="24">
        <v>43935.40138888889</v>
      </c>
      <c r="T104" s="21">
        <v>1275497.0</v>
      </c>
      <c r="U104" s="21" t="s">
        <v>657</v>
      </c>
      <c r="W104" s="21">
        <v>3800.0</v>
      </c>
      <c r="X104" s="21">
        <v>0.0</v>
      </c>
      <c r="Y104" s="21">
        <v>0.0</v>
      </c>
      <c r="Z104" s="21" t="s">
        <v>656</v>
      </c>
      <c r="AF104" s="21">
        <v>0.0</v>
      </c>
      <c r="AG104" s="21" t="s">
        <v>656</v>
      </c>
      <c r="AM104" s="21">
        <v>0.0</v>
      </c>
      <c r="AN104" s="21" t="s">
        <v>658</v>
      </c>
      <c r="AO104" s="21" t="s">
        <v>656</v>
      </c>
      <c r="AP104" s="21" t="s">
        <v>1700</v>
      </c>
      <c r="AT104" s="21" t="s">
        <v>656</v>
      </c>
      <c r="AW104" s="21" t="s">
        <v>656</v>
      </c>
      <c r="BI104" s="21">
        <v>0.0</v>
      </c>
      <c r="BJ104" s="24">
        <v>43935.375</v>
      </c>
      <c r="BK104" s="24">
        <v>43935.333333333336</v>
      </c>
      <c r="BM104" s="21" t="s">
        <v>662</v>
      </c>
      <c r="BN104" s="21" t="s">
        <v>1291</v>
      </c>
      <c r="BO104" s="21">
        <v>62366.0</v>
      </c>
      <c r="BP104" s="21" t="s">
        <v>1701</v>
      </c>
      <c r="BQ104" s="21" t="s">
        <v>1702</v>
      </c>
      <c r="BR104" s="21" t="s">
        <v>665</v>
      </c>
      <c r="BT104" s="21" t="s">
        <v>1703</v>
      </c>
      <c r="BU104" s="21" t="s">
        <v>1704</v>
      </c>
      <c r="BV104" s="21" t="s">
        <v>656</v>
      </c>
      <c r="BW104" s="21" t="s">
        <v>668</v>
      </c>
      <c r="BX104" s="21" t="s">
        <v>669</v>
      </c>
      <c r="BY104" s="21" t="s">
        <v>670</v>
      </c>
      <c r="CC104" s="21" t="s">
        <v>656</v>
      </c>
      <c r="CZ104" s="21" t="s">
        <v>712</v>
      </c>
      <c r="DA104" s="21" t="s">
        <v>672</v>
      </c>
      <c r="DB104" s="21" t="s">
        <v>830</v>
      </c>
      <c r="EO104" s="21" t="s">
        <v>684</v>
      </c>
      <c r="EP104" s="21" t="s">
        <v>684</v>
      </c>
      <c r="EQ104" s="21" t="s">
        <v>674</v>
      </c>
      <c r="ES104" s="21" t="s">
        <v>696</v>
      </c>
      <c r="FB104" s="21" t="s">
        <v>1705</v>
      </c>
      <c r="FC104" s="21" t="s">
        <v>677</v>
      </c>
      <c r="FD104" s="21" t="s">
        <v>656</v>
      </c>
      <c r="FF104" s="21">
        <v>179.0</v>
      </c>
      <c r="FH104" s="21" t="s">
        <v>656</v>
      </c>
      <c r="FI104" s="21" t="s">
        <v>656</v>
      </c>
      <c r="FO104" s="21">
        <v>0.0</v>
      </c>
      <c r="FP104" s="21">
        <v>8664.0</v>
      </c>
      <c r="FQ104" s="21">
        <v>0.0</v>
      </c>
      <c r="FR104" s="21">
        <v>0.0</v>
      </c>
      <c r="FS104" s="21">
        <v>0.0</v>
      </c>
      <c r="FT104" s="21">
        <v>0.0</v>
      </c>
      <c r="FV104" s="21">
        <v>2.28</v>
      </c>
      <c r="FW104" s="21">
        <v>8664.0</v>
      </c>
      <c r="FX104" s="21">
        <v>0.0</v>
      </c>
      <c r="FY104" s="21">
        <v>0.0</v>
      </c>
      <c r="FZ104" s="21">
        <v>0.0</v>
      </c>
      <c r="GA104" s="21">
        <v>0.0</v>
      </c>
      <c r="GB104" s="21" t="s">
        <v>656</v>
      </c>
      <c r="GF104" s="21">
        <v>500.0</v>
      </c>
      <c r="GG104" s="21">
        <v>350.0</v>
      </c>
      <c r="GH104" s="21">
        <v>900.0</v>
      </c>
      <c r="GI104" s="21" t="s">
        <v>774</v>
      </c>
      <c r="GK104" s="25">
        <v>19725.0</v>
      </c>
      <c r="GL104" s="21" t="s">
        <v>656</v>
      </c>
      <c r="GM104" s="21" t="s">
        <v>679</v>
      </c>
      <c r="GN104" s="21" t="s">
        <v>656</v>
      </c>
      <c r="GQ104" s="21" t="s">
        <v>656</v>
      </c>
      <c r="HK104" s="21" t="s">
        <v>721</v>
      </c>
      <c r="HL104" s="21" t="s">
        <v>659</v>
      </c>
      <c r="HM104" s="21" t="s">
        <v>659</v>
      </c>
      <c r="HN104" s="21" t="s">
        <v>659</v>
      </c>
      <c r="HO104" s="21" t="s">
        <v>656</v>
      </c>
      <c r="HP104" s="21" t="s">
        <v>656</v>
      </c>
      <c r="HQ104" s="21" t="s">
        <v>698</v>
      </c>
      <c r="HS104" s="21" t="s">
        <v>699</v>
      </c>
      <c r="HT104" s="21" t="s">
        <v>723</v>
      </c>
      <c r="HU104" s="21" t="s">
        <v>1706</v>
      </c>
      <c r="IH104" s="21" t="s">
        <v>656</v>
      </c>
      <c r="II104" s="21" t="s">
        <v>656</v>
      </c>
      <c r="IN104" s="21" t="s">
        <v>761</v>
      </c>
      <c r="IO104" s="21" t="s">
        <v>1203</v>
      </c>
      <c r="OU104" s="21" t="s">
        <v>1203</v>
      </c>
      <c r="PO104" s="21" t="s">
        <v>1707</v>
      </c>
      <c r="QE104" s="21" t="s">
        <v>659</v>
      </c>
      <c r="QF104" s="21" t="s">
        <v>1708</v>
      </c>
      <c r="WL104" s="21" t="s">
        <v>1492</v>
      </c>
      <c r="WM104" s="21" t="s">
        <v>1648</v>
      </c>
      <c r="WN104" s="21" t="s">
        <v>1494</v>
      </c>
      <c r="WO104" s="21" t="s">
        <v>1495</v>
      </c>
      <c r="WT104" s="21" t="s">
        <v>1709</v>
      </c>
      <c r="WU104" s="21" t="s">
        <v>1710</v>
      </c>
      <c r="WV104" s="21" t="s">
        <v>1711</v>
      </c>
      <c r="WW104" s="21" t="s">
        <v>1712</v>
      </c>
      <c r="WX104" s="21" t="s">
        <v>1713</v>
      </c>
    </row>
    <row r="105">
      <c r="A105" s="21">
        <v>648.0</v>
      </c>
      <c r="B105" s="22">
        <v>43949.0</v>
      </c>
      <c r="C105" s="21">
        <v>2020.0</v>
      </c>
      <c r="D105" s="21">
        <v>2.020004E7</v>
      </c>
      <c r="E105" s="21">
        <v>34016.0</v>
      </c>
      <c r="F105" s="21" t="s">
        <v>778</v>
      </c>
      <c r="G105" s="21">
        <v>32099.0</v>
      </c>
      <c r="H105" s="21" t="s">
        <v>651</v>
      </c>
      <c r="I105" s="21" t="s">
        <v>652</v>
      </c>
      <c r="J105" s="21" t="s">
        <v>653</v>
      </c>
      <c r="K105" s="21" t="s">
        <v>654</v>
      </c>
      <c r="L105" s="21">
        <v>77002.0</v>
      </c>
      <c r="M105" s="23">
        <v>43928.82847222222</v>
      </c>
      <c r="N105" s="21" t="s">
        <v>655</v>
      </c>
      <c r="O105" s="21" t="s">
        <v>659</v>
      </c>
      <c r="P105" s="21">
        <v>28.68599</v>
      </c>
      <c r="Q105" s="21">
        <v>-96.8194</v>
      </c>
      <c r="R105" s="21">
        <v>1275005.0</v>
      </c>
      <c r="S105" s="24">
        <v>43928.895833333336</v>
      </c>
      <c r="T105" s="21">
        <v>1275048.0</v>
      </c>
      <c r="U105" s="21" t="s">
        <v>657</v>
      </c>
      <c r="W105" s="21">
        <v>0.0</v>
      </c>
      <c r="X105" s="21">
        <v>0.0</v>
      </c>
      <c r="Y105" s="21">
        <v>0.0</v>
      </c>
      <c r="Z105" s="21" t="s">
        <v>656</v>
      </c>
      <c r="AF105" s="21">
        <v>0.0</v>
      </c>
      <c r="AG105" s="21" t="s">
        <v>656</v>
      </c>
      <c r="AM105" s="21">
        <v>0.0</v>
      </c>
      <c r="AN105" s="21" t="s">
        <v>1326</v>
      </c>
      <c r="AT105" s="21" t="s">
        <v>656</v>
      </c>
      <c r="AW105" s="21" t="s">
        <v>656</v>
      </c>
      <c r="BI105" s="21">
        <v>0.0</v>
      </c>
      <c r="BJ105" s="24">
        <v>43928.791666666664</v>
      </c>
      <c r="BK105" s="24">
        <v>43928.82847222222</v>
      </c>
      <c r="BM105" s="21" t="s">
        <v>662</v>
      </c>
      <c r="BN105" s="21" t="s">
        <v>654</v>
      </c>
      <c r="BO105" s="21">
        <v>77977.0</v>
      </c>
      <c r="BP105" s="21" t="s">
        <v>1714</v>
      </c>
      <c r="BQ105" s="21" t="s">
        <v>1715</v>
      </c>
      <c r="BR105" s="21" t="s">
        <v>892</v>
      </c>
      <c r="BS105" s="21" t="s">
        <v>1716</v>
      </c>
      <c r="BT105" s="21" t="s">
        <v>1717</v>
      </c>
      <c r="BU105" s="21" t="s">
        <v>1718</v>
      </c>
      <c r="BV105" s="21" t="s">
        <v>656</v>
      </c>
      <c r="BW105" s="21" t="s">
        <v>668</v>
      </c>
      <c r="BX105" s="21" t="s">
        <v>669</v>
      </c>
      <c r="BY105" s="21" t="s">
        <v>1719</v>
      </c>
      <c r="CC105" s="21" t="s">
        <v>656</v>
      </c>
      <c r="CZ105" s="21" t="s">
        <v>671</v>
      </c>
      <c r="DA105" s="21" t="s">
        <v>920</v>
      </c>
      <c r="DB105" s="21" t="s">
        <v>1253</v>
      </c>
      <c r="EO105" s="21">
        <v>1991.0</v>
      </c>
      <c r="EP105" s="21">
        <v>1989.0</v>
      </c>
      <c r="EQ105" s="21" t="s">
        <v>674</v>
      </c>
      <c r="ES105" s="21" t="s">
        <v>696</v>
      </c>
      <c r="FB105" s="21" t="s">
        <v>1720</v>
      </c>
      <c r="FC105" s="21" t="s">
        <v>677</v>
      </c>
      <c r="FD105" s="21" t="s">
        <v>656</v>
      </c>
      <c r="FF105" s="21">
        <v>45.0</v>
      </c>
      <c r="FH105" s="21" t="s">
        <v>656</v>
      </c>
      <c r="FI105" s="21" t="s">
        <v>656</v>
      </c>
      <c r="FO105" s="21">
        <v>0.0</v>
      </c>
      <c r="FP105" s="21">
        <v>0.0</v>
      </c>
      <c r="FQ105" s="21">
        <v>0.0</v>
      </c>
      <c r="FR105" s="21">
        <v>0.0</v>
      </c>
      <c r="FS105" s="21">
        <v>0.0</v>
      </c>
      <c r="FT105" s="21">
        <v>0.0</v>
      </c>
      <c r="FV105" s="21">
        <v>0.0</v>
      </c>
      <c r="FW105" s="21">
        <v>0.0</v>
      </c>
      <c r="FX105" s="21">
        <v>0.0</v>
      </c>
      <c r="FY105" s="21">
        <v>0.0</v>
      </c>
      <c r="FZ105" s="21">
        <v>0.0</v>
      </c>
      <c r="GA105" s="21">
        <v>0.0</v>
      </c>
      <c r="GB105" s="21" t="s">
        <v>656</v>
      </c>
      <c r="GF105" s="21">
        <v>117.0</v>
      </c>
      <c r="GG105" s="21">
        <v>0.01</v>
      </c>
      <c r="GH105" s="21">
        <v>668.0</v>
      </c>
      <c r="GI105" s="21" t="s">
        <v>719</v>
      </c>
      <c r="GK105" s="25">
        <v>33212.0</v>
      </c>
      <c r="GL105" s="21" t="s">
        <v>656</v>
      </c>
      <c r="GM105" s="21" t="s">
        <v>679</v>
      </c>
      <c r="GN105" s="21" t="s">
        <v>656</v>
      </c>
      <c r="GQ105" s="21" t="s">
        <v>656</v>
      </c>
      <c r="HK105" s="21" t="s">
        <v>1721</v>
      </c>
      <c r="HL105" s="21" t="s">
        <v>659</v>
      </c>
      <c r="HM105" s="21" t="s">
        <v>659</v>
      </c>
      <c r="HN105" s="21" t="s">
        <v>659</v>
      </c>
      <c r="HO105" s="21" t="s">
        <v>656</v>
      </c>
      <c r="HP105" s="21" t="s">
        <v>656</v>
      </c>
      <c r="HQ105" s="21" t="s">
        <v>696</v>
      </c>
      <c r="HR105" s="21" t="s">
        <v>1722</v>
      </c>
      <c r="HT105" s="21" t="s">
        <v>723</v>
      </c>
      <c r="HU105" s="21" t="s">
        <v>1723</v>
      </c>
      <c r="IH105" s="21" t="s">
        <v>659</v>
      </c>
      <c r="II105" s="21" t="s">
        <v>656</v>
      </c>
      <c r="IJ105" s="21">
        <v>1.0</v>
      </c>
      <c r="IK105" s="21">
        <v>0.0</v>
      </c>
      <c r="IN105" s="21" t="s">
        <v>786</v>
      </c>
      <c r="IO105" s="21" t="s">
        <v>943</v>
      </c>
      <c r="QG105" s="21" t="s">
        <v>943</v>
      </c>
      <c r="QM105" s="21" t="s">
        <v>659</v>
      </c>
      <c r="QP105" s="21" t="s">
        <v>789</v>
      </c>
      <c r="QQ105" s="21" t="s">
        <v>659</v>
      </c>
      <c r="QR105" s="21" t="s">
        <v>790</v>
      </c>
      <c r="WE105" s="21" t="s">
        <v>659</v>
      </c>
      <c r="WK105" s="21" t="s">
        <v>659</v>
      </c>
      <c r="WL105" s="21" t="s">
        <v>746</v>
      </c>
      <c r="WM105" s="21" t="s">
        <v>1724</v>
      </c>
      <c r="WN105" s="21" t="s">
        <v>748</v>
      </c>
      <c r="WO105" s="21" t="s">
        <v>1205</v>
      </c>
      <c r="WT105" s="21" t="s">
        <v>1193</v>
      </c>
      <c r="WU105" s="21" t="s">
        <v>1725</v>
      </c>
      <c r="WV105" s="21" t="s">
        <v>1195</v>
      </c>
      <c r="WW105" s="21" t="s">
        <v>1196</v>
      </c>
      <c r="WX105" s="21" t="s">
        <v>1726</v>
      </c>
    </row>
    <row r="106">
      <c r="A106" s="21">
        <v>649.0</v>
      </c>
      <c r="B106" s="22">
        <v>43952.0</v>
      </c>
      <c r="C106" s="21">
        <v>2020.0</v>
      </c>
      <c r="D106" s="21">
        <v>2.0200045E7</v>
      </c>
      <c r="E106" s="21">
        <v>33724.0</v>
      </c>
      <c r="F106" s="21" t="s">
        <v>778</v>
      </c>
      <c r="G106" s="21">
        <v>19610.0</v>
      </c>
      <c r="H106" s="21" t="s">
        <v>1270</v>
      </c>
      <c r="I106" s="21" t="s">
        <v>652</v>
      </c>
      <c r="J106" s="21" t="s">
        <v>653</v>
      </c>
      <c r="K106" s="21" t="s">
        <v>654</v>
      </c>
      <c r="L106" s="21">
        <v>77002.0</v>
      </c>
      <c r="M106" s="23">
        <v>43928.291666666664</v>
      </c>
      <c r="N106" s="21" t="s">
        <v>655</v>
      </c>
      <c r="O106" s="21" t="s">
        <v>659</v>
      </c>
      <c r="P106" s="21">
        <v>32.801495</v>
      </c>
      <c r="Q106" s="21">
        <v>-103.802456</v>
      </c>
      <c r="R106" s="21">
        <v>1274969.0</v>
      </c>
      <c r="S106" s="24">
        <v>43928.58541666667</v>
      </c>
      <c r="T106" s="21">
        <v>1275108.0</v>
      </c>
      <c r="U106" s="21" t="s">
        <v>657</v>
      </c>
      <c r="W106" s="21">
        <v>13266.0</v>
      </c>
      <c r="X106" s="21">
        <v>0.0</v>
      </c>
      <c r="Y106" s="21">
        <v>0.0</v>
      </c>
      <c r="Z106" s="21" t="s">
        <v>656</v>
      </c>
      <c r="AF106" s="21">
        <v>0.0</v>
      </c>
      <c r="AG106" s="21" t="s">
        <v>656</v>
      </c>
      <c r="AM106" s="21">
        <v>0.0</v>
      </c>
      <c r="AN106" s="21" t="s">
        <v>658</v>
      </c>
      <c r="AO106" s="21" t="s">
        <v>656</v>
      </c>
      <c r="AP106" s="21" t="s">
        <v>1727</v>
      </c>
      <c r="AT106" s="21" t="s">
        <v>656</v>
      </c>
      <c r="AW106" s="21" t="s">
        <v>656</v>
      </c>
      <c r="BI106" s="21">
        <v>0.0</v>
      </c>
      <c r="BJ106" s="24">
        <v>43928.291666666664</v>
      </c>
      <c r="BK106" s="24">
        <v>43928.291666666664</v>
      </c>
      <c r="BM106" s="21" t="s">
        <v>662</v>
      </c>
      <c r="BN106" s="21" t="s">
        <v>1163</v>
      </c>
      <c r="BO106" s="21">
        <v>88220.0</v>
      </c>
      <c r="BP106" s="21" t="s">
        <v>1623</v>
      </c>
      <c r="BQ106" s="21" t="s">
        <v>1728</v>
      </c>
      <c r="BR106" s="21" t="s">
        <v>735</v>
      </c>
      <c r="BS106" s="21" t="s">
        <v>1729</v>
      </c>
      <c r="BT106" s="21" t="s">
        <v>1730</v>
      </c>
      <c r="BU106" s="21" t="s">
        <v>1731</v>
      </c>
      <c r="BV106" s="21" t="s">
        <v>656</v>
      </c>
      <c r="BW106" s="21" t="s">
        <v>668</v>
      </c>
      <c r="BX106" s="21" t="s">
        <v>669</v>
      </c>
      <c r="BY106" s="21" t="s">
        <v>670</v>
      </c>
      <c r="CC106" s="21" t="s">
        <v>656</v>
      </c>
      <c r="CZ106" s="21" t="s">
        <v>712</v>
      </c>
      <c r="DA106" s="21" t="s">
        <v>672</v>
      </c>
      <c r="DB106" s="21" t="s">
        <v>673</v>
      </c>
      <c r="EO106" s="21" t="s">
        <v>684</v>
      </c>
      <c r="EP106" s="21">
        <v>1997.0</v>
      </c>
      <c r="EQ106" s="21" t="s">
        <v>674</v>
      </c>
      <c r="ES106" s="21" t="s">
        <v>696</v>
      </c>
      <c r="FB106" s="21" t="s">
        <v>1732</v>
      </c>
      <c r="FC106" s="21" t="s">
        <v>677</v>
      </c>
      <c r="FD106" s="21" t="s">
        <v>656</v>
      </c>
      <c r="FF106" s="21">
        <v>236.0</v>
      </c>
      <c r="FH106" s="21" t="s">
        <v>656</v>
      </c>
      <c r="FI106" s="21" t="s">
        <v>656</v>
      </c>
      <c r="FO106" s="21">
        <v>0.0</v>
      </c>
      <c r="FP106" s="21">
        <v>15389.0</v>
      </c>
      <c r="FQ106" s="21">
        <v>0.0</v>
      </c>
      <c r="FR106" s="21">
        <v>0.0</v>
      </c>
      <c r="FS106" s="21">
        <v>0.0</v>
      </c>
      <c r="FT106" s="21">
        <v>0.0</v>
      </c>
      <c r="FV106" s="21">
        <v>1.16</v>
      </c>
      <c r="FW106" s="21">
        <v>15389.0</v>
      </c>
      <c r="FX106" s="21">
        <v>0.0</v>
      </c>
      <c r="FY106" s="21">
        <v>0.0</v>
      </c>
      <c r="FZ106" s="21">
        <v>0.0</v>
      </c>
      <c r="GA106" s="21">
        <v>0.0</v>
      </c>
      <c r="GB106" s="21" t="s">
        <v>656</v>
      </c>
      <c r="GF106" s="21">
        <v>978.0</v>
      </c>
      <c r="GG106" s="21">
        <v>26.9</v>
      </c>
      <c r="GH106" s="21">
        <v>1172.0</v>
      </c>
      <c r="GI106" s="21" t="s">
        <v>774</v>
      </c>
      <c r="GK106" s="25">
        <v>34872.0</v>
      </c>
      <c r="GL106" s="21" t="s">
        <v>656</v>
      </c>
      <c r="GM106" s="21" t="s">
        <v>679</v>
      </c>
      <c r="GN106" s="21" t="s">
        <v>656</v>
      </c>
      <c r="GQ106" s="21" t="s">
        <v>656</v>
      </c>
      <c r="HK106" s="21" t="s">
        <v>721</v>
      </c>
      <c r="HL106" s="21" t="s">
        <v>659</v>
      </c>
      <c r="HM106" s="21" t="s">
        <v>659</v>
      </c>
      <c r="HN106" s="21" t="s">
        <v>659</v>
      </c>
      <c r="HO106" s="21" t="s">
        <v>656</v>
      </c>
      <c r="HP106" s="21" t="s">
        <v>656</v>
      </c>
      <c r="HQ106" s="21" t="s">
        <v>806</v>
      </c>
      <c r="HT106" s="21" t="s">
        <v>723</v>
      </c>
      <c r="HU106" s="21" t="s">
        <v>1733</v>
      </c>
      <c r="IH106" s="21" t="s">
        <v>656</v>
      </c>
      <c r="II106" s="21" t="s">
        <v>656</v>
      </c>
      <c r="IN106" s="21" t="s">
        <v>761</v>
      </c>
      <c r="IO106" s="21" t="s">
        <v>762</v>
      </c>
      <c r="OU106" s="21" t="s">
        <v>762</v>
      </c>
      <c r="PB106" s="21" t="s">
        <v>659</v>
      </c>
      <c r="QE106" s="21" t="s">
        <v>659</v>
      </c>
      <c r="QF106" s="21" t="s">
        <v>1734</v>
      </c>
      <c r="WL106" s="21" t="s">
        <v>1554</v>
      </c>
      <c r="WM106" s="21" t="s">
        <v>1735</v>
      </c>
      <c r="WN106" s="21" t="s">
        <v>1494</v>
      </c>
      <c r="WO106" s="21" t="s">
        <v>1495</v>
      </c>
      <c r="WT106" s="21" t="s">
        <v>1709</v>
      </c>
      <c r="WU106" s="21" t="s">
        <v>1710</v>
      </c>
      <c r="WV106" s="21" t="s">
        <v>1736</v>
      </c>
      <c r="WW106" s="21" t="s">
        <v>1712</v>
      </c>
      <c r="WX106" s="21" t="s">
        <v>1737</v>
      </c>
    </row>
    <row r="107">
      <c r="A107" s="21">
        <v>656.0</v>
      </c>
      <c r="B107" s="22">
        <v>43943.0</v>
      </c>
      <c r="C107" s="21">
        <v>2020.0</v>
      </c>
      <c r="D107" s="21">
        <v>2.0200036E7</v>
      </c>
      <c r="E107" s="21">
        <v>34060.0</v>
      </c>
      <c r="F107" s="21" t="s">
        <v>778</v>
      </c>
      <c r="G107" s="21">
        <v>15105.0</v>
      </c>
      <c r="H107" s="21" t="s">
        <v>794</v>
      </c>
      <c r="I107" s="21" t="s">
        <v>652</v>
      </c>
      <c r="J107" s="21" t="s">
        <v>653</v>
      </c>
      <c r="K107" s="21" t="s">
        <v>654</v>
      </c>
      <c r="L107" s="21">
        <v>77002.0</v>
      </c>
      <c r="M107" s="23">
        <v>43916.583333333336</v>
      </c>
      <c r="N107" s="21" t="s">
        <v>655</v>
      </c>
      <c r="O107" s="21" t="s">
        <v>659</v>
      </c>
      <c r="P107" s="21">
        <v>37.21043</v>
      </c>
      <c r="Q107" s="21">
        <v>-100.35364</v>
      </c>
      <c r="R107" s="21">
        <v>1274304.0</v>
      </c>
      <c r="S107" s="24">
        <v>43916.669444444444</v>
      </c>
      <c r="T107" s="21">
        <v>1274395.0</v>
      </c>
      <c r="U107" s="21" t="s">
        <v>657</v>
      </c>
      <c r="W107" s="21">
        <v>0.3</v>
      </c>
      <c r="X107" s="21">
        <v>285.0</v>
      </c>
      <c r="Y107" s="21">
        <v>0.0</v>
      </c>
      <c r="Z107" s="21" t="s">
        <v>659</v>
      </c>
      <c r="AA107" s="21">
        <v>1.0</v>
      </c>
      <c r="AB107" s="21">
        <v>0.0</v>
      </c>
      <c r="AC107" s="21">
        <v>0.0</v>
      </c>
      <c r="AD107" s="21">
        <v>0.0</v>
      </c>
      <c r="AE107" s="21">
        <v>0.0</v>
      </c>
      <c r="AF107" s="21">
        <v>1.0</v>
      </c>
      <c r="AG107" s="21" t="s">
        <v>656</v>
      </c>
      <c r="AM107" s="21">
        <v>0.0</v>
      </c>
      <c r="AN107" s="21" t="s">
        <v>658</v>
      </c>
      <c r="AO107" s="21" t="s">
        <v>659</v>
      </c>
      <c r="AQ107" s="24">
        <v>43917.291666666664</v>
      </c>
      <c r="AR107" s="24">
        <v>44027.541666666664</v>
      </c>
      <c r="AT107" s="21" t="s">
        <v>659</v>
      </c>
      <c r="AU107" s="21" t="s">
        <v>660</v>
      </c>
      <c r="AV107" s="24">
        <v>43916.589583333334</v>
      </c>
      <c r="AW107" s="21" t="s">
        <v>656</v>
      </c>
      <c r="BC107" s="21" t="s">
        <v>1119</v>
      </c>
      <c r="BD107" s="21" t="s">
        <v>1738</v>
      </c>
      <c r="BF107" s="21" t="s">
        <v>1119</v>
      </c>
      <c r="BG107" s="21" t="s">
        <v>1738</v>
      </c>
      <c r="BI107" s="21">
        <v>0.0</v>
      </c>
      <c r="BJ107" s="24">
        <v>43916.583333333336</v>
      </c>
      <c r="BK107" s="24">
        <v>43916.583333333336</v>
      </c>
      <c r="BM107" s="21" t="s">
        <v>662</v>
      </c>
      <c r="BN107" s="21" t="s">
        <v>1034</v>
      </c>
      <c r="BO107" s="21">
        <v>67864.0</v>
      </c>
      <c r="BP107" s="21" t="s">
        <v>1739</v>
      </c>
      <c r="BQ107" s="21" t="s">
        <v>1739</v>
      </c>
      <c r="BR107" s="21" t="s">
        <v>665</v>
      </c>
      <c r="BT107" s="21" t="s">
        <v>1740</v>
      </c>
      <c r="BU107" s="21" t="s">
        <v>1741</v>
      </c>
      <c r="BV107" s="21" t="s">
        <v>656</v>
      </c>
      <c r="BW107" s="21" t="s">
        <v>668</v>
      </c>
      <c r="BX107" s="21" t="s">
        <v>669</v>
      </c>
      <c r="BY107" s="21" t="s">
        <v>670</v>
      </c>
      <c r="CC107" s="21" t="s">
        <v>656</v>
      </c>
      <c r="CZ107" s="21" t="s">
        <v>712</v>
      </c>
      <c r="DA107" s="21" t="s">
        <v>741</v>
      </c>
      <c r="DB107" s="21" t="s">
        <v>782</v>
      </c>
      <c r="EO107" s="21">
        <v>1981.0</v>
      </c>
      <c r="EP107" s="21">
        <v>1981.0</v>
      </c>
      <c r="EQ107" s="21" t="s">
        <v>674</v>
      </c>
      <c r="ES107" s="21" t="s">
        <v>696</v>
      </c>
      <c r="FB107" s="21" t="s">
        <v>1742</v>
      </c>
      <c r="FC107" s="21" t="s">
        <v>677</v>
      </c>
      <c r="FD107" s="21" t="s">
        <v>656</v>
      </c>
      <c r="FF107" s="21">
        <v>381.0</v>
      </c>
      <c r="FH107" s="21" t="s">
        <v>656</v>
      </c>
      <c r="FI107" s="21" t="s">
        <v>656</v>
      </c>
      <c r="FJ107" s="21" t="s">
        <v>656</v>
      </c>
      <c r="FO107" s="21">
        <v>0.0</v>
      </c>
      <c r="FP107" s="21">
        <v>0.0</v>
      </c>
      <c r="FQ107" s="21">
        <v>194.0</v>
      </c>
      <c r="FR107" s="21">
        <v>0.0</v>
      </c>
      <c r="FS107" s="21">
        <v>305.0</v>
      </c>
      <c r="FT107" s="21">
        <v>20640.0</v>
      </c>
      <c r="FU107" s="21" t="s">
        <v>1743</v>
      </c>
      <c r="FV107" s="21">
        <v>0.68</v>
      </c>
      <c r="FW107" s="21">
        <v>21139.0</v>
      </c>
      <c r="FX107" s="21">
        <v>0.0</v>
      </c>
      <c r="FY107" s="21">
        <v>1.0</v>
      </c>
      <c r="FZ107" s="21">
        <v>0.0</v>
      </c>
      <c r="GA107" s="21">
        <v>0.0</v>
      </c>
      <c r="GB107" s="21" t="s">
        <v>656</v>
      </c>
      <c r="GF107" s="21">
        <v>936.0</v>
      </c>
      <c r="GG107" s="21">
        <v>50000.0</v>
      </c>
      <c r="GH107" s="21">
        <v>1875.0</v>
      </c>
      <c r="GI107" s="21" t="s">
        <v>774</v>
      </c>
      <c r="GK107" s="25">
        <v>29907.0</v>
      </c>
      <c r="GL107" s="21" t="s">
        <v>656</v>
      </c>
      <c r="GM107" s="21" t="s">
        <v>679</v>
      </c>
      <c r="GN107" s="21" t="s">
        <v>656</v>
      </c>
      <c r="GQ107" s="21" t="s">
        <v>656</v>
      </c>
      <c r="GU107" s="21">
        <v>14.0</v>
      </c>
      <c r="GV107" s="21" t="s">
        <v>659</v>
      </c>
      <c r="HD107" s="21" t="s">
        <v>656</v>
      </c>
      <c r="HK107" s="21" t="s">
        <v>721</v>
      </c>
      <c r="HL107" s="21" t="s">
        <v>659</v>
      </c>
      <c r="HM107" s="21" t="s">
        <v>659</v>
      </c>
      <c r="HN107" s="21" t="s">
        <v>659</v>
      </c>
      <c r="HO107" s="21" t="s">
        <v>656</v>
      </c>
      <c r="HP107" s="21" t="s">
        <v>656</v>
      </c>
      <c r="HQ107" s="21" t="s">
        <v>698</v>
      </c>
      <c r="HS107" s="21" t="s">
        <v>699</v>
      </c>
      <c r="HT107" s="21" t="s">
        <v>723</v>
      </c>
      <c r="HU107" s="21" t="s">
        <v>1744</v>
      </c>
      <c r="IH107" s="21" t="s">
        <v>659</v>
      </c>
      <c r="II107" s="21" t="s">
        <v>656</v>
      </c>
      <c r="IJ107" s="21">
        <v>6.0</v>
      </c>
      <c r="IK107" s="21">
        <v>0.0</v>
      </c>
      <c r="IN107" s="21" t="s">
        <v>786</v>
      </c>
      <c r="IO107" s="21" t="s">
        <v>787</v>
      </c>
      <c r="QG107" s="21" t="s">
        <v>787</v>
      </c>
      <c r="QJ107" s="21" t="s">
        <v>1745</v>
      </c>
      <c r="QM107" s="21" t="s">
        <v>659</v>
      </c>
      <c r="QP107" s="21" t="s">
        <v>789</v>
      </c>
      <c r="QQ107" s="21" t="s">
        <v>656</v>
      </c>
      <c r="WK107" s="21" t="s">
        <v>659</v>
      </c>
      <c r="WL107" s="21" t="s">
        <v>1554</v>
      </c>
      <c r="WM107" s="21" t="s">
        <v>1648</v>
      </c>
      <c r="WN107" s="21" t="s">
        <v>1494</v>
      </c>
      <c r="WO107" s="21" t="s">
        <v>1746</v>
      </c>
      <c r="WT107" s="21" t="s">
        <v>1709</v>
      </c>
      <c r="WU107" s="21" t="s">
        <v>1710</v>
      </c>
      <c r="WV107" s="21" t="s">
        <v>1711</v>
      </c>
      <c r="WW107" s="21" t="s">
        <v>1712</v>
      </c>
      <c r="WX107" s="21" t="s">
        <v>1747</v>
      </c>
    </row>
    <row r="108">
      <c r="A108" s="21">
        <v>676.0</v>
      </c>
      <c r="B108" s="22">
        <v>43881.0</v>
      </c>
      <c r="C108" s="21">
        <v>2020.0</v>
      </c>
      <c r="D108" s="21">
        <v>2.0200011E7</v>
      </c>
      <c r="E108" s="21">
        <v>33353.0</v>
      </c>
      <c r="F108" s="21" t="s">
        <v>701</v>
      </c>
      <c r="G108" s="21">
        <v>39193.0</v>
      </c>
      <c r="H108" s="21" t="s">
        <v>1509</v>
      </c>
      <c r="I108" s="21" t="s">
        <v>652</v>
      </c>
      <c r="J108" s="21" t="s">
        <v>653</v>
      </c>
      <c r="K108" s="21" t="s">
        <v>654</v>
      </c>
      <c r="L108" s="21">
        <v>77002.0</v>
      </c>
      <c r="M108" s="23">
        <v>43855.18958333333</v>
      </c>
      <c r="N108" s="21" t="s">
        <v>933</v>
      </c>
      <c r="O108" s="21" t="s">
        <v>656</v>
      </c>
      <c r="P108" s="21">
        <v>41.35779</v>
      </c>
      <c r="Q108" s="21">
        <v>-84.36361</v>
      </c>
      <c r="R108" s="21">
        <v>1269538.0</v>
      </c>
      <c r="S108" s="24">
        <v>43855.4</v>
      </c>
      <c r="T108" s="21">
        <v>1269646.0</v>
      </c>
      <c r="U108" s="21" t="s">
        <v>657</v>
      </c>
      <c r="W108" s="21">
        <v>15620.0</v>
      </c>
      <c r="X108" s="21">
        <v>0.0</v>
      </c>
      <c r="Y108" s="21">
        <v>0.0</v>
      </c>
      <c r="Z108" s="21" t="s">
        <v>656</v>
      </c>
      <c r="AF108" s="21">
        <v>0.0</v>
      </c>
      <c r="AG108" s="21" t="s">
        <v>656</v>
      </c>
      <c r="AM108" s="21">
        <v>0.0</v>
      </c>
      <c r="AN108" s="21" t="s">
        <v>658</v>
      </c>
      <c r="AO108" s="21" t="s">
        <v>656</v>
      </c>
      <c r="AP108" s="21" t="s">
        <v>1748</v>
      </c>
      <c r="AT108" s="21" t="s">
        <v>656</v>
      </c>
      <c r="AW108" s="21" t="s">
        <v>656</v>
      </c>
      <c r="BI108" s="21">
        <v>0.0</v>
      </c>
      <c r="BJ108" s="24">
        <v>43855.18958333333</v>
      </c>
      <c r="BK108" s="24">
        <v>43855.243055555555</v>
      </c>
      <c r="BM108" s="21" t="s">
        <v>662</v>
      </c>
      <c r="BN108" s="21" t="s">
        <v>1511</v>
      </c>
      <c r="BO108" s="21">
        <v>43512.0</v>
      </c>
      <c r="BP108" s="21" t="s">
        <v>1749</v>
      </c>
      <c r="BQ108" s="21" t="s">
        <v>1749</v>
      </c>
      <c r="BR108" s="21" t="s">
        <v>665</v>
      </c>
      <c r="BT108" s="21" t="s">
        <v>1750</v>
      </c>
      <c r="BU108" s="21" t="s">
        <v>1751</v>
      </c>
      <c r="BV108" s="21" t="s">
        <v>656</v>
      </c>
      <c r="BW108" s="21" t="s">
        <v>668</v>
      </c>
      <c r="BX108" s="21" t="s">
        <v>669</v>
      </c>
      <c r="BY108" s="21" t="s">
        <v>670</v>
      </c>
      <c r="CC108" s="21" t="s">
        <v>656</v>
      </c>
      <c r="CZ108" s="21" t="s">
        <v>712</v>
      </c>
      <c r="DA108" s="21" t="s">
        <v>672</v>
      </c>
      <c r="DB108" s="21" t="s">
        <v>756</v>
      </c>
      <c r="EH108" s="21" t="s">
        <v>1432</v>
      </c>
      <c r="EO108" s="21">
        <v>2017.0</v>
      </c>
      <c r="EP108" s="21">
        <v>2015.0</v>
      </c>
      <c r="EQ108" s="21" t="s">
        <v>674</v>
      </c>
      <c r="ES108" s="21" t="s">
        <v>675</v>
      </c>
      <c r="EV108" s="21" t="s">
        <v>1083</v>
      </c>
      <c r="FC108" s="21" t="s">
        <v>677</v>
      </c>
      <c r="FD108" s="21" t="s">
        <v>656</v>
      </c>
      <c r="FF108" s="21">
        <v>107.0</v>
      </c>
      <c r="FH108" s="21" t="s">
        <v>656</v>
      </c>
      <c r="FI108" s="21" t="s">
        <v>656</v>
      </c>
      <c r="FO108" s="21">
        <v>0.0</v>
      </c>
      <c r="FP108" s="21">
        <v>27491.0</v>
      </c>
      <c r="FQ108" s="21">
        <v>0.0</v>
      </c>
      <c r="FR108" s="21">
        <v>1874.0</v>
      </c>
      <c r="FS108" s="21">
        <v>240.0</v>
      </c>
      <c r="FT108" s="21">
        <v>0.0</v>
      </c>
      <c r="FV108" s="21">
        <v>1.76</v>
      </c>
      <c r="FW108" s="21">
        <v>29605.0</v>
      </c>
      <c r="FX108" s="21">
        <v>0.0</v>
      </c>
      <c r="FY108" s="21">
        <v>0.0</v>
      </c>
      <c r="FZ108" s="21">
        <v>0.0</v>
      </c>
      <c r="GA108" s="21">
        <v>0.0</v>
      </c>
      <c r="GB108" s="21" t="s">
        <v>656</v>
      </c>
      <c r="GF108" s="21">
        <v>1172.0</v>
      </c>
      <c r="GG108" s="21">
        <v>264.0</v>
      </c>
      <c r="GH108" s="21">
        <v>1500.0</v>
      </c>
      <c r="GI108" s="21" t="s">
        <v>719</v>
      </c>
      <c r="GK108" s="25">
        <v>43013.0</v>
      </c>
      <c r="GL108" s="21" t="s">
        <v>656</v>
      </c>
      <c r="GM108" s="21" t="s">
        <v>679</v>
      </c>
      <c r="GN108" s="21" t="s">
        <v>656</v>
      </c>
      <c r="GQ108" s="21" t="s">
        <v>656</v>
      </c>
      <c r="GU108" s="21">
        <v>60.0</v>
      </c>
      <c r="GV108" s="21" t="s">
        <v>659</v>
      </c>
      <c r="HD108" s="21" t="s">
        <v>656</v>
      </c>
      <c r="HK108" s="21" t="s">
        <v>721</v>
      </c>
      <c r="HL108" s="21" t="s">
        <v>659</v>
      </c>
      <c r="HM108" s="21" t="s">
        <v>659</v>
      </c>
      <c r="HN108" s="21" t="s">
        <v>659</v>
      </c>
      <c r="HO108" s="21" t="s">
        <v>656</v>
      </c>
      <c r="HP108" s="21" t="s">
        <v>656</v>
      </c>
      <c r="HQ108" s="21" t="s">
        <v>806</v>
      </c>
      <c r="HT108" s="21" t="s">
        <v>760</v>
      </c>
      <c r="HV108" s="21" t="s">
        <v>659</v>
      </c>
      <c r="HY108" s="21" t="s">
        <v>659</v>
      </c>
      <c r="HZ108" s="21" t="s">
        <v>659</v>
      </c>
      <c r="IH108" s="21" t="s">
        <v>656</v>
      </c>
      <c r="II108" s="21" t="s">
        <v>656</v>
      </c>
      <c r="IN108" s="21" t="s">
        <v>761</v>
      </c>
      <c r="IO108" s="21" t="s">
        <v>1085</v>
      </c>
      <c r="OU108" s="21" t="s">
        <v>1085</v>
      </c>
      <c r="PK108" s="21" t="s">
        <v>1086</v>
      </c>
      <c r="PU108" s="21" t="s">
        <v>659</v>
      </c>
      <c r="WL108" s="21" t="s">
        <v>1752</v>
      </c>
      <c r="WM108" s="21" t="s">
        <v>1753</v>
      </c>
      <c r="WN108" s="21" t="s">
        <v>1754</v>
      </c>
      <c r="WO108" s="21">
        <v>7.138575479E9</v>
      </c>
      <c r="WT108" s="21" t="s">
        <v>1752</v>
      </c>
      <c r="WU108" s="21" t="s">
        <v>1753</v>
      </c>
      <c r="WV108" s="21">
        <v>7.138575479E9</v>
      </c>
      <c r="WW108" s="21" t="s">
        <v>1754</v>
      </c>
      <c r="WX108" s="21" t="s">
        <v>1755</v>
      </c>
    </row>
    <row r="109">
      <c r="A109" s="21">
        <v>679.0</v>
      </c>
      <c r="B109" s="22">
        <v>43879.0</v>
      </c>
      <c r="C109" s="21">
        <v>2020.0</v>
      </c>
      <c r="D109" s="21">
        <v>2.020001E7</v>
      </c>
      <c r="E109" s="21">
        <v>33373.0</v>
      </c>
      <c r="F109" s="21" t="s">
        <v>778</v>
      </c>
      <c r="G109" s="21">
        <v>15105.0</v>
      </c>
      <c r="H109" s="21" t="s">
        <v>794</v>
      </c>
      <c r="I109" s="21" t="s">
        <v>652</v>
      </c>
      <c r="J109" s="21" t="s">
        <v>653</v>
      </c>
      <c r="K109" s="21" t="s">
        <v>654</v>
      </c>
      <c r="L109" s="21">
        <v>77002.0</v>
      </c>
      <c r="M109" s="23">
        <v>43849.26458333333</v>
      </c>
      <c r="N109" s="21" t="s">
        <v>655</v>
      </c>
      <c r="O109" s="21" t="s">
        <v>656</v>
      </c>
      <c r="P109" s="21">
        <v>38.84478</v>
      </c>
      <c r="Q109" s="21">
        <v>-93.3656</v>
      </c>
      <c r="R109" s="21">
        <v>1269064.0</v>
      </c>
      <c r="S109" s="24">
        <v>43849.490277777775</v>
      </c>
      <c r="T109" s="21">
        <v>1269170.0</v>
      </c>
      <c r="U109" s="21" t="s">
        <v>657</v>
      </c>
      <c r="W109" s="21">
        <v>25882.0</v>
      </c>
      <c r="X109" s="21">
        <v>0.0</v>
      </c>
      <c r="Y109" s="21">
        <v>0.0</v>
      </c>
      <c r="Z109" s="21" t="s">
        <v>656</v>
      </c>
      <c r="AF109" s="21">
        <v>0.0</v>
      </c>
      <c r="AG109" s="21" t="s">
        <v>656</v>
      </c>
      <c r="AM109" s="21">
        <v>0.0</v>
      </c>
      <c r="AN109" s="21" t="s">
        <v>658</v>
      </c>
      <c r="AO109" s="21" t="s">
        <v>656</v>
      </c>
      <c r="AP109" s="21" t="s">
        <v>1756</v>
      </c>
      <c r="AT109" s="21" t="s">
        <v>656</v>
      </c>
      <c r="AW109" s="21" t="s">
        <v>656</v>
      </c>
      <c r="BI109" s="21">
        <v>0.0</v>
      </c>
      <c r="BJ109" s="24">
        <v>43849.26458333333</v>
      </c>
      <c r="BK109" s="24">
        <v>43849.291666666664</v>
      </c>
      <c r="BM109" s="21" t="s">
        <v>662</v>
      </c>
      <c r="BN109" s="21" t="s">
        <v>795</v>
      </c>
      <c r="BO109" s="21">
        <v>65337.0</v>
      </c>
      <c r="BP109" s="21" t="s">
        <v>1757</v>
      </c>
      <c r="BQ109" s="21" t="s">
        <v>1758</v>
      </c>
      <c r="BR109" s="21" t="s">
        <v>735</v>
      </c>
      <c r="BS109" s="21" t="s">
        <v>1185</v>
      </c>
      <c r="BT109" s="21" t="s">
        <v>1759</v>
      </c>
      <c r="BU109" s="21" t="s">
        <v>1760</v>
      </c>
      <c r="BV109" s="21" t="s">
        <v>656</v>
      </c>
      <c r="BW109" s="21" t="s">
        <v>668</v>
      </c>
      <c r="BX109" s="21" t="s">
        <v>669</v>
      </c>
      <c r="BY109" s="21" t="s">
        <v>670</v>
      </c>
      <c r="CC109" s="21" t="s">
        <v>656</v>
      </c>
      <c r="CZ109" s="21" t="s">
        <v>712</v>
      </c>
      <c r="DA109" s="21" t="s">
        <v>672</v>
      </c>
      <c r="DB109" s="21" t="s">
        <v>756</v>
      </c>
      <c r="EH109" s="21" t="s">
        <v>1432</v>
      </c>
      <c r="EO109" s="21">
        <v>2016.0</v>
      </c>
      <c r="EP109" s="21" t="s">
        <v>684</v>
      </c>
      <c r="EQ109" s="21" t="s">
        <v>674</v>
      </c>
      <c r="ES109" s="21" t="s">
        <v>675</v>
      </c>
      <c r="EV109" s="21" t="s">
        <v>696</v>
      </c>
      <c r="EW109" s="21" t="s">
        <v>1432</v>
      </c>
      <c r="FC109" s="21" t="s">
        <v>677</v>
      </c>
      <c r="FD109" s="21" t="s">
        <v>656</v>
      </c>
      <c r="FF109" s="21">
        <v>137.0</v>
      </c>
      <c r="FH109" s="21" t="s">
        <v>656</v>
      </c>
      <c r="FI109" s="21" t="s">
        <v>656</v>
      </c>
      <c r="FO109" s="21">
        <v>0.0</v>
      </c>
      <c r="FP109" s="21">
        <v>48658.0</v>
      </c>
      <c r="FQ109" s="21">
        <v>0.0</v>
      </c>
      <c r="FR109" s="21">
        <v>1465.0</v>
      </c>
      <c r="FS109" s="21">
        <v>497.0</v>
      </c>
      <c r="FT109" s="21">
        <v>0.0</v>
      </c>
      <c r="FV109" s="21">
        <v>1.88</v>
      </c>
      <c r="FW109" s="21">
        <v>50620.0</v>
      </c>
      <c r="FX109" s="21">
        <v>0.0</v>
      </c>
      <c r="FY109" s="21">
        <v>0.0</v>
      </c>
      <c r="FZ109" s="21">
        <v>0.0</v>
      </c>
      <c r="GA109" s="21">
        <v>0.0</v>
      </c>
      <c r="GB109" s="21" t="s">
        <v>656</v>
      </c>
      <c r="GF109" s="21">
        <v>815.0</v>
      </c>
      <c r="GG109" s="21">
        <v>220.0</v>
      </c>
      <c r="GH109" s="21">
        <v>898.0</v>
      </c>
      <c r="GI109" s="21" t="s">
        <v>719</v>
      </c>
      <c r="GK109" s="25">
        <v>23743.0</v>
      </c>
      <c r="GL109" s="21" t="s">
        <v>656</v>
      </c>
      <c r="GM109" s="21" t="s">
        <v>679</v>
      </c>
      <c r="GN109" s="21" t="s">
        <v>656</v>
      </c>
      <c r="GQ109" s="21" t="s">
        <v>656</v>
      </c>
      <c r="GV109" s="21" t="s">
        <v>656</v>
      </c>
      <c r="HB109" s="21" t="s">
        <v>659</v>
      </c>
      <c r="HC109" s="21" t="s">
        <v>1761</v>
      </c>
      <c r="HD109" s="21" t="s">
        <v>659</v>
      </c>
      <c r="HI109" s="21" t="s">
        <v>659</v>
      </c>
      <c r="HJ109" s="21" t="s">
        <v>1761</v>
      </c>
      <c r="HK109" s="21" t="s">
        <v>721</v>
      </c>
      <c r="HL109" s="21" t="s">
        <v>659</v>
      </c>
      <c r="HM109" s="21" t="s">
        <v>659</v>
      </c>
      <c r="HN109" s="21" t="s">
        <v>659</v>
      </c>
      <c r="HO109" s="21" t="s">
        <v>659</v>
      </c>
      <c r="HP109" s="21" t="s">
        <v>656</v>
      </c>
      <c r="HQ109" s="21" t="s">
        <v>1113</v>
      </c>
      <c r="HS109" s="21" t="s">
        <v>699</v>
      </c>
      <c r="HT109" s="21" t="s">
        <v>760</v>
      </c>
      <c r="HY109" s="21" t="s">
        <v>659</v>
      </c>
      <c r="HZ109" s="21" t="s">
        <v>659</v>
      </c>
      <c r="IH109" s="21" t="s">
        <v>656</v>
      </c>
      <c r="II109" s="21" t="s">
        <v>656</v>
      </c>
      <c r="IN109" s="21" t="s">
        <v>761</v>
      </c>
      <c r="IO109" s="21" t="s">
        <v>762</v>
      </c>
      <c r="OU109" s="21" t="s">
        <v>762</v>
      </c>
      <c r="PG109" s="21" t="s">
        <v>659</v>
      </c>
      <c r="PH109" s="21" t="s">
        <v>1762</v>
      </c>
      <c r="QE109" s="21" t="s">
        <v>659</v>
      </c>
      <c r="QF109" s="21" t="s">
        <v>1763</v>
      </c>
      <c r="WL109" s="21" t="s">
        <v>1752</v>
      </c>
      <c r="WM109" s="21" t="s">
        <v>1753</v>
      </c>
      <c r="WN109" s="21" t="s">
        <v>1754</v>
      </c>
      <c r="WO109" s="21" t="s">
        <v>1764</v>
      </c>
      <c r="WT109" s="21" t="s">
        <v>1752</v>
      </c>
      <c r="WU109" s="21" t="s">
        <v>1753</v>
      </c>
      <c r="WV109" s="21" t="s">
        <v>1764</v>
      </c>
      <c r="WW109" s="21" t="s">
        <v>1754</v>
      </c>
      <c r="WX109" s="21" t="s">
        <v>1765</v>
      </c>
    </row>
    <row r="110">
      <c r="A110" s="21">
        <v>681.0</v>
      </c>
      <c r="B110" s="22">
        <v>43864.0</v>
      </c>
      <c r="C110" s="21">
        <v>2020.0</v>
      </c>
      <c r="D110" s="21">
        <v>2.0200008E7</v>
      </c>
      <c r="E110" s="21">
        <v>33339.0</v>
      </c>
      <c r="F110" s="21" t="s">
        <v>778</v>
      </c>
      <c r="G110" s="21">
        <v>32166.0</v>
      </c>
      <c r="H110" s="21" t="s">
        <v>1766</v>
      </c>
      <c r="I110" s="21" t="s">
        <v>652</v>
      </c>
      <c r="J110" s="21" t="s">
        <v>653</v>
      </c>
      <c r="K110" s="21" t="s">
        <v>654</v>
      </c>
      <c r="L110" s="21">
        <v>77002.0</v>
      </c>
      <c r="M110" s="23">
        <v>43838.48611111111</v>
      </c>
      <c r="N110" s="21" t="s">
        <v>655</v>
      </c>
      <c r="O110" s="21" t="s">
        <v>656</v>
      </c>
      <c r="P110" s="21">
        <v>36.658025</v>
      </c>
      <c r="Q110" s="21">
        <v>-98.752932</v>
      </c>
      <c r="R110" s="21">
        <v>1268323.0</v>
      </c>
      <c r="S110" s="24">
        <v>43839.7125</v>
      </c>
      <c r="T110" s="21">
        <v>1268361.0</v>
      </c>
      <c r="U110" s="21" t="s">
        <v>657</v>
      </c>
      <c r="W110" s="21">
        <v>1078.0</v>
      </c>
      <c r="X110" s="21">
        <v>1004.0</v>
      </c>
      <c r="Y110" s="21">
        <v>0.0</v>
      </c>
      <c r="Z110" s="21" t="s">
        <v>656</v>
      </c>
      <c r="AF110" s="21">
        <v>0.0</v>
      </c>
      <c r="AG110" s="21" t="s">
        <v>656</v>
      </c>
      <c r="AM110" s="21">
        <v>0.0</v>
      </c>
      <c r="AN110" s="21" t="s">
        <v>658</v>
      </c>
      <c r="AO110" s="21" t="s">
        <v>659</v>
      </c>
      <c r="AQ110" s="24">
        <v>43838.48611111111</v>
      </c>
      <c r="AR110" s="24">
        <v>43844.73472222222</v>
      </c>
      <c r="AT110" s="21" t="s">
        <v>656</v>
      </c>
      <c r="AW110" s="21" t="s">
        <v>656</v>
      </c>
      <c r="BC110" s="21" t="s">
        <v>704</v>
      </c>
      <c r="BE110" s="24">
        <v>43838.48611111111</v>
      </c>
      <c r="BF110" s="21" t="s">
        <v>704</v>
      </c>
      <c r="BH110" s="24">
        <v>43838.48611111111</v>
      </c>
      <c r="BI110" s="21">
        <v>0.0</v>
      </c>
      <c r="BJ110" s="24">
        <v>43838.48611111111</v>
      </c>
      <c r="BK110" s="24">
        <v>43838.48611111111</v>
      </c>
      <c r="BM110" s="21" t="s">
        <v>662</v>
      </c>
      <c r="BN110" s="21" t="s">
        <v>860</v>
      </c>
      <c r="BO110" s="21">
        <v>73746.0</v>
      </c>
      <c r="BP110" s="21" t="s">
        <v>1767</v>
      </c>
      <c r="BQ110" s="21" t="s">
        <v>1768</v>
      </c>
      <c r="BR110" s="21" t="s">
        <v>735</v>
      </c>
      <c r="BS110" s="21" t="s">
        <v>1769</v>
      </c>
      <c r="BT110" s="21" t="s">
        <v>1770</v>
      </c>
      <c r="BU110" s="21" t="s">
        <v>1771</v>
      </c>
      <c r="BV110" s="21" t="s">
        <v>656</v>
      </c>
      <c r="BW110" s="21" t="s">
        <v>738</v>
      </c>
      <c r="BX110" s="21" t="s">
        <v>739</v>
      </c>
      <c r="BY110" s="21" t="s">
        <v>740</v>
      </c>
      <c r="CA110" s="21">
        <v>60.0</v>
      </c>
      <c r="CB110" s="21" t="s">
        <v>656</v>
      </c>
      <c r="CC110" s="21" t="s">
        <v>656</v>
      </c>
      <c r="CZ110" s="21" t="s">
        <v>671</v>
      </c>
      <c r="DA110" s="21" t="s">
        <v>741</v>
      </c>
      <c r="DB110" s="21" t="s">
        <v>714</v>
      </c>
      <c r="DC110" s="21" t="s">
        <v>769</v>
      </c>
      <c r="DD110" s="21">
        <v>16.0</v>
      </c>
      <c r="DF110" s="21">
        <v>0.25</v>
      </c>
      <c r="DG110" s="21">
        <v>65000.0</v>
      </c>
      <c r="DH110" s="21" t="s">
        <v>1102</v>
      </c>
      <c r="DI110" s="21" t="s">
        <v>771</v>
      </c>
      <c r="DK110" s="21" t="s">
        <v>1772</v>
      </c>
      <c r="DL110" s="21" t="s">
        <v>824</v>
      </c>
      <c r="DN110" s="21" t="s">
        <v>659</v>
      </c>
      <c r="EO110" s="21">
        <v>2014.0</v>
      </c>
      <c r="EP110" s="21">
        <v>2014.0</v>
      </c>
      <c r="EQ110" s="21" t="s">
        <v>674</v>
      </c>
      <c r="ES110" s="21" t="s">
        <v>675</v>
      </c>
      <c r="EV110" s="21" t="s">
        <v>718</v>
      </c>
      <c r="FC110" s="21" t="s">
        <v>677</v>
      </c>
      <c r="FD110" s="21" t="s">
        <v>656</v>
      </c>
      <c r="FF110" s="21">
        <v>385.0</v>
      </c>
      <c r="FH110" s="21" t="s">
        <v>656</v>
      </c>
      <c r="FI110" s="21" t="s">
        <v>656</v>
      </c>
      <c r="FO110" s="21">
        <v>5000.0</v>
      </c>
      <c r="FP110" s="21">
        <v>2307.0</v>
      </c>
      <c r="FQ110" s="21">
        <v>2149.0</v>
      </c>
      <c r="FR110" s="21">
        <v>53650.0</v>
      </c>
      <c r="FS110" s="21">
        <v>0.0</v>
      </c>
      <c r="FT110" s="21">
        <v>0.0</v>
      </c>
      <c r="FV110" s="21">
        <v>2.14</v>
      </c>
      <c r="FW110" s="21">
        <v>63106.0</v>
      </c>
      <c r="FX110" s="21">
        <v>0.0</v>
      </c>
      <c r="FY110" s="21">
        <v>0.0</v>
      </c>
      <c r="FZ110" s="21">
        <v>0.0</v>
      </c>
      <c r="GA110" s="21">
        <v>0.0</v>
      </c>
      <c r="GB110" s="21" t="s">
        <v>656</v>
      </c>
      <c r="GF110" s="21">
        <v>880.0</v>
      </c>
      <c r="GG110" s="21">
        <v>0.0</v>
      </c>
      <c r="GH110" s="21">
        <v>1216.0</v>
      </c>
      <c r="GI110" s="21" t="s">
        <v>719</v>
      </c>
      <c r="GK110" s="25">
        <v>41796.0</v>
      </c>
      <c r="GL110" s="21" t="s">
        <v>656</v>
      </c>
      <c r="GM110" s="21" t="s">
        <v>679</v>
      </c>
      <c r="GN110" s="21" t="s">
        <v>656</v>
      </c>
      <c r="GQ110" s="21" t="s">
        <v>656</v>
      </c>
      <c r="GS110" s="21" t="s">
        <v>720</v>
      </c>
      <c r="GT110" s="21" t="s">
        <v>720</v>
      </c>
      <c r="GU110" s="21">
        <v>11035.0</v>
      </c>
      <c r="GV110" s="21" t="s">
        <v>659</v>
      </c>
      <c r="HD110" s="21" t="s">
        <v>656</v>
      </c>
      <c r="HK110" s="21" t="s">
        <v>721</v>
      </c>
      <c r="HL110" s="21" t="s">
        <v>656</v>
      </c>
      <c r="HQ110" s="21" t="s">
        <v>1127</v>
      </c>
      <c r="HS110" s="21" t="s">
        <v>699</v>
      </c>
      <c r="HT110" s="21" t="s">
        <v>682</v>
      </c>
      <c r="IH110" s="21" t="s">
        <v>656</v>
      </c>
      <c r="II110" s="21" t="s">
        <v>656</v>
      </c>
      <c r="IN110" s="21" t="s">
        <v>808</v>
      </c>
      <c r="IO110" s="21" t="s">
        <v>1773</v>
      </c>
      <c r="NS110" s="21" t="s">
        <v>1773</v>
      </c>
      <c r="NT110" s="21" t="s">
        <v>659</v>
      </c>
      <c r="NU110" s="21" t="s">
        <v>659</v>
      </c>
      <c r="OC110" s="21" t="s">
        <v>659</v>
      </c>
      <c r="OD110" s="21" t="s">
        <v>1774</v>
      </c>
      <c r="OR110" s="21" t="s">
        <v>659</v>
      </c>
      <c r="OS110" s="21" t="s">
        <v>1774</v>
      </c>
      <c r="OT110" s="21" t="s">
        <v>684</v>
      </c>
      <c r="QW110" s="21" t="s">
        <v>656</v>
      </c>
      <c r="TI110" s="21" t="s">
        <v>656</v>
      </c>
      <c r="TL110" s="21" t="s">
        <v>656</v>
      </c>
      <c r="TZ110" s="21" t="s">
        <v>656</v>
      </c>
      <c r="VS110" s="21" t="s">
        <v>659</v>
      </c>
      <c r="WL110" s="21" t="s">
        <v>746</v>
      </c>
      <c r="WM110" s="21" t="s">
        <v>1169</v>
      </c>
      <c r="WN110" s="21" t="s">
        <v>748</v>
      </c>
      <c r="WO110" s="21">
        <v>7.138984464E9</v>
      </c>
      <c r="WT110" s="21" t="s">
        <v>1193</v>
      </c>
      <c r="WU110" s="21" t="s">
        <v>1775</v>
      </c>
      <c r="WV110" s="21">
        <v>7.139897077E9</v>
      </c>
      <c r="WW110" s="21" t="s">
        <v>1196</v>
      </c>
      <c r="WX110" s="21" t="s">
        <v>1776</v>
      </c>
    </row>
    <row r="111">
      <c r="A111" s="21">
        <v>686.0</v>
      </c>
      <c r="B111" s="22">
        <v>43839.0</v>
      </c>
      <c r="C111" s="21">
        <v>2019.0</v>
      </c>
      <c r="D111" s="21">
        <v>2.0200004E7</v>
      </c>
      <c r="E111" s="21">
        <v>33431.0</v>
      </c>
      <c r="F111" s="21" t="s">
        <v>778</v>
      </c>
      <c r="G111" s="21">
        <v>32099.0</v>
      </c>
      <c r="H111" s="21" t="s">
        <v>651</v>
      </c>
      <c r="I111" s="21" t="s">
        <v>652</v>
      </c>
      <c r="J111" s="21" t="s">
        <v>653</v>
      </c>
      <c r="K111" s="21" t="s">
        <v>654</v>
      </c>
      <c r="L111" s="21">
        <v>77002.0</v>
      </c>
      <c r="M111" s="23">
        <v>43816.67013888889</v>
      </c>
      <c r="N111" s="21" t="s">
        <v>655</v>
      </c>
      <c r="O111" s="21" t="s">
        <v>656</v>
      </c>
      <c r="P111" s="21">
        <v>27.25611</v>
      </c>
      <c r="Q111" s="21">
        <v>-98.90028</v>
      </c>
      <c r="R111" s="21">
        <v>1266709.0</v>
      </c>
      <c r="S111" s="24">
        <v>43816.89027777778</v>
      </c>
      <c r="T111" s="21">
        <v>1266770.0</v>
      </c>
      <c r="U111" s="21" t="s">
        <v>657</v>
      </c>
      <c r="W111" s="21">
        <v>6156.0</v>
      </c>
      <c r="X111" s="21">
        <v>0.0</v>
      </c>
      <c r="Y111" s="21">
        <v>0.0</v>
      </c>
      <c r="Z111" s="21" t="s">
        <v>656</v>
      </c>
      <c r="AF111" s="21">
        <v>0.0</v>
      </c>
      <c r="AG111" s="21" t="s">
        <v>656</v>
      </c>
      <c r="AM111" s="21">
        <v>0.0</v>
      </c>
      <c r="AN111" s="21" t="s">
        <v>658</v>
      </c>
      <c r="AO111" s="21" t="s">
        <v>659</v>
      </c>
      <c r="AQ111" s="24">
        <v>43816.67013888889</v>
      </c>
      <c r="AR111" s="24">
        <v>43816.694444444445</v>
      </c>
      <c r="AT111" s="21" t="s">
        <v>656</v>
      </c>
      <c r="AW111" s="21" t="s">
        <v>656</v>
      </c>
      <c r="BI111" s="21">
        <v>0.0</v>
      </c>
      <c r="BJ111" s="24">
        <v>43816.694444444445</v>
      </c>
      <c r="BK111" s="24">
        <v>43816.694444444445</v>
      </c>
      <c r="BM111" s="21" t="s">
        <v>662</v>
      </c>
      <c r="BN111" s="21" t="s">
        <v>654</v>
      </c>
      <c r="BO111" s="21">
        <v>78361.0</v>
      </c>
      <c r="BP111" s="21" t="s">
        <v>663</v>
      </c>
      <c r="BQ111" s="21" t="s">
        <v>1777</v>
      </c>
      <c r="BR111" s="21" t="s">
        <v>892</v>
      </c>
      <c r="BS111" s="21" t="s">
        <v>1778</v>
      </c>
      <c r="BT111" s="21" t="s">
        <v>1779</v>
      </c>
      <c r="BU111" s="21">
        <v>3017.0</v>
      </c>
      <c r="BV111" s="21" t="s">
        <v>656</v>
      </c>
      <c r="BW111" s="21" t="s">
        <v>668</v>
      </c>
      <c r="BX111" s="21" t="s">
        <v>669</v>
      </c>
      <c r="BY111" s="21" t="s">
        <v>670</v>
      </c>
      <c r="CC111" s="21" t="s">
        <v>656</v>
      </c>
      <c r="CZ111" s="21" t="s">
        <v>671</v>
      </c>
      <c r="DA111" s="21" t="s">
        <v>672</v>
      </c>
      <c r="DB111" s="21" t="s">
        <v>756</v>
      </c>
      <c r="EH111" s="21" t="s">
        <v>1432</v>
      </c>
      <c r="EO111" s="21">
        <v>2007.0</v>
      </c>
      <c r="EP111" s="21" t="s">
        <v>684</v>
      </c>
      <c r="EQ111" s="21" t="s">
        <v>1081</v>
      </c>
      <c r="ER111" s="21" t="s">
        <v>1365</v>
      </c>
      <c r="ES111" s="21" t="s">
        <v>675</v>
      </c>
      <c r="EV111" s="21" t="s">
        <v>676</v>
      </c>
      <c r="FC111" s="21" t="s">
        <v>677</v>
      </c>
      <c r="FD111" s="21" t="s">
        <v>656</v>
      </c>
      <c r="FF111" s="21">
        <v>581.0</v>
      </c>
      <c r="FH111" s="21" t="s">
        <v>656</v>
      </c>
      <c r="FI111" s="21" t="s">
        <v>656</v>
      </c>
      <c r="FO111" s="21">
        <v>0.0</v>
      </c>
      <c r="FP111" s="21">
        <v>14159.0</v>
      </c>
      <c r="FQ111" s="21">
        <v>0.0</v>
      </c>
      <c r="FR111" s="21">
        <v>1400.0</v>
      </c>
      <c r="FS111" s="21">
        <v>0.0</v>
      </c>
      <c r="FT111" s="21">
        <v>0.0</v>
      </c>
      <c r="FV111" s="21">
        <v>2.3</v>
      </c>
      <c r="FW111" s="21">
        <v>15559.0</v>
      </c>
      <c r="FX111" s="21">
        <v>0.0</v>
      </c>
      <c r="FY111" s="21">
        <v>0.0</v>
      </c>
      <c r="FZ111" s="21">
        <v>0.0</v>
      </c>
      <c r="GA111" s="21">
        <v>0.0</v>
      </c>
      <c r="GB111" s="21" t="s">
        <v>656</v>
      </c>
      <c r="GF111" s="21">
        <v>674.24</v>
      </c>
      <c r="GG111" s="21">
        <v>0.0</v>
      </c>
      <c r="GH111" s="21">
        <v>1100.0</v>
      </c>
      <c r="GI111" s="21" t="s">
        <v>719</v>
      </c>
      <c r="GK111" s="25">
        <v>33546.0</v>
      </c>
      <c r="GL111" s="21" t="s">
        <v>656</v>
      </c>
      <c r="GM111" s="21" t="s">
        <v>679</v>
      </c>
      <c r="GN111" s="21" t="s">
        <v>656</v>
      </c>
      <c r="GQ111" s="21" t="s">
        <v>656</v>
      </c>
      <c r="GU111" s="21">
        <v>1.0</v>
      </c>
      <c r="GV111" s="21" t="s">
        <v>659</v>
      </c>
      <c r="HD111" s="21" t="s">
        <v>656</v>
      </c>
      <c r="HK111" s="21" t="s">
        <v>721</v>
      </c>
      <c r="HL111" s="21" t="s">
        <v>659</v>
      </c>
      <c r="HM111" s="21" t="s">
        <v>659</v>
      </c>
      <c r="HN111" s="21" t="s">
        <v>659</v>
      </c>
      <c r="HO111" s="21" t="s">
        <v>659</v>
      </c>
      <c r="HP111" s="21" t="s">
        <v>656</v>
      </c>
      <c r="HQ111" s="21" t="s">
        <v>681</v>
      </c>
      <c r="HT111" s="21" t="s">
        <v>723</v>
      </c>
      <c r="HU111" s="21" t="s">
        <v>1780</v>
      </c>
      <c r="IH111" s="21" t="s">
        <v>656</v>
      </c>
      <c r="II111" s="21" t="s">
        <v>656</v>
      </c>
      <c r="IN111" s="21" t="s">
        <v>761</v>
      </c>
      <c r="IO111" s="21" t="s">
        <v>762</v>
      </c>
      <c r="OU111" s="21" t="s">
        <v>762</v>
      </c>
      <c r="PB111" s="21" t="s">
        <v>659</v>
      </c>
      <c r="PZ111" s="21" t="s">
        <v>659</v>
      </c>
      <c r="WL111" s="21" t="s">
        <v>1116</v>
      </c>
      <c r="WM111" s="21" t="s">
        <v>1724</v>
      </c>
      <c r="WN111" s="21" t="s">
        <v>748</v>
      </c>
      <c r="WO111" s="21" t="s">
        <v>1205</v>
      </c>
      <c r="WT111" s="21" t="s">
        <v>1193</v>
      </c>
      <c r="WU111" s="21" t="s">
        <v>1725</v>
      </c>
      <c r="WV111" s="21" t="s">
        <v>1195</v>
      </c>
      <c r="WW111" s="21" t="s">
        <v>1196</v>
      </c>
      <c r="WX111" s="21" t="s">
        <v>1781</v>
      </c>
    </row>
    <row r="112">
      <c r="A112" s="21">
        <v>699.0</v>
      </c>
      <c r="B112" s="22">
        <v>43804.0</v>
      </c>
      <c r="C112" s="21">
        <v>2019.0</v>
      </c>
      <c r="D112" s="21">
        <v>2.0190126E7</v>
      </c>
      <c r="E112" s="21">
        <v>33025.0</v>
      </c>
      <c r="F112" s="21" t="s">
        <v>701</v>
      </c>
      <c r="G112" s="21">
        <v>5304.0</v>
      </c>
      <c r="H112" s="21" t="s">
        <v>932</v>
      </c>
      <c r="I112" s="21" t="s">
        <v>652</v>
      </c>
      <c r="J112" s="21" t="s">
        <v>653</v>
      </c>
      <c r="K112" s="21" t="s">
        <v>654</v>
      </c>
      <c r="L112" s="21">
        <v>77002.0</v>
      </c>
      <c r="M112" s="23">
        <v>43776.90833333333</v>
      </c>
      <c r="P112" s="21">
        <v>28.521042</v>
      </c>
      <c r="Q112" s="21">
        <v>-81.488926</v>
      </c>
      <c r="R112" s="21">
        <v>1263440.0</v>
      </c>
      <c r="S112" s="24">
        <v>43777.43402777778</v>
      </c>
      <c r="U112" s="21" t="s">
        <v>657</v>
      </c>
      <c r="W112" s="21">
        <v>3900.0</v>
      </c>
      <c r="X112" s="21">
        <v>0.0</v>
      </c>
      <c r="Y112" s="21">
        <v>0.0</v>
      </c>
      <c r="Z112" s="21" t="s">
        <v>656</v>
      </c>
      <c r="AF112" s="21">
        <v>0.0</v>
      </c>
      <c r="AG112" s="21" t="s">
        <v>656</v>
      </c>
      <c r="AM112" s="21">
        <v>0.0</v>
      </c>
      <c r="AO112" s="21" t="s">
        <v>656</v>
      </c>
      <c r="AP112" s="21" t="s">
        <v>1782</v>
      </c>
      <c r="AW112" s="21" t="s">
        <v>656</v>
      </c>
      <c r="BB112" s="21" t="s">
        <v>656</v>
      </c>
      <c r="BI112" s="21">
        <v>0.0</v>
      </c>
      <c r="BJ112" s="24">
        <v>43776.90833333333</v>
      </c>
      <c r="BK112" s="24">
        <v>43776.94652777778</v>
      </c>
      <c r="BM112" s="21" t="s">
        <v>662</v>
      </c>
      <c r="BN112" s="21" t="s">
        <v>934</v>
      </c>
      <c r="BO112" s="21">
        <v>32835.0</v>
      </c>
      <c r="BP112" s="21" t="s">
        <v>1783</v>
      </c>
      <c r="BQ112" s="21" t="s">
        <v>1784</v>
      </c>
      <c r="BR112" s="21" t="s">
        <v>892</v>
      </c>
      <c r="BS112" s="21">
        <v>668.8</v>
      </c>
      <c r="BT112" s="21" t="s">
        <v>1785</v>
      </c>
      <c r="BU112" s="21" t="s">
        <v>1786</v>
      </c>
      <c r="BV112" s="21" t="s">
        <v>656</v>
      </c>
      <c r="BW112" s="21" t="s">
        <v>668</v>
      </c>
      <c r="BX112" s="21" t="s">
        <v>669</v>
      </c>
      <c r="BY112" s="21" t="s">
        <v>670</v>
      </c>
      <c r="CC112" s="21" t="s">
        <v>656</v>
      </c>
      <c r="CZ112" s="21" t="s">
        <v>712</v>
      </c>
      <c r="DA112" s="21" t="s">
        <v>672</v>
      </c>
      <c r="DB112" s="21" t="s">
        <v>756</v>
      </c>
      <c r="EH112" s="21" t="s">
        <v>939</v>
      </c>
      <c r="EO112" s="21">
        <v>2003.0</v>
      </c>
      <c r="EQ112" s="21" t="s">
        <v>674</v>
      </c>
      <c r="ES112" s="21" t="s">
        <v>696</v>
      </c>
      <c r="FB112" s="21" t="s">
        <v>1787</v>
      </c>
      <c r="FC112" s="21" t="s">
        <v>1256</v>
      </c>
      <c r="FD112" s="21" t="s">
        <v>659</v>
      </c>
      <c r="FE112" s="21" t="s">
        <v>1216</v>
      </c>
      <c r="FF112" s="21">
        <v>646.0</v>
      </c>
      <c r="FH112" s="21" t="s">
        <v>656</v>
      </c>
      <c r="FI112" s="21" t="s">
        <v>656</v>
      </c>
      <c r="FJ112" s="21" t="s">
        <v>656</v>
      </c>
      <c r="FO112" s="21">
        <v>0.0</v>
      </c>
      <c r="FP112" s="21">
        <v>12051.0</v>
      </c>
      <c r="FQ112" s="21">
        <v>0.0</v>
      </c>
      <c r="FR112" s="21">
        <v>550.0</v>
      </c>
      <c r="FS112" s="21">
        <v>1200.0</v>
      </c>
      <c r="FT112" s="21">
        <v>0.0</v>
      </c>
      <c r="FW112" s="21">
        <v>13801.0</v>
      </c>
      <c r="GF112" s="21">
        <v>867.0</v>
      </c>
      <c r="GH112" s="21">
        <v>973.0</v>
      </c>
      <c r="GI112" s="21" t="s">
        <v>719</v>
      </c>
      <c r="GM112" s="21" t="s">
        <v>679</v>
      </c>
      <c r="GN112" s="21" t="s">
        <v>656</v>
      </c>
      <c r="HK112" s="21" t="s">
        <v>721</v>
      </c>
      <c r="HL112" s="21" t="s">
        <v>659</v>
      </c>
      <c r="HM112" s="21" t="s">
        <v>659</v>
      </c>
      <c r="HN112" s="21" t="s">
        <v>659</v>
      </c>
      <c r="HO112" s="21" t="s">
        <v>659</v>
      </c>
      <c r="HP112" s="21" t="s">
        <v>659</v>
      </c>
      <c r="HQ112" s="21" t="s">
        <v>806</v>
      </c>
      <c r="HT112" s="21" t="s">
        <v>723</v>
      </c>
      <c r="HU112" s="21" t="s">
        <v>1788</v>
      </c>
      <c r="IH112" s="21" t="s">
        <v>656</v>
      </c>
      <c r="II112" s="21" t="s">
        <v>656</v>
      </c>
      <c r="IN112" s="21" t="s">
        <v>761</v>
      </c>
      <c r="IO112" s="21" t="s">
        <v>762</v>
      </c>
      <c r="OU112" s="21" t="s">
        <v>762</v>
      </c>
      <c r="PF112" s="21" t="s">
        <v>659</v>
      </c>
      <c r="PG112" s="21" t="s">
        <v>659</v>
      </c>
      <c r="PH112" s="21" t="s">
        <v>1787</v>
      </c>
      <c r="QE112" s="21" t="s">
        <v>659</v>
      </c>
      <c r="QF112" s="21" t="s">
        <v>1789</v>
      </c>
      <c r="WL112" s="21" t="s">
        <v>1752</v>
      </c>
      <c r="WM112" s="21" t="s">
        <v>1753</v>
      </c>
      <c r="WN112" s="21" t="s">
        <v>1754</v>
      </c>
      <c r="WO112" s="21" t="s">
        <v>1764</v>
      </c>
      <c r="WT112" s="21" t="s">
        <v>1752</v>
      </c>
      <c r="WU112" s="21" t="s">
        <v>1753</v>
      </c>
      <c r="WV112" s="21" t="s">
        <v>1764</v>
      </c>
      <c r="WW112" s="21" t="s">
        <v>1754</v>
      </c>
      <c r="WX112" s="21" t="s">
        <v>1790</v>
      </c>
    </row>
    <row r="113">
      <c r="A113" s="21">
        <v>708.0</v>
      </c>
      <c r="B113" s="22">
        <v>43783.0</v>
      </c>
      <c r="C113" s="21">
        <v>2019.0</v>
      </c>
      <c r="D113" s="21">
        <v>2.0190118E7</v>
      </c>
      <c r="E113" s="21">
        <v>33061.0</v>
      </c>
      <c r="F113" s="21" t="s">
        <v>778</v>
      </c>
      <c r="G113" s="21">
        <v>19730.0</v>
      </c>
      <c r="H113" s="21" t="s">
        <v>750</v>
      </c>
      <c r="I113" s="21" t="s">
        <v>652</v>
      </c>
      <c r="J113" s="21" t="s">
        <v>653</v>
      </c>
      <c r="K113" s="21" t="s">
        <v>654</v>
      </c>
      <c r="L113" s="21">
        <v>77002.0</v>
      </c>
      <c r="M113" s="23">
        <v>43755.76111111111</v>
      </c>
      <c r="P113" s="21">
        <v>32.62114</v>
      </c>
      <c r="Q113" s="21">
        <v>-91.57672</v>
      </c>
      <c r="R113" s="21">
        <v>1261451.0</v>
      </c>
      <c r="S113" s="24">
        <v>43755.83194444444</v>
      </c>
      <c r="U113" s="21" t="s">
        <v>657</v>
      </c>
      <c r="W113" s="21">
        <v>41238.0</v>
      </c>
      <c r="X113" s="21">
        <v>0.0</v>
      </c>
      <c r="Y113" s="21">
        <v>0.0</v>
      </c>
      <c r="Z113" s="21" t="s">
        <v>656</v>
      </c>
      <c r="AF113" s="21">
        <v>0.0</v>
      </c>
      <c r="AG113" s="21" t="s">
        <v>656</v>
      </c>
      <c r="AM113" s="21">
        <v>0.0</v>
      </c>
      <c r="AO113" s="21" t="s">
        <v>656</v>
      </c>
      <c r="AP113" s="21" t="s">
        <v>1782</v>
      </c>
      <c r="AW113" s="21" t="s">
        <v>656</v>
      </c>
      <c r="BB113" s="21" t="s">
        <v>656</v>
      </c>
      <c r="BI113" s="21">
        <v>0.0</v>
      </c>
      <c r="BJ113" s="24">
        <v>43755.76111111111</v>
      </c>
      <c r="BK113" s="24">
        <v>43755.774305555555</v>
      </c>
      <c r="BM113" s="21" t="s">
        <v>662</v>
      </c>
      <c r="BN113" s="21" t="s">
        <v>751</v>
      </c>
      <c r="BO113" s="21">
        <v>71237.0</v>
      </c>
      <c r="BP113" s="21" t="s">
        <v>1791</v>
      </c>
      <c r="BQ113" s="21" t="s">
        <v>1792</v>
      </c>
      <c r="BR113" s="21" t="s">
        <v>892</v>
      </c>
      <c r="BS113" s="21" t="s">
        <v>1793</v>
      </c>
      <c r="BT113" s="21" t="s">
        <v>1794</v>
      </c>
      <c r="BU113" s="21" t="s">
        <v>1794</v>
      </c>
      <c r="BV113" s="21" t="s">
        <v>656</v>
      </c>
      <c r="BW113" s="21" t="s">
        <v>668</v>
      </c>
      <c r="BX113" s="21" t="s">
        <v>669</v>
      </c>
      <c r="BY113" s="21" t="s">
        <v>670</v>
      </c>
      <c r="CC113" s="21" t="s">
        <v>656</v>
      </c>
      <c r="CZ113" s="21" t="s">
        <v>712</v>
      </c>
      <c r="DA113" s="21" t="s">
        <v>672</v>
      </c>
      <c r="DB113" s="21" t="s">
        <v>756</v>
      </c>
      <c r="EH113" s="21" t="s">
        <v>757</v>
      </c>
      <c r="EI113" s="21" t="s">
        <v>1202</v>
      </c>
      <c r="EK113" s="21" t="s">
        <v>1795</v>
      </c>
      <c r="EO113" s="21">
        <v>1960.0</v>
      </c>
      <c r="EP113" s="21">
        <v>1960.0</v>
      </c>
      <c r="EQ113" s="21" t="s">
        <v>674</v>
      </c>
      <c r="ES113" s="21" t="s">
        <v>696</v>
      </c>
      <c r="FB113" s="21" t="s">
        <v>1796</v>
      </c>
      <c r="FC113" s="21" t="s">
        <v>677</v>
      </c>
      <c r="FD113" s="21" t="s">
        <v>656</v>
      </c>
      <c r="FF113" s="21">
        <v>745.0</v>
      </c>
      <c r="FH113" s="21" t="s">
        <v>656</v>
      </c>
      <c r="FI113" s="21" t="s">
        <v>656</v>
      </c>
      <c r="FJ113" s="21" t="s">
        <v>656</v>
      </c>
      <c r="FO113" s="21">
        <v>0.0</v>
      </c>
      <c r="FP113" s="21">
        <v>83095.0</v>
      </c>
      <c r="FQ113" s="21">
        <v>0.0</v>
      </c>
      <c r="FR113" s="21">
        <v>0.0</v>
      </c>
      <c r="FS113" s="21">
        <v>3000.0</v>
      </c>
      <c r="FT113" s="21">
        <v>0.0</v>
      </c>
      <c r="FW113" s="21">
        <v>86095.0</v>
      </c>
      <c r="GF113" s="21">
        <v>785.0</v>
      </c>
      <c r="GH113" s="21">
        <v>900.0</v>
      </c>
      <c r="GI113" s="21" t="s">
        <v>1095</v>
      </c>
      <c r="GM113" s="21" t="s">
        <v>679</v>
      </c>
      <c r="GN113" s="21" t="s">
        <v>656</v>
      </c>
      <c r="HK113" s="21" t="s">
        <v>721</v>
      </c>
      <c r="HL113" s="21" t="s">
        <v>659</v>
      </c>
      <c r="HM113" s="21" t="s">
        <v>659</v>
      </c>
      <c r="HN113" s="21" t="s">
        <v>659</v>
      </c>
      <c r="HO113" s="21" t="s">
        <v>659</v>
      </c>
      <c r="HP113" s="21" t="s">
        <v>659</v>
      </c>
      <c r="HQ113" s="21" t="s">
        <v>941</v>
      </c>
      <c r="HT113" s="21" t="s">
        <v>760</v>
      </c>
      <c r="HZ113" s="21" t="s">
        <v>659</v>
      </c>
      <c r="IH113" s="21" t="s">
        <v>656</v>
      </c>
      <c r="II113" s="21" t="s">
        <v>656</v>
      </c>
      <c r="IN113" s="21" t="s">
        <v>761</v>
      </c>
      <c r="IO113" s="21" t="s">
        <v>762</v>
      </c>
      <c r="OU113" s="21" t="s">
        <v>762</v>
      </c>
      <c r="PF113" s="21" t="s">
        <v>659</v>
      </c>
      <c r="PT113" s="21" t="s">
        <v>659</v>
      </c>
      <c r="WL113" s="21" t="s">
        <v>1752</v>
      </c>
      <c r="WM113" s="21" t="s">
        <v>1753</v>
      </c>
      <c r="WN113" s="21" t="s">
        <v>1754</v>
      </c>
      <c r="WO113" s="21" t="s">
        <v>1764</v>
      </c>
      <c r="WT113" s="21" t="s">
        <v>1752</v>
      </c>
      <c r="WU113" s="21" t="s">
        <v>1753</v>
      </c>
      <c r="WV113" s="21" t="s">
        <v>1764</v>
      </c>
      <c r="WW113" s="21" t="s">
        <v>1754</v>
      </c>
      <c r="WX113" s="21" t="s">
        <v>1797</v>
      </c>
    </row>
    <row r="114">
      <c r="A114" s="21">
        <v>709.0</v>
      </c>
      <c r="B114" s="22">
        <v>43774.0</v>
      </c>
      <c r="C114" s="21">
        <v>2019.0</v>
      </c>
      <c r="D114" s="21">
        <v>2.0190116E7</v>
      </c>
      <c r="E114" s="21">
        <v>32923.0</v>
      </c>
      <c r="F114" s="21" t="s">
        <v>778</v>
      </c>
      <c r="G114" s="21">
        <v>18152.0</v>
      </c>
      <c r="H114" s="21" t="s">
        <v>702</v>
      </c>
      <c r="I114" s="21" t="s">
        <v>652</v>
      </c>
      <c r="J114" s="21" t="s">
        <v>653</v>
      </c>
      <c r="K114" s="21" t="s">
        <v>654</v>
      </c>
      <c r="L114" s="21">
        <v>77002.0</v>
      </c>
      <c r="M114" s="23">
        <v>43744.55069444444</v>
      </c>
      <c r="P114" s="21">
        <v>28.38582</v>
      </c>
      <c r="Q114" s="21">
        <v>-90.14482</v>
      </c>
      <c r="R114" s="21">
        <v>1260388.0</v>
      </c>
      <c r="S114" s="24">
        <v>43744.61875</v>
      </c>
      <c r="U114" s="21" t="s">
        <v>657</v>
      </c>
      <c r="W114" s="21">
        <v>1000.0</v>
      </c>
      <c r="X114" s="21">
        <v>1661.0</v>
      </c>
      <c r="Y114" s="21">
        <v>4.8</v>
      </c>
      <c r="Z114" s="21" t="s">
        <v>656</v>
      </c>
      <c r="AF114" s="21">
        <v>0.0</v>
      </c>
      <c r="AG114" s="21" t="s">
        <v>656</v>
      </c>
      <c r="AM114" s="21">
        <v>0.0</v>
      </c>
      <c r="AO114" s="21" t="s">
        <v>659</v>
      </c>
      <c r="AQ114" s="24">
        <v>43744.61875</v>
      </c>
      <c r="AR114" s="24">
        <v>43751.25</v>
      </c>
      <c r="AW114" s="21" t="s">
        <v>656</v>
      </c>
      <c r="BB114" s="21" t="s">
        <v>656</v>
      </c>
      <c r="BI114" s="21">
        <v>0.0</v>
      </c>
      <c r="BJ114" s="24">
        <v>43744.55069444444</v>
      </c>
      <c r="BK114" s="24">
        <v>43745.604166666664</v>
      </c>
      <c r="BM114" s="21" t="s">
        <v>705</v>
      </c>
      <c r="CP114" s="21">
        <v>236.0</v>
      </c>
      <c r="CQ114" s="21" t="s">
        <v>708</v>
      </c>
      <c r="CW114" s="21" t="s">
        <v>847</v>
      </c>
      <c r="CX114" s="21">
        <v>229.0</v>
      </c>
      <c r="CY114" s="21" t="s">
        <v>1061</v>
      </c>
      <c r="CZ114" s="21" t="s">
        <v>712</v>
      </c>
      <c r="DA114" s="21" t="s">
        <v>713</v>
      </c>
      <c r="DB114" s="21" t="s">
        <v>714</v>
      </c>
      <c r="DC114" s="21" t="s">
        <v>715</v>
      </c>
      <c r="DD114" s="21">
        <v>10.0</v>
      </c>
      <c r="DF114" s="21">
        <v>0.5</v>
      </c>
      <c r="DG114" s="21">
        <v>42000.0</v>
      </c>
      <c r="DH114" s="21" t="s">
        <v>964</v>
      </c>
      <c r="DI114" s="21" t="s">
        <v>921</v>
      </c>
      <c r="DK114" s="21" t="s">
        <v>1329</v>
      </c>
      <c r="DL114" s="21" t="s">
        <v>824</v>
      </c>
      <c r="EO114" s="21">
        <v>1996.0</v>
      </c>
      <c r="EP114" s="21">
        <v>1995.0</v>
      </c>
      <c r="EQ114" s="21" t="s">
        <v>674</v>
      </c>
      <c r="ES114" s="21" t="s">
        <v>675</v>
      </c>
      <c r="EV114" s="21" t="s">
        <v>718</v>
      </c>
      <c r="FC114" s="21" t="s">
        <v>677</v>
      </c>
      <c r="FD114" s="21" t="s">
        <v>656</v>
      </c>
      <c r="FF114" s="21">
        <v>239.0</v>
      </c>
      <c r="FH114" s="21" t="s">
        <v>656</v>
      </c>
      <c r="FI114" s="21" t="s">
        <v>656</v>
      </c>
      <c r="FJ114" s="21" t="s">
        <v>656</v>
      </c>
      <c r="FO114" s="21">
        <v>0.0</v>
      </c>
      <c r="FP114" s="21">
        <v>2149.0</v>
      </c>
      <c r="FQ114" s="21">
        <v>3577.0</v>
      </c>
      <c r="FR114" s="21">
        <v>236954.0</v>
      </c>
      <c r="FS114" s="21">
        <v>0.0</v>
      </c>
      <c r="FT114" s="21">
        <v>0.0</v>
      </c>
      <c r="FW114" s="21">
        <v>242680.0</v>
      </c>
      <c r="GF114" s="21">
        <v>939.0</v>
      </c>
      <c r="GH114" s="21">
        <v>1200.0</v>
      </c>
      <c r="GI114" s="21" t="s">
        <v>719</v>
      </c>
      <c r="GM114" s="21" t="s">
        <v>679</v>
      </c>
      <c r="GN114" s="21" t="s">
        <v>656</v>
      </c>
      <c r="GS114" s="21" t="s">
        <v>720</v>
      </c>
      <c r="GT114" s="21" t="s">
        <v>720</v>
      </c>
      <c r="GU114" s="21">
        <v>59664.0</v>
      </c>
      <c r="GV114" s="21" t="s">
        <v>656</v>
      </c>
      <c r="GW114" s="21" t="s">
        <v>659</v>
      </c>
      <c r="GX114" s="21" t="s">
        <v>659</v>
      </c>
      <c r="GY114" s="21" t="s">
        <v>659</v>
      </c>
      <c r="HD114" s="21" t="s">
        <v>659</v>
      </c>
      <c r="HG114" s="21" t="s">
        <v>659</v>
      </c>
      <c r="HK114" s="21" t="s">
        <v>721</v>
      </c>
      <c r="HL114" s="21" t="s">
        <v>659</v>
      </c>
      <c r="HM114" s="21" t="s">
        <v>659</v>
      </c>
      <c r="HN114" s="21" t="s">
        <v>659</v>
      </c>
      <c r="HO114" s="21" t="s">
        <v>656</v>
      </c>
      <c r="HP114" s="21" t="s">
        <v>656</v>
      </c>
      <c r="HQ114" s="21" t="s">
        <v>806</v>
      </c>
      <c r="HT114" s="21" t="s">
        <v>723</v>
      </c>
      <c r="HU114" s="21" t="s">
        <v>1798</v>
      </c>
      <c r="IH114" s="21" t="s">
        <v>656</v>
      </c>
      <c r="II114" s="21" t="s">
        <v>656</v>
      </c>
      <c r="IN114" s="21" t="s">
        <v>725</v>
      </c>
      <c r="IO114" s="21" t="s">
        <v>726</v>
      </c>
      <c r="IP114" s="21" t="s">
        <v>726</v>
      </c>
      <c r="JT114" s="21" t="s">
        <v>696</v>
      </c>
      <c r="JU114" s="21" t="s">
        <v>1659</v>
      </c>
      <c r="JZ114" s="21" t="s">
        <v>659</v>
      </c>
      <c r="KA114" s="21" t="s">
        <v>1660</v>
      </c>
      <c r="KB114" s="21" t="s">
        <v>659</v>
      </c>
      <c r="KJ114" s="21" t="s">
        <v>659</v>
      </c>
      <c r="KK114" s="21" t="s">
        <v>1799</v>
      </c>
      <c r="KL114" s="21" t="s">
        <v>659</v>
      </c>
      <c r="KM114" s="21" t="s">
        <v>656</v>
      </c>
      <c r="KN114" s="21" t="s">
        <v>656</v>
      </c>
      <c r="KO114" s="21" t="s">
        <v>656</v>
      </c>
      <c r="QW114" s="21" t="s">
        <v>656</v>
      </c>
      <c r="TI114" s="21" t="s">
        <v>656</v>
      </c>
      <c r="TL114" s="21" t="s">
        <v>656</v>
      </c>
      <c r="TZ114" s="21" t="s">
        <v>656</v>
      </c>
      <c r="WL114" s="21" t="s">
        <v>1752</v>
      </c>
      <c r="WM114" s="21" t="s">
        <v>1753</v>
      </c>
      <c r="WN114" s="21" t="s">
        <v>1754</v>
      </c>
      <c r="WO114" s="21" t="s">
        <v>1764</v>
      </c>
      <c r="WT114" s="21" t="s">
        <v>1752</v>
      </c>
      <c r="WU114" s="21" t="s">
        <v>1753</v>
      </c>
      <c r="WV114" s="21" t="s">
        <v>1764</v>
      </c>
      <c r="WW114" s="21" t="s">
        <v>1754</v>
      </c>
      <c r="WX114" s="21" t="s">
        <v>1800</v>
      </c>
    </row>
    <row r="115">
      <c r="A115" s="21">
        <v>713.0</v>
      </c>
      <c r="B115" s="22">
        <v>43754.0</v>
      </c>
      <c r="C115" s="21">
        <v>2019.0</v>
      </c>
      <c r="D115" s="21">
        <v>2.0190112E7</v>
      </c>
      <c r="E115" s="21">
        <v>32833.0</v>
      </c>
      <c r="F115" s="21" t="s">
        <v>701</v>
      </c>
      <c r="G115" s="21">
        <v>18152.0</v>
      </c>
      <c r="H115" s="21" t="s">
        <v>702</v>
      </c>
      <c r="I115" s="21" t="s">
        <v>652</v>
      </c>
      <c r="J115" s="21" t="s">
        <v>653</v>
      </c>
      <c r="K115" s="21" t="s">
        <v>654</v>
      </c>
      <c r="L115" s="21">
        <v>77002.0</v>
      </c>
      <c r="M115" s="23">
        <v>43727.683333333334</v>
      </c>
      <c r="P115" s="21">
        <v>28.70103</v>
      </c>
      <c r="Q115" s="21">
        <v>-91.67753</v>
      </c>
      <c r="R115" s="21">
        <v>1258724.0</v>
      </c>
      <c r="S115" s="24">
        <v>43727.688888888886</v>
      </c>
      <c r="U115" s="21" t="s">
        <v>657</v>
      </c>
      <c r="W115" s="21">
        <v>0.0</v>
      </c>
      <c r="X115" s="21">
        <v>48609.0</v>
      </c>
      <c r="Y115" s="21">
        <v>3.0</v>
      </c>
      <c r="Z115" s="21" t="s">
        <v>656</v>
      </c>
      <c r="AF115" s="21">
        <v>0.0</v>
      </c>
      <c r="AG115" s="21" t="s">
        <v>656</v>
      </c>
      <c r="AM115" s="21">
        <v>0.0</v>
      </c>
      <c r="AO115" s="21" t="s">
        <v>659</v>
      </c>
      <c r="AQ115" s="24">
        <v>43727.68541666667</v>
      </c>
      <c r="AR115" s="24">
        <v>43737.770833333336</v>
      </c>
      <c r="AW115" s="21" t="s">
        <v>656</v>
      </c>
      <c r="BB115" s="21" t="s">
        <v>656</v>
      </c>
      <c r="BI115" s="21">
        <v>0.0</v>
      </c>
      <c r="BJ115" s="24">
        <v>43727.683333333334</v>
      </c>
      <c r="BK115" s="24">
        <v>43731.6875</v>
      </c>
      <c r="BM115" s="21" t="s">
        <v>705</v>
      </c>
      <c r="CP115" s="21">
        <v>100.0</v>
      </c>
      <c r="CQ115" s="21" t="s">
        <v>708</v>
      </c>
      <c r="CW115" s="21" t="s">
        <v>710</v>
      </c>
      <c r="CX115" s="21">
        <v>197.0</v>
      </c>
      <c r="CY115" s="21" t="s">
        <v>711</v>
      </c>
      <c r="CZ115" s="21" t="s">
        <v>712</v>
      </c>
      <c r="DA115" s="21" t="s">
        <v>713</v>
      </c>
      <c r="DB115" s="21" t="s">
        <v>714</v>
      </c>
      <c r="DC115" s="21" t="s">
        <v>715</v>
      </c>
      <c r="DD115" s="21">
        <v>24.0</v>
      </c>
      <c r="DF115" s="21">
        <v>0.5</v>
      </c>
      <c r="DG115" s="21">
        <v>60000.0</v>
      </c>
      <c r="DH115" s="21" t="s">
        <v>684</v>
      </c>
      <c r="DI115" s="21" t="s">
        <v>848</v>
      </c>
      <c r="DK115" s="21" t="s">
        <v>684</v>
      </c>
      <c r="DL115" s="21" t="s">
        <v>696</v>
      </c>
      <c r="DM115" s="21" t="s">
        <v>877</v>
      </c>
      <c r="EO115" s="21">
        <v>1970.0</v>
      </c>
      <c r="EP115" s="21">
        <v>1970.0</v>
      </c>
      <c r="EQ115" s="21" t="s">
        <v>674</v>
      </c>
      <c r="ES115" s="21" t="s">
        <v>675</v>
      </c>
      <c r="EV115" s="21" t="s">
        <v>718</v>
      </c>
      <c r="FC115" s="21" t="s">
        <v>677</v>
      </c>
      <c r="FD115" s="21" t="s">
        <v>656</v>
      </c>
      <c r="FF115" s="21">
        <v>585.0</v>
      </c>
      <c r="FH115" s="21" t="s">
        <v>656</v>
      </c>
      <c r="FI115" s="21" t="s">
        <v>656</v>
      </c>
      <c r="FJ115" s="21" t="s">
        <v>656</v>
      </c>
      <c r="FO115" s="21">
        <v>0.0</v>
      </c>
      <c r="FP115" s="21">
        <v>0.0</v>
      </c>
      <c r="FQ115" s="21">
        <v>108000.0</v>
      </c>
      <c r="FR115" s="21">
        <v>360000.0</v>
      </c>
      <c r="FS115" s="21">
        <v>0.0</v>
      </c>
      <c r="FT115" s="21">
        <v>0.0</v>
      </c>
      <c r="FW115" s="21">
        <v>468000.0</v>
      </c>
      <c r="GF115" s="21">
        <v>850.0</v>
      </c>
      <c r="GH115" s="21">
        <v>1250.0</v>
      </c>
      <c r="GI115" s="21" t="s">
        <v>719</v>
      </c>
      <c r="GM115" s="21" t="s">
        <v>679</v>
      </c>
      <c r="GN115" s="21" t="s">
        <v>656</v>
      </c>
      <c r="GS115" s="21" t="s">
        <v>720</v>
      </c>
      <c r="GT115" s="21" t="s">
        <v>720</v>
      </c>
      <c r="GU115" s="21">
        <v>247653.0</v>
      </c>
      <c r="GV115" s="21" t="s">
        <v>656</v>
      </c>
      <c r="GX115" s="21" t="s">
        <v>659</v>
      </c>
      <c r="GY115" s="21" t="s">
        <v>659</v>
      </c>
      <c r="HD115" s="21" t="s">
        <v>656</v>
      </c>
      <c r="HK115" s="21" t="s">
        <v>721</v>
      </c>
      <c r="HL115" s="21" t="s">
        <v>659</v>
      </c>
      <c r="HM115" s="21" t="s">
        <v>659</v>
      </c>
      <c r="HN115" s="21" t="s">
        <v>659</v>
      </c>
      <c r="HO115" s="21" t="s">
        <v>656</v>
      </c>
      <c r="HP115" s="21" t="s">
        <v>656</v>
      </c>
      <c r="HQ115" s="21" t="s">
        <v>1557</v>
      </c>
      <c r="HS115" s="21" t="s">
        <v>699</v>
      </c>
      <c r="HT115" s="21" t="s">
        <v>723</v>
      </c>
      <c r="HU115" s="21" t="s">
        <v>851</v>
      </c>
      <c r="IH115" s="21" t="s">
        <v>656</v>
      </c>
      <c r="II115" s="21" t="s">
        <v>656</v>
      </c>
      <c r="IN115" s="21" t="s">
        <v>725</v>
      </c>
      <c r="IO115" s="21" t="s">
        <v>726</v>
      </c>
      <c r="IP115" s="21" t="s">
        <v>726</v>
      </c>
      <c r="JT115" s="21" t="s">
        <v>1014</v>
      </c>
      <c r="JV115" s="21" t="s">
        <v>659</v>
      </c>
      <c r="KD115" s="21" t="s">
        <v>659</v>
      </c>
      <c r="KE115" s="21" t="s">
        <v>1801</v>
      </c>
      <c r="KF115" s="21" t="s">
        <v>659</v>
      </c>
      <c r="KL115" s="21" t="s">
        <v>659</v>
      </c>
      <c r="KM115" s="21" t="s">
        <v>656</v>
      </c>
      <c r="KN115" s="21" t="s">
        <v>659</v>
      </c>
      <c r="KO115" s="21" t="s">
        <v>659</v>
      </c>
      <c r="QW115" s="21" t="s">
        <v>656</v>
      </c>
      <c r="TI115" s="21" t="s">
        <v>656</v>
      </c>
      <c r="TL115" s="21" t="s">
        <v>656</v>
      </c>
      <c r="TZ115" s="21" t="s">
        <v>656</v>
      </c>
      <c r="WL115" s="21" t="s">
        <v>1752</v>
      </c>
      <c r="WM115" s="21" t="s">
        <v>1753</v>
      </c>
      <c r="WN115" s="21" t="s">
        <v>1754</v>
      </c>
      <c r="WO115" s="21" t="s">
        <v>1764</v>
      </c>
      <c r="WT115" s="21" t="s">
        <v>1752</v>
      </c>
      <c r="WU115" s="21" t="s">
        <v>1753</v>
      </c>
      <c r="WV115" s="21" t="s">
        <v>1764</v>
      </c>
      <c r="WW115" s="21" t="s">
        <v>1754</v>
      </c>
      <c r="WX115" s="21" t="s">
        <v>1802</v>
      </c>
    </row>
    <row r="116">
      <c r="A116" s="21">
        <v>726.0</v>
      </c>
      <c r="B116" s="22">
        <v>43705.0</v>
      </c>
      <c r="C116" s="21">
        <v>2019.0</v>
      </c>
      <c r="D116" s="21">
        <v>2.0190101E7</v>
      </c>
      <c r="E116" s="21">
        <v>32621.0</v>
      </c>
      <c r="F116" s="21" t="s">
        <v>701</v>
      </c>
      <c r="G116" s="21">
        <v>32099.0</v>
      </c>
      <c r="H116" s="21" t="s">
        <v>651</v>
      </c>
      <c r="I116" s="21" t="s">
        <v>652</v>
      </c>
      <c r="J116" s="21" t="s">
        <v>653</v>
      </c>
      <c r="K116" s="21" t="s">
        <v>654</v>
      </c>
      <c r="L116" s="21">
        <v>77002.0</v>
      </c>
      <c r="M116" s="23">
        <v>43675.385416666664</v>
      </c>
      <c r="P116" s="21">
        <v>27.69821</v>
      </c>
      <c r="Q116" s="21">
        <v>-97.97083</v>
      </c>
      <c r="R116" s="21">
        <v>1253535.0</v>
      </c>
      <c r="S116" s="24">
        <v>43675.57986111111</v>
      </c>
      <c r="U116" s="21" t="s">
        <v>657</v>
      </c>
      <c r="W116" s="21">
        <v>340.0</v>
      </c>
      <c r="X116" s="21">
        <v>0.0</v>
      </c>
      <c r="Y116" s="21">
        <v>0.0</v>
      </c>
      <c r="Z116" s="21" t="s">
        <v>656</v>
      </c>
      <c r="AF116" s="21">
        <v>0.0</v>
      </c>
      <c r="AG116" s="21" t="s">
        <v>656</v>
      </c>
      <c r="AM116" s="21">
        <v>0.0</v>
      </c>
      <c r="AO116" s="21" t="s">
        <v>659</v>
      </c>
      <c r="AQ116" s="24">
        <v>43675.385416666664</v>
      </c>
      <c r="AR116" s="24">
        <v>43676.23541666667</v>
      </c>
      <c r="AW116" s="21" t="s">
        <v>656</v>
      </c>
      <c r="BB116" s="21" t="s">
        <v>656</v>
      </c>
      <c r="BI116" s="21">
        <v>0.0</v>
      </c>
      <c r="BJ116" s="24">
        <v>43675.385416666664</v>
      </c>
      <c r="BK116" s="24">
        <v>43675.40625</v>
      </c>
      <c r="BM116" s="21" t="s">
        <v>662</v>
      </c>
      <c r="BN116" s="21" t="s">
        <v>654</v>
      </c>
      <c r="BO116" s="21">
        <v>78332.0</v>
      </c>
      <c r="BP116" s="21" t="s">
        <v>1803</v>
      </c>
      <c r="BQ116" s="21" t="s">
        <v>1804</v>
      </c>
      <c r="BR116" s="21" t="s">
        <v>892</v>
      </c>
      <c r="BS116" s="21" t="s">
        <v>1805</v>
      </c>
      <c r="BT116" s="21" t="s">
        <v>1806</v>
      </c>
      <c r="BU116" s="21">
        <v>3054.0</v>
      </c>
      <c r="BV116" s="21" t="s">
        <v>656</v>
      </c>
      <c r="BW116" s="21" t="s">
        <v>738</v>
      </c>
      <c r="BX116" s="21" t="s">
        <v>739</v>
      </c>
      <c r="BY116" s="21" t="s">
        <v>740</v>
      </c>
      <c r="CA116" s="21">
        <v>12.0</v>
      </c>
      <c r="CC116" s="21" t="s">
        <v>656</v>
      </c>
      <c r="CZ116" s="21" t="s">
        <v>671</v>
      </c>
      <c r="DA116" s="21" t="s">
        <v>741</v>
      </c>
      <c r="DB116" s="21" t="s">
        <v>714</v>
      </c>
      <c r="DC116" s="21" t="s">
        <v>715</v>
      </c>
      <c r="DD116" s="21">
        <v>8.625</v>
      </c>
      <c r="DF116" s="21">
        <v>0.25</v>
      </c>
      <c r="DH116" s="21" t="s">
        <v>684</v>
      </c>
      <c r="DI116" s="21" t="s">
        <v>921</v>
      </c>
      <c r="DK116" s="21" t="s">
        <v>684</v>
      </c>
      <c r="DL116" s="21" t="s">
        <v>1374</v>
      </c>
      <c r="EO116" s="21">
        <v>1964.0</v>
      </c>
      <c r="EP116" s="21">
        <v>1964.0</v>
      </c>
      <c r="EQ116" s="21" t="s">
        <v>674</v>
      </c>
      <c r="ES116" s="21" t="s">
        <v>965</v>
      </c>
      <c r="ET116" s="21">
        <v>9.0</v>
      </c>
      <c r="EU116" s="21">
        <v>5.0</v>
      </c>
      <c r="FC116" s="21" t="s">
        <v>677</v>
      </c>
      <c r="FD116" s="21" t="s">
        <v>656</v>
      </c>
      <c r="FF116" s="21">
        <v>134.0</v>
      </c>
      <c r="FH116" s="21" t="s">
        <v>656</v>
      </c>
      <c r="FI116" s="21" t="s">
        <v>656</v>
      </c>
      <c r="FJ116" s="21" t="s">
        <v>656</v>
      </c>
      <c r="FO116" s="21">
        <v>0.0</v>
      </c>
      <c r="FP116" s="21">
        <v>800.0</v>
      </c>
      <c r="FQ116" s="21">
        <v>0.0</v>
      </c>
      <c r="FR116" s="21">
        <v>45000.0</v>
      </c>
      <c r="FS116" s="21">
        <v>1500.0</v>
      </c>
      <c r="FT116" s="21">
        <v>0.0</v>
      </c>
      <c r="FW116" s="21">
        <v>47300.0</v>
      </c>
      <c r="GF116" s="21">
        <v>260.0</v>
      </c>
      <c r="GH116" s="21">
        <v>300.0</v>
      </c>
      <c r="GI116" s="21" t="s">
        <v>1095</v>
      </c>
      <c r="GM116" s="21" t="s">
        <v>679</v>
      </c>
      <c r="GN116" s="21" t="s">
        <v>656</v>
      </c>
      <c r="GS116" s="21" t="s">
        <v>720</v>
      </c>
      <c r="GT116" s="21" t="s">
        <v>720</v>
      </c>
      <c r="GU116" s="21">
        <v>24148.0</v>
      </c>
      <c r="GV116" s="21" t="s">
        <v>659</v>
      </c>
      <c r="HD116" s="21" t="s">
        <v>656</v>
      </c>
      <c r="HK116" s="21" t="s">
        <v>721</v>
      </c>
      <c r="HL116" s="21" t="s">
        <v>659</v>
      </c>
      <c r="HM116" s="21" t="s">
        <v>659</v>
      </c>
      <c r="HN116" s="21" t="s">
        <v>659</v>
      </c>
      <c r="HO116" s="21" t="s">
        <v>659</v>
      </c>
      <c r="HP116" s="21" t="s">
        <v>659</v>
      </c>
      <c r="HQ116" s="21" t="s">
        <v>696</v>
      </c>
      <c r="HR116" s="21" t="s">
        <v>1807</v>
      </c>
      <c r="HT116" s="21" t="s">
        <v>723</v>
      </c>
      <c r="HU116" s="21" t="s">
        <v>1808</v>
      </c>
      <c r="IH116" s="21" t="s">
        <v>656</v>
      </c>
      <c r="II116" s="21" t="s">
        <v>656</v>
      </c>
      <c r="IN116" s="21" t="s">
        <v>968</v>
      </c>
      <c r="IO116" s="21" t="s">
        <v>969</v>
      </c>
      <c r="LB116" s="21" t="s">
        <v>969</v>
      </c>
      <c r="LC116" s="21" t="s">
        <v>656</v>
      </c>
      <c r="LM116" s="21" t="s">
        <v>656</v>
      </c>
      <c r="LR116" s="21" t="s">
        <v>659</v>
      </c>
      <c r="MB116" s="21" t="s">
        <v>1809</v>
      </c>
      <c r="MC116" s="21" t="s">
        <v>1810</v>
      </c>
      <c r="MD116" s="21" t="s">
        <v>1811</v>
      </c>
      <c r="ME116" s="21" t="s">
        <v>656</v>
      </c>
      <c r="MK116" s="21" t="s">
        <v>659</v>
      </c>
      <c r="ML116" s="21">
        <v>9.0</v>
      </c>
      <c r="MM116" s="21" t="s">
        <v>975</v>
      </c>
      <c r="MN116" s="21" t="s">
        <v>976</v>
      </c>
      <c r="WL116" s="21" t="s">
        <v>1812</v>
      </c>
      <c r="WM116" s="21" t="s">
        <v>1813</v>
      </c>
      <c r="WN116" s="21" t="s">
        <v>1196</v>
      </c>
      <c r="WO116" s="21" t="s">
        <v>1195</v>
      </c>
      <c r="WT116" s="21" t="s">
        <v>1812</v>
      </c>
      <c r="WU116" s="21" t="s">
        <v>1813</v>
      </c>
      <c r="WV116" s="21" t="s">
        <v>1195</v>
      </c>
      <c r="WW116" s="21" t="s">
        <v>1196</v>
      </c>
      <c r="WX116" s="21" t="s">
        <v>1814</v>
      </c>
    </row>
    <row r="117">
      <c r="A117" s="21">
        <v>755.0</v>
      </c>
      <c r="B117" s="22">
        <v>43621.0</v>
      </c>
      <c r="C117" s="21">
        <v>2019.0</v>
      </c>
      <c r="D117" s="21">
        <v>2.0190067E7</v>
      </c>
      <c r="E117" s="21">
        <v>32584.0</v>
      </c>
      <c r="F117" s="21" t="s">
        <v>778</v>
      </c>
      <c r="G117" s="21">
        <v>15105.0</v>
      </c>
      <c r="H117" s="21" t="s">
        <v>794</v>
      </c>
      <c r="I117" s="21" t="s">
        <v>652</v>
      </c>
      <c r="J117" s="21" t="s">
        <v>653</v>
      </c>
      <c r="K117" s="21" t="s">
        <v>654</v>
      </c>
      <c r="L117" s="21">
        <v>77002.0</v>
      </c>
      <c r="M117" s="23">
        <v>43595.78125</v>
      </c>
      <c r="P117" s="21">
        <v>39.79018</v>
      </c>
      <c r="Q117" s="21">
        <v>-88.35888</v>
      </c>
      <c r="R117" s="21">
        <v>1245594.0</v>
      </c>
      <c r="S117" s="24">
        <v>43599.45347222222</v>
      </c>
      <c r="U117" s="21" t="s">
        <v>657</v>
      </c>
      <c r="W117" s="21">
        <v>3121.014</v>
      </c>
      <c r="X117" s="21">
        <v>0.0</v>
      </c>
      <c r="Y117" s="21">
        <v>0.0</v>
      </c>
      <c r="Z117" s="21" t="s">
        <v>656</v>
      </c>
      <c r="AF117" s="21">
        <v>0.0</v>
      </c>
      <c r="AG117" s="21" t="s">
        <v>656</v>
      </c>
      <c r="AM117" s="21">
        <v>0.0</v>
      </c>
      <c r="AO117" s="21" t="s">
        <v>656</v>
      </c>
      <c r="AP117" s="21" t="s">
        <v>1815</v>
      </c>
      <c r="AW117" s="21" t="s">
        <v>656</v>
      </c>
      <c r="BB117" s="21" t="s">
        <v>656</v>
      </c>
      <c r="BI117" s="21">
        <v>0.0</v>
      </c>
      <c r="BJ117" s="24">
        <v>43595.782638888886</v>
      </c>
      <c r="BK117" s="24">
        <v>43595.79375</v>
      </c>
      <c r="BM117" s="21" t="s">
        <v>662</v>
      </c>
      <c r="BN117" s="21" t="s">
        <v>1291</v>
      </c>
      <c r="BO117" s="21">
        <v>61953.0</v>
      </c>
      <c r="BP117" s="21" t="s">
        <v>1816</v>
      </c>
      <c r="BQ117" s="21" t="s">
        <v>1817</v>
      </c>
      <c r="BR117" s="21" t="s">
        <v>892</v>
      </c>
      <c r="BS117" s="21" t="s">
        <v>1185</v>
      </c>
      <c r="BT117" s="21" t="s">
        <v>1818</v>
      </c>
      <c r="BU117" s="21" t="s">
        <v>1819</v>
      </c>
      <c r="BV117" s="21" t="s">
        <v>656</v>
      </c>
      <c r="BW117" s="21" t="s">
        <v>668</v>
      </c>
      <c r="BX117" s="21" t="s">
        <v>669</v>
      </c>
      <c r="BY117" s="21" t="s">
        <v>670</v>
      </c>
      <c r="CC117" s="21" t="s">
        <v>656</v>
      </c>
      <c r="CZ117" s="21" t="s">
        <v>712</v>
      </c>
      <c r="DA117" s="21" t="s">
        <v>672</v>
      </c>
      <c r="DB117" s="21" t="s">
        <v>756</v>
      </c>
      <c r="EH117" s="21" t="s">
        <v>1432</v>
      </c>
      <c r="EO117" s="21">
        <v>1963.0</v>
      </c>
      <c r="EQ117" s="21" t="s">
        <v>674</v>
      </c>
      <c r="ES117" s="21" t="s">
        <v>696</v>
      </c>
      <c r="FB117" s="21" t="s">
        <v>1820</v>
      </c>
      <c r="FC117" s="21" t="s">
        <v>677</v>
      </c>
      <c r="FD117" s="21" t="s">
        <v>656</v>
      </c>
      <c r="FF117" s="21">
        <v>331.0</v>
      </c>
      <c r="FH117" s="21" t="s">
        <v>656</v>
      </c>
      <c r="FI117" s="21" t="s">
        <v>656</v>
      </c>
      <c r="FJ117" s="21" t="s">
        <v>656</v>
      </c>
      <c r="FO117" s="21">
        <v>0.0</v>
      </c>
      <c r="FP117" s="21">
        <v>8239.0</v>
      </c>
      <c r="FQ117" s="21">
        <v>0.0</v>
      </c>
      <c r="FR117" s="21">
        <v>0.0</v>
      </c>
      <c r="FS117" s="21">
        <v>0.0</v>
      </c>
      <c r="FT117" s="21">
        <v>157.0</v>
      </c>
      <c r="FU117" s="21" t="s">
        <v>1821</v>
      </c>
      <c r="FW117" s="21">
        <v>8396.0</v>
      </c>
      <c r="GF117" s="21">
        <v>843.0</v>
      </c>
      <c r="GH117" s="21">
        <v>900.0</v>
      </c>
      <c r="GI117" s="21" t="s">
        <v>774</v>
      </c>
      <c r="GM117" s="21" t="s">
        <v>679</v>
      </c>
      <c r="GN117" s="21" t="s">
        <v>656</v>
      </c>
      <c r="HK117" s="21" t="s">
        <v>721</v>
      </c>
      <c r="HL117" s="21" t="s">
        <v>659</v>
      </c>
      <c r="HM117" s="21" t="s">
        <v>659</v>
      </c>
      <c r="HN117" s="21" t="s">
        <v>659</v>
      </c>
      <c r="HO117" s="21" t="s">
        <v>659</v>
      </c>
      <c r="HP117" s="21" t="s">
        <v>659</v>
      </c>
      <c r="HQ117" s="21" t="s">
        <v>806</v>
      </c>
      <c r="HT117" s="21" t="s">
        <v>723</v>
      </c>
      <c r="HU117" s="21" t="s">
        <v>1822</v>
      </c>
      <c r="IH117" s="21" t="s">
        <v>656</v>
      </c>
      <c r="II117" s="21" t="s">
        <v>656</v>
      </c>
      <c r="IN117" s="21" t="s">
        <v>761</v>
      </c>
      <c r="IO117" s="21" t="s">
        <v>1203</v>
      </c>
      <c r="OU117" s="21" t="s">
        <v>1203</v>
      </c>
      <c r="PO117" s="21" t="s">
        <v>1823</v>
      </c>
      <c r="QE117" s="21" t="s">
        <v>659</v>
      </c>
      <c r="QF117" s="21" t="s">
        <v>1823</v>
      </c>
      <c r="WL117" s="21" t="s">
        <v>1752</v>
      </c>
      <c r="WM117" s="21" t="s">
        <v>1753</v>
      </c>
      <c r="WN117" s="21" t="s">
        <v>1754</v>
      </c>
      <c r="WO117" s="21" t="s">
        <v>1764</v>
      </c>
      <c r="WT117" s="21" t="s">
        <v>1752</v>
      </c>
      <c r="WU117" s="21" t="s">
        <v>1753</v>
      </c>
      <c r="WV117" s="21" t="s">
        <v>1764</v>
      </c>
      <c r="WW117" s="21" t="s">
        <v>1754</v>
      </c>
      <c r="WX117" s="21" t="s">
        <v>1824</v>
      </c>
    </row>
    <row r="118">
      <c r="A118" s="21">
        <v>770.0</v>
      </c>
      <c r="B118" s="22">
        <v>43580.0</v>
      </c>
      <c r="C118" s="21">
        <v>2019.0</v>
      </c>
      <c r="D118" s="21">
        <v>2.0190051E7</v>
      </c>
      <c r="E118" s="21">
        <v>32191.0</v>
      </c>
      <c r="F118" s="21" t="s">
        <v>778</v>
      </c>
      <c r="G118" s="21">
        <v>32099.0</v>
      </c>
      <c r="H118" s="21" t="s">
        <v>651</v>
      </c>
      <c r="I118" s="21" t="s">
        <v>652</v>
      </c>
      <c r="J118" s="21" t="s">
        <v>653</v>
      </c>
      <c r="K118" s="21" t="s">
        <v>654</v>
      </c>
      <c r="L118" s="21">
        <v>77002.0</v>
      </c>
      <c r="M118" s="23">
        <v>43551.50208333333</v>
      </c>
      <c r="P118" s="21">
        <v>27.46805</v>
      </c>
      <c r="Q118" s="21">
        <v>-98.05033</v>
      </c>
      <c r="R118" s="21">
        <v>1241224.0</v>
      </c>
      <c r="S118" s="24">
        <v>43551.64722222222</v>
      </c>
      <c r="U118" s="21" t="s">
        <v>657</v>
      </c>
      <c r="W118" s="21">
        <v>8490.0</v>
      </c>
      <c r="X118" s="21">
        <v>0.0</v>
      </c>
      <c r="Y118" s="21">
        <v>0.0</v>
      </c>
      <c r="Z118" s="21" t="s">
        <v>656</v>
      </c>
      <c r="AF118" s="21">
        <v>0.0</v>
      </c>
      <c r="AG118" s="21" t="s">
        <v>656</v>
      </c>
      <c r="AM118" s="21">
        <v>0.0</v>
      </c>
      <c r="AO118" s="21" t="s">
        <v>659</v>
      </c>
      <c r="AQ118" s="24">
        <v>43551.50208333333</v>
      </c>
      <c r="AR118" s="24">
        <v>43553.06319444445</v>
      </c>
      <c r="AW118" s="21" t="s">
        <v>656</v>
      </c>
      <c r="BB118" s="21" t="s">
        <v>656</v>
      </c>
      <c r="BI118" s="21">
        <v>0.0</v>
      </c>
      <c r="BJ118" s="24">
        <v>43551.50208333333</v>
      </c>
      <c r="BK118" s="24">
        <v>43551.50208333333</v>
      </c>
      <c r="BM118" s="21" t="s">
        <v>662</v>
      </c>
      <c r="BN118" s="21" t="s">
        <v>654</v>
      </c>
      <c r="BO118" s="21">
        <v>78363.0</v>
      </c>
      <c r="BP118" s="21" t="s">
        <v>1825</v>
      </c>
      <c r="BQ118" s="21" t="s">
        <v>1826</v>
      </c>
      <c r="BR118" s="21" t="s">
        <v>892</v>
      </c>
      <c r="BS118" s="21">
        <v>0.02</v>
      </c>
      <c r="BT118" s="21" t="s">
        <v>1827</v>
      </c>
      <c r="BU118" s="21" t="s">
        <v>1828</v>
      </c>
      <c r="BV118" s="21" t="s">
        <v>656</v>
      </c>
      <c r="BW118" s="21" t="s">
        <v>738</v>
      </c>
      <c r="BX118" s="21" t="s">
        <v>669</v>
      </c>
      <c r="BY118" s="21" t="s">
        <v>670</v>
      </c>
      <c r="CC118" s="21" t="s">
        <v>656</v>
      </c>
      <c r="CZ118" s="21" t="s">
        <v>671</v>
      </c>
      <c r="DA118" s="21" t="s">
        <v>741</v>
      </c>
      <c r="DB118" s="21" t="s">
        <v>756</v>
      </c>
      <c r="EH118" s="21" t="s">
        <v>1432</v>
      </c>
      <c r="EO118" s="21">
        <v>2016.0</v>
      </c>
      <c r="EQ118" s="21" t="s">
        <v>674</v>
      </c>
      <c r="ES118" s="21" t="s">
        <v>696</v>
      </c>
      <c r="FB118" s="21" t="s">
        <v>1829</v>
      </c>
      <c r="FC118" s="21" t="s">
        <v>677</v>
      </c>
      <c r="FD118" s="21" t="s">
        <v>656</v>
      </c>
      <c r="FF118" s="21">
        <v>687.0</v>
      </c>
      <c r="FH118" s="21" t="s">
        <v>656</v>
      </c>
      <c r="FI118" s="21" t="s">
        <v>656</v>
      </c>
      <c r="FJ118" s="21" t="s">
        <v>656</v>
      </c>
      <c r="FO118" s="21">
        <v>0.0</v>
      </c>
      <c r="FP118" s="21">
        <v>15000.0</v>
      </c>
      <c r="FQ118" s="21">
        <v>0.0</v>
      </c>
      <c r="FR118" s="21">
        <v>5000.0</v>
      </c>
      <c r="FS118" s="21">
        <v>0.0</v>
      </c>
      <c r="FT118" s="21">
        <v>0.0</v>
      </c>
      <c r="FW118" s="21">
        <v>20000.0</v>
      </c>
      <c r="GF118" s="21">
        <v>847.0</v>
      </c>
      <c r="GH118" s="21">
        <v>915.0</v>
      </c>
      <c r="GI118" s="21" t="s">
        <v>719</v>
      </c>
      <c r="GM118" s="21" t="s">
        <v>679</v>
      </c>
      <c r="GN118" s="21" t="s">
        <v>656</v>
      </c>
      <c r="GS118" s="21" t="s">
        <v>1228</v>
      </c>
      <c r="GT118" s="21" t="s">
        <v>720</v>
      </c>
      <c r="GU118" s="21">
        <v>144500.0</v>
      </c>
      <c r="GV118" s="21" t="s">
        <v>659</v>
      </c>
      <c r="HD118" s="21" t="s">
        <v>656</v>
      </c>
      <c r="HK118" s="21" t="s">
        <v>721</v>
      </c>
      <c r="HL118" s="21" t="s">
        <v>659</v>
      </c>
      <c r="HM118" s="21" t="s">
        <v>659</v>
      </c>
      <c r="HN118" s="21" t="s">
        <v>659</v>
      </c>
      <c r="HO118" s="21" t="s">
        <v>659</v>
      </c>
      <c r="HP118" s="21" t="s">
        <v>659</v>
      </c>
      <c r="HQ118" s="21" t="s">
        <v>698</v>
      </c>
      <c r="HS118" s="21" t="s">
        <v>699</v>
      </c>
      <c r="HT118" s="21" t="s">
        <v>723</v>
      </c>
      <c r="HU118" s="21" t="s">
        <v>1084</v>
      </c>
      <c r="IH118" s="21" t="s">
        <v>656</v>
      </c>
      <c r="II118" s="21" t="s">
        <v>656</v>
      </c>
      <c r="IN118" s="21" t="s">
        <v>761</v>
      </c>
      <c r="IO118" s="21" t="s">
        <v>762</v>
      </c>
      <c r="OU118" s="21" t="s">
        <v>762</v>
      </c>
      <c r="PB118" s="21" t="s">
        <v>659</v>
      </c>
      <c r="QE118" s="21" t="s">
        <v>659</v>
      </c>
      <c r="QF118" s="21" t="s">
        <v>1830</v>
      </c>
      <c r="WL118" s="21" t="s">
        <v>1189</v>
      </c>
      <c r="WM118" s="21" t="s">
        <v>1831</v>
      </c>
      <c r="WN118" s="21" t="s">
        <v>1191</v>
      </c>
      <c r="WO118" s="21" t="s">
        <v>1192</v>
      </c>
      <c r="WT118" s="21" t="s">
        <v>1193</v>
      </c>
      <c r="WU118" s="21" t="s">
        <v>1832</v>
      </c>
      <c r="WV118" s="21" t="s">
        <v>1195</v>
      </c>
      <c r="WW118" s="21" t="s">
        <v>1676</v>
      </c>
      <c r="WX118" s="21" t="s">
        <v>1833</v>
      </c>
    </row>
    <row r="119">
      <c r="A119" s="21">
        <v>774.0</v>
      </c>
      <c r="B119" s="22">
        <v>43572.0</v>
      </c>
      <c r="C119" s="21">
        <v>2019.0</v>
      </c>
      <c r="D119" s="21">
        <v>2.0190047E7</v>
      </c>
      <c r="E119" s="21">
        <v>32549.0</v>
      </c>
      <c r="F119" s="21" t="s">
        <v>778</v>
      </c>
      <c r="G119" s="21">
        <v>5304.0</v>
      </c>
      <c r="H119" s="21" t="s">
        <v>932</v>
      </c>
      <c r="I119" s="21" t="s">
        <v>652</v>
      </c>
      <c r="J119" s="21" t="s">
        <v>653</v>
      </c>
      <c r="K119" s="21" t="s">
        <v>654</v>
      </c>
      <c r="L119" s="21">
        <v>77002.0</v>
      </c>
      <c r="M119" s="23">
        <v>43545.69305555556</v>
      </c>
      <c r="P119" s="21">
        <v>25.666698</v>
      </c>
      <c r="Q119" s="21">
        <v>-80.318509</v>
      </c>
      <c r="R119" s="21">
        <v>1240712.0</v>
      </c>
      <c r="S119" s="24">
        <v>43545.82986111111</v>
      </c>
      <c r="U119" s="21" t="s">
        <v>657</v>
      </c>
      <c r="W119" s="21">
        <v>5017.0</v>
      </c>
      <c r="X119" s="21">
        <v>773.0</v>
      </c>
      <c r="Y119" s="21">
        <v>0.0</v>
      </c>
      <c r="Z119" s="21" t="s">
        <v>656</v>
      </c>
      <c r="AF119" s="21">
        <v>0.0</v>
      </c>
      <c r="AG119" s="21" t="s">
        <v>656</v>
      </c>
      <c r="AM119" s="21">
        <v>0.0</v>
      </c>
      <c r="AO119" s="21" t="s">
        <v>659</v>
      </c>
      <c r="AQ119" s="24">
        <v>43545.74375</v>
      </c>
      <c r="AR119" s="24">
        <v>43547.833333333336</v>
      </c>
      <c r="AW119" s="21" t="s">
        <v>656</v>
      </c>
      <c r="BB119" s="21" t="s">
        <v>656</v>
      </c>
      <c r="BI119" s="21">
        <v>1.0</v>
      </c>
      <c r="BJ119" s="24">
        <v>43545.69305555556</v>
      </c>
      <c r="BK119" s="24">
        <v>43545.722916666666</v>
      </c>
      <c r="BM119" s="21" t="s">
        <v>662</v>
      </c>
      <c r="BN119" s="21" t="s">
        <v>934</v>
      </c>
      <c r="BO119" s="21">
        <v>33156.0</v>
      </c>
      <c r="BP119" s="21" t="s">
        <v>1834</v>
      </c>
      <c r="BQ119" s="21" t="s">
        <v>1835</v>
      </c>
      <c r="BR119" s="21" t="s">
        <v>735</v>
      </c>
      <c r="BS119" s="21" t="s">
        <v>1836</v>
      </c>
      <c r="BT119" s="21" t="s">
        <v>1837</v>
      </c>
      <c r="BU119" s="21" t="s">
        <v>1838</v>
      </c>
      <c r="BV119" s="21" t="s">
        <v>656</v>
      </c>
      <c r="BW119" s="21" t="s">
        <v>738</v>
      </c>
      <c r="BX119" s="21" t="s">
        <v>739</v>
      </c>
      <c r="BY119" s="21" t="s">
        <v>1337</v>
      </c>
      <c r="CA119" s="21">
        <v>60.0</v>
      </c>
      <c r="CC119" s="21" t="s">
        <v>659</v>
      </c>
      <c r="CH119" s="21" t="s">
        <v>659</v>
      </c>
      <c r="CI119" s="21" t="s">
        <v>1024</v>
      </c>
      <c r="CZ119" s="21" t="s">
        <v>712</v>
      </c>
      <c r="DA119" s="21" t="s">
        <v>741</v>
      </c>
      <c r="DB119" s="21" t="s">
        <v>714</v>
      </c>
      <c r="DC119" s="21" t="s">
        <v>715</v>
      </c>
      <c r="DD119" s="21">
        <v>18.0</v>
      </c>
      <c r="DF119" s="21">
        <v>0.25</v>
      </c>
      <c r="DG119" s="21">
        <v>52000.0</v>
      </c>
      <c r="DH119" s="21" t="s">
        <v>1533</v>
      </c>
      <c r="DI119" s="21" t="s">
        <v>771</v>
      </c>
      <c r="DK119" s="21" t="s">
        <v>1839</v>
      </c>
      <c r="DL119" s="21" t="s">
        <v>1840</v>
      </c>
      <c r="EO119" s="21">
        <v>1959.0</v>
      </c>
      <c r="EP119" s="21">
        <v>1959.0</v>
      </c>
      <c r="EQ119" s="21" t="s">
        <v>674</v>
      </c>
      <c r="ES119" s="21" t="s">
        <v>965</v>
      </c>
      <c r="ET119" s="21">
        <v>3.0</v>
      </c>
      <c r="EU119" s="21">
        <v>3.0</v>
      </c>
      <c r="FC119" s="21" t="s">
        <v>1256</v>
      </c>
      <c r="FD119" s="21" t="s">
        <v>659</v>
      </c>
      <c r="FE119" s="21" t="s">
        <v>1216</v>
      </c>
      <c r="FF119" s="21">
        <v>211.0</v>
      </c>
      <c r="FH119" s="21" t="s">
        <v>656</v>
      </c>
      <c r="FI119" s="21" t="s">
        <v>656</v>
      </c>
      <c r="FJ119" s="21" t="s">
        <v>656</v>
      </c>
      <c r="FO119" s="21">
        <v>15500.0</v>
      </c>
      <c r="FP119" s="21">
        <v>15923.0</v>
      </c>
      <c r="FQ119" s="21">
        <v>4191.0</v>
      </c>
      <c r="FR119" s="21">
        <v>226912.0</v>
      </c>
      <c r="FS119" s="21">
        <v>0.0</v>
      </c>
      <c r="FT119" s="21">
        <v>0.0</v>
      </c>
      <c r="FW119" s="21">
        <v>262526.0</v>
      </c>
      <c r="GF119" s="21">
        <v>269.0</v>
      </c>
      <c r="GH119" s="21">
        <v>288.0</v>
      </c>
      <c r="GI119" s="21" t="s">
        <v>1095</v>
      </c>
      <c r="GM119" s="21" t="s">
        <v>679</v>
      </c>
      <c r="GN119" s="21" t="s">
        <v>656</v>
      </c>
      <c r="GS119" s="21" t="s">
        <v>720</v>
      </c>
      <c r="GT119" s="21" t="s">
        <v>720</v>
      </c>
      <c r="GU119" s="21">
        <v>24288.0</v>
      </c>
      <c r="GV119" s="21" t="s">
        <v>656</v>
      </c>
      <c r="HB119" s="21" t="s">
        <v>659</v>
      </c>
      <c r="HC119" s="21" t="s">
        <v>1841</v>
      </c>
      <c r="HD119" s="21" t="s">
        <v>659</v>
      </c>
      <c r="HG119" s="21" t="s">
        <v>659</v>
      </c>
      <c r="HK119" s="21" t="s">
        <v>721</v>
      </c>
      <c r="HL119" s="21" t="s">
        <v>659</v>
      </c>
      <c r="HM119" s="21" t="s">
        <v>659</v>
      </c>
      <c r="HN119" s="21" t="s">
        <v>659</v>
      </c>
      <c r="HO119" s="21" t="s">
        <v>656</v>
      </c>
      <c r="HP119" s="21" t="s">
        <v>659</v>
      </c>
      <c r="HQ119" s="21" t="s">
        <v>966</v>
      </c>
      <c r="HT119" s="21" t="s">
        <v>723</v>
      </c>
      <c r="HU119" s="21" t="s">
        <v>1842</v>
      </c>
      <c r="IH119" s="21" t="s">
        <v>659</v>
      </c>
      <c r="II119" s="21" t="s">
        <v>656</v>
      </c>
      <c r="IJ119" s="21">
        <v>3.0</v>
      </c>
      <c r="IK119" s="21">
        <v>0.0</v>
      </c>
      <c r="IN119" s="21" t="s">
        <v>968</v>
      </c>
      <c r="IO119" s="21" t="s">
        <v>969</v>
      </c>
      <c r="LB119" s="21" t="s">
        <v>969</v>
      </c>
      <c r="LC119" s="21" t="s">
        <v>659</v>
      </c>
      <c r="LD119" s="21" t="s">
        <v>659</v>
      </c>
      <c r="LM119" s="21" t="s">
        <v>656</v>
      </c>
      <c r="LN119" s="21" t="s">
        <v>659</v>
      </c>
      <c r="LO119" s="21" t="s">
        <v>1843</v>
      </c>
      <c r="MB119" s="21" t="s">
        <v>971</v>
      </c>
      <c r="MC119" s="21" t="s">
        <v>1844</v>
      </c>
      <c r="MD119" s="21" t="s">
        <v>1845</v>
      </c>
      <c r="ME119" s="21" t="s">
        <v>659</v>
      </c>
      <c r="MF119" s="21">
        <v>7.2915175E7</v>
      </c>
      <c r="MI119" s="21" t="s">
        <v>1542</v>
      </c>
      <c r="MJ119" s="21" t="s">
        <v>659</v>
      </c>
      <c r="MK119" s="21" t="s">
        <v>659</v>
      </c>
      <c r="ML119" s="21">
        <v>50.0</v>
      </c>
      <c r="MM119" s="21" t="s">
        <v>975</v>
      </c>
      <c r="MN119" s="21" t="s">
        <v>976</v>
      </c>
      <c r="WL119" s="21" t="s">
        <v>1752</v>
      </c>
      <c r="WM119" s="21" t="s">
        <v>1753</v>
      </c>
      <c r="WN119" s="21" t="s">
        <v>1754</v>
      </c>
      <c r="WO119" s="21" t="s">
        <v>1846</v>
      </c>
      <c r="WT119" s="21" t="s">
        <v>1752</v>
      </c>
      <c r="WU119" s="21" t="s">
        <v>1753</v>
      </c>
      <c r="WV119" s="21" t="s">
        <v>1846</v>
      </c>
      <c r="WW119" s="21" t="s">
        <v>1754</v>
      </c>
      <c r="WX119" s="21" t="s">
        <v>1847</v>
      </c>
    </row>
    <row r="120">
      <c r="A120" s="21">
        <v>782.0</v>
      </c>
      <c r="B120" s="22">
        <v>43557.0</v>
      </c>
      <c r="C120" s="21">
        <v>2019.0</v>
      </c>
      <c r="D120" s="21">
        <v>2.0190039E7</v>
      </c>
      <c r="E120" s="21">
        <v>32446.0</v>
      </c>
      <c r="F120" s="21" t="s">
        <v>778</v>
      </c>
      <c r="G120" s="21">
        <v>15105.0</v>
      </c>
      <c r="H120" s="21" t="s">
        <v>794</v>
      </c>
      <c r="I120" s="21" t="s">
        <v>652</v>
      </c>
      <c r="J120" s="21" t="s">
        <v>653</v>
      </c>
      <c r="K120" s="21" t="s">
        <v>654</v>
      </c>
      <c r="L120" s="21">
        <v>77002.0</v>
      </c>
      <c r="M120" s="23">
        <v>43527.14097222222</v>
      </c>
      <c r="P120" s="21">
        <v>39.19229</v>
      </c>
      <c r="Q120" s="21">
        <v>-91.89104</v>
      </c>
      <c r="R120" s="21">
        <v>1239100.0</v>
      </c>
      <c r="S120" s="24">
        <v>43527.19930555556</v>
      </c>
      <c r="U120" s="21" t="s">
        <v>657</v>
      </c>
      <c r="W120" s="21">
        <v>90006.0</v>
      </c>
      <c r="X120" s="21">
        <v>1713.0</v>
      </c>
      <c r="Y120" s="21">
        <v>0.0</v>
      </c>
      <c r="Z120" s="21" t="s">
        <v>656</v>
      </c>
      <c r="AF120" s="21">
        <v>0.0</v>
      </c>
      <c r="AG120" s="21" t="s">
        <v>656</v>
      </c>
      <c r="AM120" s="21">
        <v>0.0</v>
      </c>
      <c r="AO120" s="21" t="s">
        <v>659</v>
      </c>
      <c r="AQ120" s="24">
        <v>43527.18402777778</v>
      </c>
      <c r="AR120" s="24">
        <v>43571.79375</v>
      </c>
      <c r="AW120" s="21" t="s">
        <v>659</v>
      </c>
      <c r="BB120" s="21" t="s">
        <v>659</v>
      </c>
      <c r="BI120" s="21">
        <v>2.0</v>
      </c>
      <c r="BJ120" s="24">
        <v>43527.14097222222</v>
      </c>
      <c r="BK120" s="24">
        <v>43527.15625</v>
      </c>
      <c r="BM120" s="21" t="s">
        <v>662</v>
      </c>
      <c r="BN120" s="21" t="s">
        <v>795</v>
      </c>
      <c r="BO120" s="21">
        <v>65265.0</v>
      </c>
      <c r="BP120" s="21" t="s">
        <v>1848</v>
      </c>
      <c r="BQ120" s="21" t="s">
        <v>1849</v>
      </c>
      <c r="BR120" s="21" t="s">
        <v>735</v>
      </c>
      <c r="BS120" s="21" t="s">
        <v>1850</v>
      </c>
      <c r="BT120" s="21" t="s">
        <v>1851</v>
      </c>
      <c r="BU120" s="21" t="s">
        <v>1852</v>
      </c>
      <c r="BV120" s="21" t="s">
        <v>656</v>
      </c>
      <c r="BW120" s="21" t="s">
        <v>738</v>
      </c>
      <c r="BX120" s="21" t="s">
        <v>739</v>
      </c>
      <c r="BY120" s="21" t="s">
        <v>740</v>
      </c>
      <c r="CA120" s="21">
        <v>60.0</v>
      </c>
      <c r="CC120" s="21" t="s">
        <v>656</v>
      </c>
      <c r="CZ120" s="21" t="s">
        <v>712</v>
      </c>
      <c r="DA120" s="21" t="s">
        <v>741</v>
      </c>
      <c r="DB120" s="21" t="s">
        <v>714</v>
      </c>
      <c r="DC120" s="21" t="s">
        <v>715</v>
      </c>
      <c r="DD120" s="21">
        <v>30.0</v>
      </c>
      <c r="DF120" s="21">
        <v>0.312</v>
      </c>
      <c r="DG120" s="21">
        <v>60000.0</v>
      </c>
      <c r="DH120" s="21" t="s">
        <v>1039</v>
      </c>
      <c r="DI120" s="21" t="s">
        <v>848</v>
      </c>
      <c r="DK120" s="21" t="s">
        <v>1473</v>
      </c>
      <c r="DL120" s="21" t="s">
        <v>696</v>
      </c>
      <c r="DM120" s="21" t="s">
        <v>1853</v>
      </c>
      <c r="EO120" s="21">
        <v>1962.0</v>
      </c>
      <c r="EP120" s="21">
        <v>1962.0</v>
      </c>
      <c r="EQ120" s="21" t="s">
        <v>674</v>
      </c>
      <c r="ES120" s="21" t="s">
        <v>744</v>
      </c>
      <c r="EX120" s="21" t="s">
        <v>696</v>
      </c>
      <c r="EY120" s="21" t="s">
        <v>1854</v>
      </c>
      <c r="EZ120" s="21">
        <v>864.0</v>
      </c>
      <c r="FA120" s="21">
        <v>94.0</v>
      </c>
      <c r="FC120" s="21" t="s">
        <v>677</v>
      </c>
      <c r="FD120" s="21" t="s">
        <v>656</v>
      </c>
      <c r="FF120" s="21">
        <v>621.0</v>
      </c>
      <c r="FH120" s="21" t="s">
        <v>659</v>
      </c>
      <c r="FI120" s="21" t="s">
        <v>656</v>
      </c>
      <c r="FJ120" s="21" t="s">
        <v>656</v>
      </c>
      <c r="FO120" s="21">
        <v>993000.0</v>
      </c>
      <c r="FP120" s="21">
        <v>285616.0</v>
      </c>
      <c r="FQ120" s="21">
        <v>5436.0</v>
      </c>
      <c r="FR120" s="21">
        <v>206000.0</v>
      </c>
      <c r="FS120" s="21">
        <v>12000.0</v>
      </c>
      <c r="FT120" s="21">
        <v>0.0</v>
      </c>
      <c r="FW120" s="21">
        <v>1502052.0</v>
      </c>
      <c r="GF120" s="21">
        <v>888.0</v>
      </c>
      <c r="GH120" s="21">
        <v>900.0</v>
      </c>
      <c r="GI120" s="21" t="s">
        <v>1095</v>
      </c>
      <c r="GM120" s="21" t="s">
        <v>679</v>
      </c>
      <c r="GN120" s="21" t="s">
        <v>656</v>
      </c>
      <c r="GS120" s="21" t="s">
        <v>720</v>
      </c>
      <c r="GT120" s="21" t="s">
        <v>720</v>
      </c>
      <c r="GU120" s="21">
        <v>84069.0</v>
      </c>
      <c r="GV120" s="21" t="s">
        <v>659</v>
      </c>
      <c r="HD120" s="21" t="s">
        <v>656</v>
      </c>
      <c r="HK120" s="21" t="s">
        <v>721</v>
      </c>
      <c r="HL120" s="21" t="s">
        <v>659</v>
      </c>
      <c r="HM120" s="21" t="s">
        <v>659</v>
      </c>
      <c r="HN120" s="21" t="s">
        <v>659</v>
      </c>
      <c r="HO120" s="21" t="s">
        <v>659</v>
      </c>
      <c r="HP120" s="21" t="s">
        <v>659</v>
      </c>
      <c r="HQ120" s="21" t="s">
        <v>698</v>
      </c>
      <c r="HS120" s="21" t="s">
        <v>699</v>
      </c>
      <c r="HT120" s="21" t="s">
        <v>760</v>
      </c>
      <c r="HV120" s="21" t="s">
        <v>659</v>
      </c>
      <c r="HY120" s="21" t="s">
        <v>659</v>
      </c>
      <c r="HZ120" s="21" t="s">
        <v>659</v>
      </c>
      <c r="IH120" s="21" t="s">
        <v>659</v>
      </c>
      <c r="II120" s="21" t="s">
        <v>656</v>
      </c>
      <c r="IJ120" s="21">
        <v>4.0</v>
      </c>
      <c r="IK120" s="21">
        <v>0.0</v>
      </c>
      <c r="IN120" s="21" t="s">
        <v>808</v>
      </c>
      <c r="IO120" s="21" t="s">
        <v>1104</v>
      </c>
      <c r="NS120" s="21" t="s">
        <v>1104</v>
      </c>
      <c r="NU120" s="21" t="s">
        <v>659</v>
      </c>
      <c r="OE120" s="21" t="s">
        <v>1105</v>
      </c>
      <c r="OK120" s="21" t="s">
        <v>659</v>
      </c>
      <c r="QW120" s="21" t="s">
        <v>659</v>
      </c>
      <c r="QX120" s="21" t="s">
        <v>659</v>
      </c>
      <c r="RA120" s="21" t="s">
        <v>659</v>
      </c>
      <c r="RD120" s="21" t="s">
        <v>659</v>
      </c>
      <c r="RE120" s="21">
        <v>2008.0</v>
      </c>
      <c r="SK120" s="21">
        <v>2008.0</v>
      </c>
      <c r="TC120" s="21" t="s">
        <v>1855</v>
      </c>
      <c r="TD120" s="21">
        <v>2015.0</v>
      </c>
      <c r="TI120" s="21" t="s">
        <v>659</v>
      </c>
      <c r="TJ120" s="21">
        <v>2019.0</v>
      </c>
      <c r="TK120" s="21">
        <v>1145.0</v>
      </c>
      <c r="TL120" s="21" t="s">
        <v>656</v>
      </c>
      <c r="TZ120" s="21" t="s">
        <v>656</v>
      </c>
      <c r="WL120" s="21" t="s">
        <v>1752</v>
      </c>
      <c r="WM120" s="21" t="s">
        <v>1753</v>
      </c>
      <c r="WN120" s="21" t="s">
        <v>1754</v>
      </c>
      <c r="WO120" s="21" t="s">
        <v>1846</v>
      </c>
      <c r="WT120" s="21" t="s">
        <v>1752</v>
      </c>
      <c r="WU120" s="21" t="s">
        <v>1753</v>
      </c>
      <c r="WV120" s="21" t="s">
        <v>1846</v>
      </c>
      <c r="WW120" s="21" t="s">
        <v>1754</v>
      </c>
      <c r="WX120" s="21" t="s">
        <v>1856</v>
      </c>
    </row>
    <row r="121">
      <c r="A121" s="21">
        <v>841.0</v>
      </c>
      <c r="B121" s="22">
        <v>43420.0</v>
      </c>
      <c r="C121" s="21">
        <v>2018.0</v>
      </c>
      <c r="D121" s="21">
        <v>2.0180117E7</v>
      </c>
      <c r="E121" s="21">
        <v>32673.0</v>
      </c>
      <c r="F121" s="21" t="s">
        <v>778</v>
      </c>
      <c r="G121" s="21">
        <v>32099.0</v>
      </c>
      <c r="H121" s="21" t="s">
        <v>651</v>
      </c>
      <c r="I121" s="21" t="s">
        <v>652</v>
      </c>
      <c r="J121" s="21" t="s">
        <v>653</v>
      </c>
      <c r="K121" s="21" t="s">
        <v>654</v>
      </c>
      <c r="L121" s="21">
        <v>77002.0</v>
      </c>
      <c r="M121" s="23">
        <v>43391.45138888889</v>
      </c>
      <c r="P121" s="21">
        <v>27.52888889</v>
      </c>
      <c r="Q121" s="21">
        <v>-97.96194444</v>
      </c>
      <c r="R121" s="21">
        <v>1227857.0</v>
      </c>
      <c r="S121" s="24">
        <v>43391.55972222222</v>
      </c>
      <c r="U121" s="21" t="s">
        <v>657</v>
      </c>
      <c r="W121" s="21">
        <v>213570.0</v>
      </c>
      <c r="X121" s="21">
        <v>0.0</v>
      </c>
      <c r="Y121" s="21">
        <v>0.0</v>
      </c>
      <c r="Z121" s="21" t="s">
        <v>656</v>
      </c>
      <c r="AF121" s="21">
        <v>0.0</v>
      </c>
      <c r="AG121" s="21" t="s">
        <v>656</v>
      </c>
      <c r="AM121" s="21">
        <v>0.0</v>
      </c>
      <c r="AO121" s="21" t="s">
        <v>659</v>
      </c>
      <c r="AQ121" s="24">
        <v>43391.48263888889</v>
      </c>
      <c r="AR121" s="24">
        <v>43416.375</v>
      </c>
      <c r="AW121" s="21" t="s">
        <v>659</v>
      </c>
      <c r="BB121" s="21" t="s">
        <v>659</v>
      </c>
      <c r="BI121" s="21">
        <v>0.0</v>
      </c>
      <c r="BJ121" s="24">
        <v>43391.46527777778</v>
      </c>
      <c r="BK121" s="24">
        <v>43391.46388888889</v>
      </c>
      <c r="BM121" s="21" t="s">
        <v>662</v>
      </c>
      <c r="BN121" s="21" t="s">
        <v>654</v>
      </c>
      <c r="BO121" s="21">
        <v>78364.0</v>
      </c>
      <c r="BP121" s="21" t="s">
        <v>1825</v>
      </c>
      <c r="BQ121" s="21" t="s">
        <v>1826</v>
      </c>
      <c r="BR121" s="21" t="s">
        <v>892</v>
      </c>
      <c r="BS121" s="21" t="s">
        <v>1857</v>
      </c>
      <c r="BT121" s="21" t="s">
        <v>1858</v>
      </c>
      <c r="BU121" s="21" t="s">
        <v>1858</v>
      </c>
      <c r="BV121" s="21" t="s">
        <v>656</v>
      </c>
      <c r="BW121" s="21" t="s">
        <v>738</v>
      </c>
      <c r="BX121" s="21" t="s">
        <v>739</v>
      </c>
      <c r="BY121" s="21" t="s">
        <v>740</v>
      </c>
      <c r="CA121" s="21">
        <v>96.0</v>
      </c>
      <c r="CC121" s="21" t="s">
        <v>656</v>
      </c>
      <c r="CZ121" s="21" t="s">
        <v>671</v>
      </c>
      <c r="DA121" s="21" t="s">
        <v>741</v>
      </c>
      <c r="DB121" s="21" t="s">
        <v>714</v>
      </c>
      <c r="DC121" s="21" t="s">
        <v>715</v>
      </c>
      <c r="DD121" s="21">
        <v>16.0</v>
      </c>
      <c r="DF121" s="21">
        <v>0.25</v>
      </c>
      <c r="DG121" s="21">
        <v>52000.0</v>
      </c>
      <c r="DH121" s="21" t="s">
        <v>964</v>
      </c>
      <c r="DI121" s="21" t="s">
        <v>696</v>
      </c>
      <c r="DJ121" s="21" t="s">
        <v>1859</v>
      </c>
      <c r="DK121" s="21" t="s">
        <v>1839</v>
      </c>
      <c r="DL121" s="21" t="s">
        <v>743</v>
      </c>
      <c r="EO121" s="21">
        <v>1964.0</v>
      </c>
      <c r="EP121" s="21">
        <v>1964.0</v>
      </c>
      <c r="EQ121" s="21" t="s">
        <v>674</v>
      </c>
      <c r="ES121" s="21" t="s">
        <v>744</v>
      </c>
      <c r="EX121" s="21" t="s">
        <v>745</v>
      </c>
      <c r="EZ121" s="21">
        <v>16.0</v>
      </c>
      <c r="FA121" s="21">
        <v>21.5</v>
      </c>
      <c r="FC121" s="21" t="s">
        <v>677</v>
      </c>
      <c r="FD121" s="21" t="s">
        <v>656</v>
      </c>
      <c r="FF121" s="21">
        <v>425.0</v>
      </c>
      <c r="FH121" s="21" t="s">
        <v>656</v>
      </c>
      <c r="FI121" s="21" t="s">
        <v>656</v>
      </c>
      <c r="FJ121" s="21" t="s">
        <v>656</v>
      </c>
      <c r="FO121" s="21">
        <v>0.0</v>
      </c>
      <c r="FP121" s="21">
        <v>728273.0</v>
      </c>
      <c r="FQ121" s="21">
        <v>0.0</v>
      </c>
      <c r="FR121" s="21">
        <v>250000.0</v>
      </c>
      <c r="FS121" s="21">
        <v>0.0</v>
      </c>
      <c r="FT121" s="21">
        <v>0.0</v>
      </c>
      <c r="FW121" s="21">
        <v>978273.0</v>
      </c>
      <c r="GF121" s="21">
        <v>1140.0</v>
      </c>
      <c r="GH121" s="21">
        <v>1170.0</v>
      </c>
      <c r="GI121" s="21" t="s">
        <v>719</v>
      </c>
      <c r="GM121" s="21" t="s">
        <v>679</v>
      </c>
      <c r="GN121" s="21" t="s">
        <v>656</v>
      </c>
      <c r="GS121" s="21" t="s">
        <v>720</v>
      </c>
      <c r="GT121" s="21" t="s">
        <v>720</v>
      </c>
      <c r="GU121" s="21">
        <v>41554.0</v>
      </c>
      <c r="GV121" s="21" t="s">
        <v>659</v>
      </c>
      <c r="HD121" s="21" t="s">
        <v>656</v>
      </c>
      <c r="HK121" s="21" t="s">
        <v>721</v>
      </c>
      <c r="HL121" s="21" t="s">
        <v>659</v>
      </c>
      <c r="HM121" s="21" t="s">
        <v>659</v>
      </c>
      <c r="HN121" s="21" t="s">
        <v>659</v>
      </c>
      <c r="HO121" s="21" t="s">
        <v>659</v>
      </c>
      <c r="HP121" s="21" t="s">
        <v>659</v>
      </c>
      <c r="HQ121" s="21" t="s">
        <v>681</v>
      </c>
      <c r="HT121" s="21" t="s">
        <v>760</v>
      </c>
      <c r="HZ121" s="21" t="s">
        <v>659</v>
      </c>
      <c r="IH121" s="21" t="s">
        <v>659</v>
      </c>
      <c r="II121" s="21" t="s">
        <v>656</v>
      </c>
      <c r="IJ121" s="21">
        <v>2.0</v>
      </c>
      <c r="IK121" s="21">
        <v>0.0</v>
      </c>
      <c r="IN121" s="21" t="s">
        <v>725</v>
      </c>
      <c r="IO121" s="21" t="s">
        <v>900</v>
      </c>
      <c r="IP121" s="21" t="s">
        <v>900</v>
      </c>
      <c r="IQ121" s="21" t="s">
        <v>901</v>
      </c>
      <c r="IV121" s="21" t="s">
        <v>659</v>
      </c>
      <c r="JC121" s="21" t="s">
        <v>659</v>
      </c>
      <c r="JF121" s="21" t="s">
        <v>659</v>
      </c>
      <c r="JG121" s="21" t="s">
        <v>659</v>
      </c>
      <c r="JH121" s="21">
        <v>1965.0</v>
      </c>
      <c r="JI121" s="21" t="s">
        <v>659</v>
      </c>
      <c r="JJ121" s="21" t="s">
        <v>659</v>
      </c>
      <c r="JK121" s="21" t="s">
        <v>659</v>
      </c>
      <c r="JL121" s="21" t="s">
        <v>659</v>
      </c>
      <c r="JO121" s="21">
        <v>2018.0</v>
      </c>
      <c r="JP121" s="21">
        <v>2018.0</v>
      </c>
      <c r="JS121" s="21" t="s">
        <v>659</v>
      </c>
      <c r="QW121" s="21" t="s">
        <v>659</v>
      </c>
      <c r="RD121" s="21" t="s">
        <v>659</v>
      </c>
      <c r="TC121" s="21" t="s">
        <v>1855</v>
      </c>
      <c r="TD121" s="21">
        <v>2013.0</v>
      </c>
      <c r="TI121" s="21" t="s">
        <v>656</v>
      </c>
      <c r="TL121" s="21" t="s">
        <v>656</v>
      </c>
      <c r="TZ121" s="21" t="s">
        <v>656</v>
      </c>
      <c r="WL121" s="21" t="s">
        <v>1860</v>
      </c>
      <c r="WM121" s="21" t="s">
        <v>1861</v>
      </c>
      <c r="WN121" s="21" t="s">
        <v>1862</v>
      </c>
      <c r="WO121" s="21" t="s">
        <v>1863</v>
      </c>
      <c r="WT121" s="21" t="s">
        <v>1709</v>
      </c>
      <c r="WU121" s="21" t="s">
        <v>1864</v>
      </c>
      <c r="WV121" s="21" t="s">
        <v>1711</v>
      </c>
      <c r="WW121" s="21" t="s">
        <v>1712</v>
      </c>
      <c r="WX121" s="21" t="s">
        <v>1865</v>
      </c>
    </row>
    <row r="122">
      <c r="A122" s="21">
        <v>844.0</v>
      </c>
      <c r="B122" s="22">
        <v>43412.0</v>
      </c>
      <c r="C122" s="21">
        <v>2018.0</v>
      </c>
      <c r="D122" s="21">
        <v>2.018011E7</v>
      </c>
      <c r="E122" s="21">
        <v>31170.0</v>
      </c>
      <c r="F122" s="21" t="s">
        <v>778</v>
      </c>
      <c r="G122" s="21">
        <v>5304.0</v>
      </c>
      <c r="H122" s="21" t="s">
        <v>932</v>
      </c>
      <c r="I122" s="21" t="s">
        <v>652</v>
      </c>
      <c r="J122" s="21" t="s">
        <v>653</v>
      </c>
      <c r="K122" s="21" t="s">
        <v>654</v>
      </c>
      <c r="L122" s="21">
        <v>77002.0</v>
      </c>
      <c r="M122" s="23">
        <v>43384.083333333336</v>
      </c>
      <c r="P122" s="21">
        <v>30.7791</v>
      </c>
      <c r="Q122" s="21">
        <v>-85.5583</v>
      </c>
      <c r="R122" s="21">
        <v>1227167.0</v>
      </c>
      <c r="S122" s="24">
        <v>43384.30694444444</v>
      </c>
      <c r="W122" s="21">
        <v>0.0</v>
      </c>
      <c r="X122" s="21">
        <v>0.0</v>
      </c>
      <c r="Y122" s="21">
        <v>0.0</v>
      </c>
      <c r="Z122" s="21" t="s">
        <v>656</v>
      </c>
      <c r="AF122" s="21">
        <v>0.0</v>
      </c>
      <c r="AG122" s="21" t="s">
        <v>656</v>
      </c>
      <c r="AM122" s="21">
        <v>0.0</v>
      </c>
      <c r="AO122" s="21" t="s">
        <v>659</v>
      </c>
      <c r="AQ122" s="24">
        <v>43384.083333333336</v>
      </c>
      <c r="AR122" s="24">
        <v>43384.375</v>
      </c>
      <c r="AW122" s="21" t="s">
        <v>656</v>
      </c>
      <c r="BB122" s="21" t="s">
        <v>656</v>
      </c>
      <c r="BI122" s="21">
        <v>0.0</v>
      </c>
      <c r="BJ122" s="24">
        <v>43384.083333333336</v>
      </c>
      <c r="BK122" s="24">
        <v>43384.125</v>
      </c>
      <c r="BM122" s="21" t="s">
        <v>662</v>
      </c>
      <c r="BN122" s="21" t="s">
        <v>934</v>
      </c>
      <c r="BO122" s="21">
        <v>32428.0</v>
      </c>
      <c r="BP122" s="21" t="s">
        <v>1866</v>
      </c>
      <c r="BQ122" s="21" t="s">
        <v>1867</v>
      </c>
      <c r="BR122" s="21" t="s">
        <v>892</v>
      </c>
      <c r="BS122" s="21" t="s">
        <v>1868</v>
      </c>
      <c r="BT122" s="21" t="s">
        <v>1869</v>
      </c>
      <c r="BU122" s="21" t="s">
        <v>1870</v>
      </c>
      <c r="BV122" s="21" t="s">
        <v>656</v>
      </c>
      <c r="BW122" s="21" t="s">
        <v>668</v>
      </c>
      <c r="BX122" s="21" t="s">
        <v>669</v>
      </c>
      <c r="BY122" s="21" t="s">
        <v>670</v>
      </c>
      <c r="CC122" s="21" t="s">
        <v>656</v>
      </c>
      <c r="CZ122" s="21" t="s">
        <v>712</v>
      </c>
      <c r="DA122" s="21" t="s">
        <v>920</v>
      </c>
      <c r="DB122" s="21" t="s">
        <v>1871</v>
      </c>
      <c r="EO122" s="21">
        <v>2010.0</v>
      </c>
      <c r="EQ122" s="21" t="s">
        <v>674</v>
      </c>
      <c r="ES122" s="21" t="s">
        <v>696</v>
      </c>
      <c r="FB122" s="21" t="s">
        <v>1872</v>
      </c>
      <c r="FC122" s="21" t="s">
        <v>1256</v>
      </c>
      <c r="FD122" s="21" t="s">
        <v>656</v>
      </c>
      <c r="FF122" s="21">
        <v>27.0</v>
      </c>
      <c r="FH122" s="21" t="s">
        <v>656</v>
      </c>
      <c r="FI122" s="21" t="s">
        <v>656</v>
      </c>
      <c r="FJ122" s="21" t="s">
        <v>656</v>
      </c>
      <c r="FO122" s="21">
        <v>0.0</v>
      </c>
      <c r="FP122" s="21">
        <v>0.0</v>
      </c>
      <c r="FQ122" s="21">
        <v>0.0</v>
      </c>
      <c r="FR122" s="21">
        <v>0.0</v>
      </c>
      <c r="FS122" s="21">
        <v>146000.0</v>
      </c>
      <c r="FT122" s="21">
        <v>0.0</v>
      </c>
      <c r="FW122" s="21">
        <v>146000.0</v>
      </c>
      <c r="GF122" s="21">
        <v>101.0</v>
      </c>
      <c r="GH122" s="21">
        <v>120.0</v>
      </c>
      <c r="GI122" s="21" t="s">
        <v>774</v>
      </c>
      <c r="GM122" s="21" t="s">
        <v>679</v>
      </c>
      <c r="GN122" s="21" t="s">
        <v>656</v>
      </c>
      <c r="HK122" s="21" t="s">
        <v>721</v>
      </c>
      <c r="HL122" s="21" t="s">
        <v>659</v>
      </c>
      <c r="HM122" s="21" t="s">
        <v>659</v>
      </c>
      <c r="HN122" s="21" t="s">
        <v>659</v>
      </c>
      <c r="HO122" s="21" t="s">
        <v>656</v>
      </c>
      <c r="HP122" s="21" t="s">
        <v>656</v>
      </c>
      <c r="HQ122" s="21" t="s">
        <v>806</v>
      </c>
      <c r="HT122" s="21" t="s">
        <v>723</v>
      </c>
      <c r="HU122" s="21" t="s">
        <v>1873</v>
      </c>
      <c r="IH122" s="21" t="s">
        <v>656</v>
      </c>
      <c r="II122" s="21" t="s">
        <v>656</v>
      </c>
      <c r="IN122" s="21" t="s">
        <v>867</v>
      </c>
      <c r="IO122" s="21" t="s">
        <v>1638</v>
      </c>
      <c r="KP122" s="21" t="s">
        <v>1638</v>
      </c>
      <c r="KU122" s="21" t="s">
        <v>1874</v>
      </c>
      <c r="KV122" s="21" t="s">
        <v>659</v>
      </c>
      <c r="KW122" s="21" t="s">
        <v>659</v>
      </c>
      <c r="WL122" s="21" t="s">
        <v>1752</v>
      </c>
      <c r="WM122" s="21" t="s">
        <v>1753</v>
      </c>
      <c r="WN122" s="21" t="s">
        <v>1754</v>
      </c>
      <c r="WO122" s="21" t="s">
        <v>1764</v>
      </c>
      <c r="WT122" s="21" t="s">
        <v>1752</v>
      </c>
      <c r="WU122" s="21" t="s">
        <v>1753</v>
      </c>
      <c r="WV122" s="21" t="s">
        <v>1764</v>
      </c>
      <c r="WW122" s="21" t="s">
        <v>1754</v>
      </c>
      <c r="WX122" s="21" t="s">
        <v>1875</v>
      </c>
    </row>
    <row r="123">
      <c r="A123" s="21">
        <v>846.0</v>
      </c>
      <c r="B123" s="22">
        <v>43399.0</v>
      </c>
      <c r="C123" s="21">
        <v>2018.0</v>
      </c>
      <c r="D123" s="21">
        <v>2.0180107E7</v>
      </c>
      <c r="E123" s="21">
        <v>31486.0</v>
      </c>
      <c r="F123" s="21" t="s">
        <v>778</v>
      </c>
      <c r="G123" s="21">
        <v>32099.0</v>
      </c>
      <c r="H123" s="21" t="s">
        <v>651</v>
      </c>
      <c r="I123" s="21" t="s">
        <v>652</v>
      </c>
      <c r="J123" s="21" t="s">
        <v>653</v>
      </c>
      <c r="K123" s="21" t="s">
        <v>654</v>
      </c>
      <c r="L123" s="21">
        <v>77002.0</v>
      </c>
      <c r="M123" s="23">
        <v>43371.322916666664</v>
      </c>
      <c r="P123" s="21">
        <v>27.7061111</v>
      </c>
      <c r="Q123" s="21">
        <v>-97.8652778</v>
      </c>
      <c r="R123" s="21">
        <v>1225979.0</v>
      </c>
      <c r="S123" s="24">
        <v>43371.55069444444</v>
      </c>
      <c r="U123" s="21" t="s">
        <v>657</v>
      </c>
      <c r="W123" s="21">
        <v>0.1</v>
      </c>
      <c r="X123" s="21">
        <v>0.0</v>
      </c>
      <c r="Y123" s="21">
        <v>0.0</v>
      </c>
      <c r="Z123" s="21" t="s">
        <v>656</v>
      </c>
      <c r="AF123" s="21">
        <v>0.0</v>
      </c>
      <c r="AG123" s="21" t="s">
        <v>659</v>
      </c>
      <c r="AH123" s="21">
        <v>1.0</v>
      </c>
      <c r="AI123" s="21">
        <v>0.0</v>
      </c>
      <c r="AJ123" s="21">
        <v>0.0</v>
      </c>
      <c r="AK123" s="21">
        <v>0.0</v>
      </c>
      <c r="AL123" s="21">
        <v>0.0</v>
      </c>
      <c r="AM123" s="21">
        <v>1.0</v>
      </c>
      <c r="AO123" s="21" t="s">
        <v>656</v>
      </c>
      <c r="AP123" s="21" t="s">
        <v>1876</v>
      </c>
      <c r="AW123" s="21" t="s">
        <v>656</v>
      </c>
      <c r="BB123" s="21" t="s">
        <v>656</v>
      </c>
      <c r="BI123" s="21">
        <v>0.0</v>
      </c>
      <c r="BJ123" s="24">
        <v>43371.322916666664</v>
      </c>
      <c r="BK123" s="24">
        <v>43371.322916666664</v>
      </c>
      <c r="BM123" s="21" t="s">
        <v>662</v>
      </c>
      <c r="BN123" s="21" t="s">
        <v>654</v>
      </c>
      <c r="BO123" s="21">
        <v>78380.0</v>
      </c>
      <c r="BP123" s="21" t="s">
        <v>1877</v>
      </c>
      <c r="BQ123" s="21" t="s">
        <v>1878</v>
      </c>
      <c r="BR123" s="21" t="s">
        <v>735</v>
      </c>
      <c r="BS123" s="21" t="s">
        <v>1879</v>
      </c>
      <c r="BT123" s="21" t="s">
        <v>1880</v>
      </c>
      <c r="BU123" s="21" t="s">
        <v>1880</v>
      </c>
      <c r="BV123" s="21" t="s">
        <v>656</v>
      </c>
      <c r="BW123" s="21" t="s">
        <v>668</v>
      </c>
      <c r="BX123" s="21" t="s">
        <v>669</v>
      </c>
      <c r="BY123" s="21" t="s">
        <v>670</v>
      </c>
      <c r="CC123" s="21" t="s">
        <v>656</v>
      </c>
      <c r="CZ123" s="21" t="s">
        <v>671</v>
      </c>
      <c r="DA123" s="21" t="s">
        <v>672</v>
      </c>
      <c r="DB123" s="21" t="s">
        <v>1881</v>
      </c>
      <c r="EO123" s="21">
        <v>2007.0</v>
      </c>
      <c r="EQ123" s="21" t="s">
        <v>1081</v>
      </c>
      <c r="ER123" s="21" t="s">
        <v>1882</v>
      </c>
      <c r="ES123" s="21" t="s">
        <v>696</v>
      </c>
      <c r="FB123" s="21" t="s">
        <v>1883</v>
      </c>
      <c r="FC123" s="21" t="s">
        <v>677</v>
      </c>
      <c r="FD123" s="21" t="s">
        <v>656</v>
      </c>
      <c r="FF123" s="21">
        <v>425.0</v>
      </c>
      <c r="FH123" s="21" t="s">
        <v>656</v>
      </c>
      <c r="FI123" s="21" t="s">
        <v>656</v>
      </c>
      <c r="FJ123" s="21" t="s">
        <v>656</v>
      </c>
      <c r="FO123" s="21">
        <v>0.0</v>
      </c>
      <c r="FP123" s="21">
        <v>0.0</v>
      </c>
      <c r="FQ123" s="21">
        <v>0.0</v>
      </c>
      <c r="FR123" s="21">
        <v>1500.0</v>
      </c>
      <c r="FS123" s="21">
        <v>0.0</v>
      </c>
      <c r="FT123" s="21">
        <v>0.0</v>
      </c>
      <c r="FW123" s="21">
        <v>1500.0</v>
      </c>
      <c r="GF123" s="21">
        <v>1140.0</v>
      </c>
      <c r="GH123" s="21">
        <v>1170.0</v>
      </c>
      <c r="GI123" s="21" t="s">
        <v>719</v>
      </c>
      <c r="GM123" s="21" t="s">
        <v>679</v>
      </c>
      <c r="GN123" s="21" t="s">
        <v>656</v>
      </c>
      <c r="HK123" s="21" t="s">
        <v>721</v>
      </c>
      <c r="HL123" s="21" t="s">
        <v>659</v>
      </c>
      <c r="HM123" s="21" t="s">
        <v>659</v>
      </c>
      <c r="HN123" s="21" t="s">
        <v>659</v>
      </c>
      <c r="HO123" s="21" t="s">
        <v>656</v>
      </c>
      <c r="HP123" s="21" t="s">
        <v>656</v>
      </c>
      <c r="HQ123" s="21" t="s">
        <v>698</v>
      </c>
      <c r="HS123" s="21" t="s">
        <v>699</v>
      </c>
      <c r="HT123" s="21" t="s">
        <v>723</v>
      </c>
      <c r="HU123" s="21" t="s">
        <v>1884</v>
      </c>
      <c r="IH123" s="21" t="s">
        <v>659</v>
      </c>
      <c r="II123" s="21" t="s">
        <v>656</v>
      </c>
      <c r="IJ123" s="21">
        <v>1.0</v>
      </c>
      <c r="IK123" s="21">
        <v>0.0</v>
      </c>
      <c r="IN123" s="21" t="s">
        <v>761</v>
      </c>
      <c r="IO123" s="21" t="s">
        <v>959</v>
      </c>
      <c r="OU123" s="21" t="s">
        <v>959</v>
      </c>
      <c r="PU123" s="21" t="s">
        <v>659</v>
      </c>
      <c r="WL123" s="21" t="s">
        <v>1885</v>
      </c>
      <c r="WM123" s="21" t="s">
        <v>1861</v>
      </c>
      <c r="WN123" s="21" t="s">
        <v>1886</v>
      </c>
      <c r="WO123" s="21" t="s">
        <v>1863</v>
      </c>
      <c r="WT123" s="21" t="s">
        <v>1812</v>
      </c>
      <c r="WU123" s="21" t="s">
        <v>1725</v>
      </c>
      <c r="WV123" s="21" t="s">
        <v>1195</v>
      </c>
      <c r="WW123" s="21" t="s">
        <v>1196</v>
      </c>
      <c r="WX123" s="21" t="s">
        <v>1887</v>
      </c>
    </row>
    <row r="124">
      <c r="A124" s="21">
        <v>854.0</v>
      </c>
      <c r="B124" s="22">
        <v>43383.0</v>
      </c>
      <c r="C124" s="21">
        <v>2018.0</v>
      </c>
      <c r="D124" s="21">
        <v>2.01801E7</v>
      </c>
      <c r="E124" s="21">
        <v>34938.0</v>
      </c>
      <c r="F124" s="21" t="s">
        <v>778</v>
      </c>
      <c r="G124" s="21">
        <v>32099.0</v>
      </c>
      <c r="H124" s="21" t="s">
        <v>651</v>
      </c>
      <c r="I124" s="21" t="s">
        <v>652</v>
      </c>
      <c r="J124" s="21" t="s">
        <v>653</v>
      </c>
      <c r="K124" s="21" t="s">
        <v>654</v>
      </c>
      <c r="L124" s="21">
        <v>77002.0</v>
      </c>
      <c r="M124" s="23">
        <v>43353.222916666666</v>
      </c>
      <c r="N124" s="21" t="s">
        <v>933</v>
      </c>
      <c r="O124" s="21" t="s">
        <v>656</v>
      </c>
      <c r="P124" s="21">
        <v>40.621986</v>
      </c>
      <c r="Q124" s="21">
        <v>-80.311131</v>
      </c>
      <c r="R124" s="21">
        <v>1224150.0</v>
      </c>
      <c r="S124" s="24">
        <v>43353.294444444444</v>
      </c>
      <c r="T124" s="21">
        <v>1224314.0</v>
      </c>
      <c r="U124" s="21" t="s">
        <v>657</v>
      </c>
      <c r="W124" s="21">
        <v>40000.0</v>
      </c>
      <c r="X124" s="21">
        <v>3900.0</v>
      </c>
      <c r="Y124" s="21">
        <v>0.0</v>
      </c>
      <c r="Z124" s="21" t="s">
        <v>656</v>
      </c>
      <c r="AF124" s="21">
        <v>0.0</v>
      </c>
      <c r="AG124" s="21" t="s">
        <v>656</v>
      </c>
      <c r="AM124" s="21">
        <v>0.0</v>
      </c>
      <c r="AN124" s="21" t="s">
        <v>1888</v>
      </c>
      <c r="AT124" s="21" t="s">
        <v>656</v>
      </c>
      <c r="AW124" s="21" t="s">
        <v>659</v>
      </c>
      <c r="AX124" s="24">
        <v>43353.222916666666</v>
      </c>
      <c r="AY124" s="21" t="s">
        <v>696</v>
      </c>
      <c r="AZ124" s="21" t="s">
        <v>1889</v>
      </c>
      <c r="BA124" s="21">
        <v>40000.0</v>
      </c>
      <c r="BB124" s="21" t="s">
        <v>656</v>
      </c>
      <c r="BC124" s="21" t="s">
        <v>704</v>
      </c>
      <c r="BE124" s="24">
        <v>43353.225</v>
      </c>
      <c r="BF124" s="21" t="s">
        <v>704</v>
      </c>
      <c r="BH124" s="24">
        <v>43353.254166666666</v>
      </c>
      <c r="BI124" s="21">
        <v>49.0</v>
      </c>
      <c r="BJ124" s="24">
        <v>43353.222916666666</v>
      </c>
      <c r="BK124" s="24">
        <v>43353.225</v>
      </c>
      <c r="BM124" s="21" t="s">
        <v>662</v>
      </c>
      <c r="BN124" s="21" t="s">
        <v>1890</v>
      </c>
      <c r="BO124" s="21" t="s">
        <v>1891</v>
      </c>
      <c r="BP124" s="21" t="s">
        <v>1892</v>
      </c>
      <c r="BQ124" s="21" t="s">
        <v>1893</v>
      </c>
      <c r="BR124" s="21" t="s">
        <v>735</v>
      </c>
      <c r="BS124" s="21" t="s">
        <v>1894</v>
      </c>
      <c r="BT124" s="21" t="s">
        <v>1895</v>
      </c>
      <c r="BU124" s="21">
        <v>2.015015E7</v>
      </c>
      <c r="BV124" s="21" t="s">
        <v>656</v>
      </c>
      <c r="BW124" s="21" t="s">
        <v>738</v>
      </c>
      <c r="BX124" s="21" t="s">
        <v>739</v>
      </c>
      <c r="BY124" s="21" t="s">
        <v>740</v>
      </c>
      <c r="CA124" s="21">
        <v>64.0</v>
      </c>
      <c r="CB124" s="21" t="s">
        <v>656</v>
      </c>
      <c r="CC124" s="21" t="s">
        <v>656</v>
      </c>
      <c r="CZ124" s="21" t="s">
        <v>671</v>
      </c>
      <c r="DA124" s="21" t="s">
        <v>741</v>
      </c>
      <c r="DB124" s="21" t="s">
        <v>800</v>
      </c>
      <c r="DD124" s="21">
        <v>24.0</v>
      </c>
      <c r="DF124" s="21">
        <v>0.495</v>
      </c>
      <c r="DG124" s="21">
        <v>70000.0</v>
      </c>
      <c r="DH124" s="21" t="s">
        <v>1896</v>
      </c>
      <c r="DI124" s="21" t="s">
        <v>771</v>
      </c>
      <c r="DK124" s="21" t="s">
        <v>1897</v>
      </c>
      <c r="DL124" s="21" t="s">
        <v>824</v>
      </c>
      <c r="DN124" s="21" t="s">
        <v>659</v>
      </c>
      <c r="DV124" s="21" t="s">
        <v>804</v>
      </c>
      <c r="DX124" s="21" t="s">
        <v>656</v>
      </c>
      <c r="EO124" s="21">
        <v>2018.0</v>
      </c>
      <c r="EP124" s="21">
        <v>2017.0</v>
      </c>
      <c r="EQ124" s="21" t="s">
        <v>674</v>
      </c>
      <c r="ES124" s="21" t="s">
        <v>744</v>
      </c>
      <c r="EX124" s="21" t="s">
        <v>745</v>
      </c>
      <c r="EZ124" s="21">
        <v>75.4</v>
      </c>
      <c r="FA124" s="21">
        <v>1.0</v>
      </c>
      <c r="FC124" s="21" t="s">
        <v>1256</v>
      </c>
      <c r="FD124" s="21" t="s">
        <v>656</v>
      </c>
      <c r="FF124" s="21">
        <v>690.0</v>
      </c>
      <c r="FH124" s="21" t="s">
        <v>659</v>
      </c>
      <c r="FI124" s="21" t="s">
        <v>659</v>
      </c>
      <c r="FO124" s="21">
        <v>99192.0</v>
      </c>
      <c r="FP124" s="21">
        <v>163844.0</v>
      </c>
      <c r="FQ124" s="21">
        <v>15975.0</v>
      </c>
      <c r="FR124" s="21">
        <v>6704700.0</v>
      </c>
      <c r="FS124" s="21">
        <v>5000.0</v>
      </c>
      <c r="FT124" s="21">
        <v>22435.0</v>
      </c>
      <c r="FU124" s="21" t="s">
        <v>1898</v>
      </c>
      <c r="FV124" s="21">
        <v>4.0961</v>
      </c>
      <c r="FW124" s="21">
        <v>7011146.0</v>
      </c>
      <c r="FX124" s="21">
        <v>0.0</v>
      </c>
      <c r="FY124" s="21">
        <v>0.0</v>
      </c>
      <c r="FZ124" s="21">
        <v>38.0</v>
      </c>
      <c r="GA124" s="21">
        <v>1.0</v>
      </c>
      <c r="GB124" s="21" t="s">
        <v>656</v>
      </c>
      <c r="GF124" s="21">
        <v>813.0</v>
      </c>
      <c r="GG124" s="21">
        <v>20000.0</v>
      </c>
      <c r="GH124" s="21">
        <v>1440.0</v>
      </c>
      <c r="GI124" s="21" t="s">
        <v>774</v>
      </c>
      <c r="GK124" s="25">
        <v>43147.0</v>
      </c>
      <c r="GL124" s="21" t="s">
        <v>656</v>
      </c>
      <c r="GM124" s="21" t="s">
        <v>679</v>
      </c>
      <c r="GN124" s="21" t="s">
        <v>656</v>
      </c>
      <c r="GQ124" s="21" t="s">
        <v>656</v>
      </c>
      <c r="GS124" s="21" t="s">
        <v>720</v>
      </c>
      <c r="GT124" s="21" t="s">
        <v>720</v>
      </c>
      <c r="GU124" s="21">
        <v>59980.0</v>
      </c>
      <c r="GV124" s="21" t="s">
        <v>659</v>
      </c>
      <c r="HD124" s="21" t="s">
        <v>656</v>
      </c>
      <c r="HK124" s="21" t="s">
        <v>1466</v>
      </c>
      <c r="HL124" s="21" t="s">
        <v>659</v>
      </c>
      <c r="HM124" s="21" t="s">
        <v>659</v>
      </c>
      <c r="HN124" s="21" t="s">
        <v>659</v>
      </c>
      <c r="HO124" s="21" t="s">
        <v>656</v>
      </c>
      <c r="HP124" s="21" t="s">
        <v>659</v>
      </c>
      <c r="HQ124" s="21" t="s">
        <v>698</v>
      </c>
      <c r="HS124" s="21" t="s">
        <v>699</v>
      </c>
      <c r="HT124" s="21" t="s">
        <v>760</v>
      </c>
      <c r="HV124" s="21" t="s">
        <v>659</v>
      </c>
      <c r="HY124" s="21" t="s">
        <v>659</v>
      </c>
      <c r="HZ124" s="21" t="s">
        <v>659</v>
      </c>
      <c r="IH124" s="21" t="s">
        <v>659</v>
      </c>
      <c r="II124" s="21" t="s">
        <v>656</v>
      </c>
      <c r="IJ124" s="21">
        <v>3.0</v>
      </c>
      <c r="IK124" s="21">
        <v>0.0</v>
      </c>
      <c r="IN124" s="21" t="s">
        <v>867</v>
      </c>
      <c r="IO124" s="21" t="s">
        <v>1899</v>
      </c>
      <c r="KP124" s="21" t="s">
        <v>1899</v>
      </c>
      <c r="KR124" s="21" t="s">
        <v>1900</v>
      </c>
      <c r="KV124" s="21" t="s">
        <v>659</v>
      </c>
      <c r="KX124" s="21" t="s">
        <v>659</v>
      </c>
      <c r="KZ124" s="21" t="s">
        <v>659</v>
      </c>
      <c r="LA124" s="21" t="s">
        <v>1901</v>
      </c>
      <c r="UX124" s="21" t="s">
        <v>659</v>
      </c>
      <c r="WL124" s="21" t="s">
        <v>1193</v>
      </c>
      <c r="WM124" s="21" t="s">
        <v>1194</v>
      </c>
      <c r="WN124" s="21" t="s">
        <v>1196</v>
      </c>
      <c r="WO124" s="21">
        <v>7.139897077E9</v>
      </c>
      <c r="WP124" s="21">
        <v>7.139891188E9</v>
      </c>
      <c r="WT124" s="21" t="s">
        <v>945</v>
      </c>
      <c r="WU124" s="21" t="s">
        <v>1144</v>
      </c>
      <c r="WV124" s="21">
        <v>7.139897126E9</v>
      </c>
      <c r="WW124" s="21" t="s">
        <v>947</v>
      </c>
      <c r="WX124" s="21" t="s">
        <v>1902</v>
      </c>
    </row>
    <row r="125">
      <c r="A125" s="21">
        <v>860.0</v>
      </c>
      <c r="B125" s="22">
        <v>43354.0</v>
      </c>
      <c r="C125" s="21">
        <v>2018.0</v>
      </c>
      <c r="D125" s="21">
        <v>2.0180092E7</v>
      </c>
      <c r="E125" s="21">
        <v>30926.0</v>
      </c>
      <c r="F125" s="21" t="s">
        <v>701</v>
      </c>
      <c r="G125" s="21">
        <v>18152.0</v>
      </c>
      <c r="H125" s="21" t="s">
        <v>702</v>
      </c>
      <c r="I125" s="21" t="s">
        <v>652</v>
      </c>
      <c r="J125" s="21" t="s">
        <v>653</v>
      </c>
      <c r="K125" s="21" t="s">
        <v>654</v>
      </c>
      <c r="L125" s="21">
        <v>77002.0</v>
      </c>
      <c r="M125" s="23">
        <v>43332.791666666664</v>
      </c>
      <c r="P125" s="21">
        <v>28.214083</v>
      </c>
      <c r="Q125" s="21">
        <v>-91.70338</v>
      </c>
      <c r="R125" s="21">
        <v>1222188.0</v>
      </c>
      <c r="S125" s="24">
        <v>43332.82361111111</v>
      </c>
      <c r="U125" s="21" t="s">
        <v>657</v>
      </c>
      <c r="W125" s="21">
        <v>300.0</v>
      </c>
      <c r="X125" s="21">
        <v>1906.0</v>
      </c>
      <c r="Y125" s="21">
        <v>0.1</v>
      </c>
      <c r="Z125" s="21" t="s">
        <v>656</v>
      </c>
      <c r="AF125" s="21">
        <v>0.0</v>
      </c>
      <c r="AG125" s="21" t="s">
        <v>656</v>
      </c>
      <c r="AM125" s="21">
        <v>0.0</v>
      </c>
      <c r="AO125" s="21" t="s">
        <v>659</v>
      </c>
      <c r="AQ125" s="24">
        <v>43332.791666666664</v>
      </c>
      <c r="AR125" s="24">
        <v>43337.06875</v>
      </c>
      <c r="AW125" s="21" t="s">
        <v>656</v>
      </c>
      <c r="BB125" s="21" t="s">
        <v>656</v>
      </c>
      <c r="BI125" s="21">
        <v>0.0</v>
      </c>
      <c r="BJ125" s="24">
        <v>43332.791666666664</v>
      </c>
      <c r="BK125" s="24">
        <v>43334.541666666664</v>
      </c>
      <c r="BM125" s="21" t="s">
        <v>705</v>
      </c>
      <c r="CP125" s="21">
        <v>260.0</v>
      </c>
      <c r="CQ125" s="21" t="s">
        <v>708</v>
      </c>
      <c r="CW125" s="21" t="s">
        <v>710</v>
      </c>
      <c r="CX125" s="21">
        <v>330.0</v>
      </c>
      <c r="CY125" s="21" t="s">
        <v>711</v>
      </c>
      <c r="CZ125" s="21" t="s">
        <v>712</v>
      </c>
      <c r="DA125" s="21" t="s">
        <v>713</v>
      </c>
      <c r="DB125" s="21" t="s">
        <v>714</v>
      </c>
      <c r="DC125" s="21" t="s">
        <v>715</v>
      </c>
      <c r="DD125" s="21">
        <v>12.75</v>
      </c>
      <c r="DF125" s="21">
        <v>0.438</v>
      </c>
      <c r="DG125" s="21">
        <v>52000.0</v>
      </c>
      <c r="DH125" s="21" t="s">
        <v>684</v>
      </c>
      <c r="DI125" s="21" t="s">
        <v>696</v>
      </c>
      <c r="DJ125" s="21" t="s">
        <v>684</v>
      </c>
      <c r="DK125" s="21" t="s">
        <v>684</v>
      </c>
      <c r="DL125" s="21" t="s">
        <v>696</v>
      </c>
      <c r="DM125" s="21" t="s">
        <v>877</v>
      </c>
      <c r="EO125" s="21">
        <v>1973.0</v>
      </c>
      <c r="EP125" s="21">
        <v>1973.0</v>
      </c>
      <c r="EQ125" s="21" t="s">
        <v>674</v>
      </c>
      <c r="ES125" s="21" t="s">
        <v>675</v>
      </c>
      <c r="EV125" s="21" t="s">
        <v>718</v>
      </c>
      <c r="FC125" s="21" t="s">
        <v>677</v>
      </c>
      <c r="FD125" s="21" t="s">
        <v>656</v>
      </c>
      <c r="FF125" s="21">
        <v>318.0</v>
      </c>
      <c r="FH125" s="21" t="s">
        <v>656</v>
      </c>
      <c r="FI125" s="21" t="s">
        <v>656</v>
      </c>
      <c r="FJ125" s="21" t="s">
        <v>656</v>
      </c>
      <c r="FO125" s="21">
        <v>0.0</v>
      </c>
      <c r="FP125" s="21">
        <v>867.0</v>
      </c>
      <c r="FQ125" s="21">
        <v>5508.0</v>
      </c>
      <c r="FR125" s="21">
        <v>209454.0</v>
      </c>
      <c r="FS125" s="21">
        <v>90000.0</v>
      </c>
      <c r="FT125" s="21">
        <v>0.0</v>
      </c>
      <c r="FW125" s="21">
        <v>305829.0</v>
      </c>
      <c r="GF125" s="21">
        <v>920.0</v>
      </c>
      <c r="GH125" s="21">
        <v>1306.0</v>
      </c>
      <c r="GI125" s="21" t="s">
        <v>719</v>
      </c>
      <c r="GM125" s="21" t="s">
        <v>679</v>
      </c>
      <c r="GN125" s="21" t="s">
        <v>656</v>
      </c>
      <c r="GS125" s="21" t="s">
        <v>720</v>
      </c>
      <c r="GT125" s="21" t="s">
        <v>720</v>
      </c>
      <c r="GU125" s="21">
        <v>30729.0</v>
      </c>
      <c r="GV125" s="21" t="s">
        <v>656</v>
      </c>
      <c r="GW125" s="21" t="s">
        <v>659</v>
      </c>
      <c r="GY125" s="21" t="s">
        <v>659</v>
      </c>
      <c r="HD125" s="21" t="s">
        <v>659</v>
      </c>
      <c r="HG125" s="21" t="s">
        <v>659</v>
      </c>
      <c r="HK125" s="21" t="s">
        <v>721</v>
      </c>
      <c r="HL125" s="21" t="s">
        <v>659</v>
      </c>
      <c r="HM125" s="21" t="s">
        <v>659</v>
      </c>
      <c r="HN125" s="21" t="s">
        <v>659</v>
      </c>
      <c r="HO125" s="21" t="s">
        <v>656</v>
      </c>
      <c r="HP125" s="21" t="s">
        <v>656</v>
      </c>
      <c r="HQ125" s="21" t="s">
        <v>696</v>
      </c>
      <c r="HR125" s="21" t="s">
        <v>1903</v>
      </c>
      <c r="HT125" s="21" t="s">
        <v>723</v>
      </c>
      <c r="HU125" s="21" t="s">
        <v>851</v>
      </c>
      <c r="IH125" s="21" t="s">
        <v>656</v>
      </c>
      <c r="II125" s="21" t="s">
        <v>656</v>
      </c>
      <c r="IN125" s="21" t="s">
        <v>725</v>
      </c>
      <c r="IO125" s="21" t="s">
        <v>726</v>
      </c>
      <c r="IP125" s="21" t="s">
        <v>726</v>
      </c>
      <c r="JT125" s="21" t="s">
        <v>696</v>
      </c>
      <c r="JU125" s="21" t="s">
        <v>1904</v>
      </c>
      <c r="JV125" s="21" t="s">
        <v>659</v>
      </c>
      <c r="KD125" s="21" t="s">
        <v>659</v>
      </c>
      <c r="KE125" s="21" t="s">
        <v>1905</v>
      </c>
      <c r="KJ125" s="21" t="s">
        <v>659</v>
      </c>
      <c r="KK125" s="21" t="s">
        <v>1854</v>
      </c>
      <c r="KL125" s="21" t="s">
        <v>659</v>
      </c>
      <c r="KM125" s="21" t="s">
        <v>656</v>
      </c>
      <c r="KN125" s="21" t="s">
        <v>656</v>
      </c>
      <c r="KO125" s="21" t="s">
        <v>659</v>
      </c>
      <c r="QW125" s="21" t="s">
        <v>656</v>
      </c>
      <c r="TI125" s="21" t="s">
        <v>656</v>
      </c>
      <c r="TL125" s="21" t="s">
        <v>656</v>
      </c>
      <c r="TZ125" s="21" t="s">
        <v>656</v>
      </c>
      <c r="WL125" s="21" t="s">
        <v>1752</v>
      </c>
      <c r="WM125" s="21" t="s">
        <v>1753</v>
      </c>
      <c r="WN125" s="21" t="s">
        <v>1754</v>
      </c>
      <c r="WO125" s="21" t="s">
        <v>1846</v>
      </c>
      <c r="WT125" s="21" t="s">
        <v>1752</v>
      </c>
      <c r="WU125" s="21" t="s">
        <v>1753</v>
      </c>
      <c r="WV125" s="21" t="s">
        <v>1846</v>
      </c>
      <c r="WW125" s="21" t="s">
        <v>1754</v>
      </c>
      <c r="WX125" s="21" t="s">
        <v>1906</v>
      </c>
    </row>
    <row r="126">
      <c r="A126" s="21">
        <v>875.0</v>
      </c>
      <c r="B126" s="22">
        <v>43301.0</v>
      </c>
      <c r="C126" s="21">
        <v>2018.0</v>
      </c>
      <c r="D126" s="21">
        <v>2.0180076E7</v>
      </c>
      <c r="E126" s="21">
        <v>30672.0</v>
      </c>
      <c r="F126" s="21" t="s">
        <v>701</v>
      </c>
      <c r="G126" s="21">
        <v>18152.0</v>
      </c>
      <c r="H126" s="21" t="s">
        <v>702</v>
      </c>
      <c r="I126" s="21" t="s">
        <v>652</v>
      </c>
      <c r="J126" s="21" t="s">
        <v>653</v>
      </c>
      <c r="K126" s="21" t="s">
        <v>654</v>
      </c>
      <c r="L126" s="21">
        <v>77002.0</v>
      </c>
      <c r="M126" s="23">
        <v>43273.649305555555</v>
      </c>
      <c r="P126" s="21">
        <v>28.214081</v>
      </c>
      <c r="Q126" s="21">
        <v>-91.703383</v>
      </c>
      <c r="R126" s="21">
        <v>1216143.0</v>
      </c>
      <c r="S126" s="24">
        <v>43273.66736111111</v>
      </c>
      <c r="U126" s="21" t="s">
        <v>657</v>
      </c>
      <c r="W126" s="21">
        <v>300.0</v>
      </c>
      <c r="X126" s="21">
        <v>1836.0</v>
      </c>
      <c r="Y126" s="21">
        <v>0.1</v>
      </c>
      <c r="Z126" s="21" t="s">
        <v>656</v>
      </c>
      <c r="AF126" s="21">
        <v>0.0</v>
      </c>
      <c r="AG126" s="21" t="s">
        <v>656</v>
      </c>
      <c r="AM126" s="21">
        <v>0.0</v>
      </c>
      <c r="AO126" s="21" t="s">
        <v>659</v>
      </c>
      <c r="AQ126" s="24">
        <v>43273.74166666667</v>
      </c>
      <c r="AR126" s="24">
        <v>43276.42083333333</v>
      </c>
      <c r="AW126" s="21" t="s">
        <v>656</v>
      </c>
      <c r="BB126" s="21" t="s">
        <v>656</v>
      </c>
      <c r="BI126" s="21">
        <v>0.0</v>
      </c>
      <c r="BJ126" s="24">
        <v>43273.649305555555</v>
      </c>
      <c r="BK126" s="24">
        <v>43274.67847222222</v>
      </c>
      <c r="BM126" s="21" t="s">
        <v>705</v>
      </c>
      <c r="CP126" s="21">
        <v>260.0</v>
      </c>
      <c r="CQ126" s="21" t="s">
        <v>708</v>
      </c>
      <c r="CW126" s="21" t="s">
        <v>710</v>
      </c>
      <c r="CX126" s="21">
        <v>330.0</v>
      </c>
      <c r="CY126" s="21" t="s">
        <v>711</v>
      </c>
      <c r="CZ126" s="21" t="s">
        <v>712</v>
      </c>
      <c r="DA126" s="21" t="s">
        <v>713</v>
      </c>
      <c r="DB126" s="21" t="s">
        <v>714</v>
      </c>
      <c r="DC126" s="21" t="s">
        <v>715</v>
      </c>
      <c r="DD126" s="21">
        <v>12.75</v>
      </c>
      <c r="DF126" s="21">
        <v>0.438</v>
      </c>
      <c r="DG126" s="21">
        <v>52000.0</v>
      </c>
      <c r="DH126" s="21" t="s">
        <v>684</v>
      </c>
      <c r="DI126" s="21" t="s">
        <v>696</v>
      </c>
      <c r="DJ126" s="21" t="s">
        <v>684</v>
      </c>
      <c r="DK126" s="21" t="s">
        <v>684</v>
      </c>
      <c r="DL126" s="21" t="s">
        <v>696</v>
      </c>
      <c r="DM126" s="21" t="s">
        <v>877</v>
      </c>
      <c r="EO126" s="21">
        <v>1973.0</v>
      </c>
      <c r="EP126" s="21">
        <v>1973.0</v>
      </c>
      <c r="EQ126" s="21" t="s">
        <v>674</v>
      </c>
      <c r="ES126" s="21" t="s">
        <v>675</v>
      </c>
      <c r="EV126" s="21" t="s">
        <v>718</v>
      </c>
      <c r="FC126" s="21" t="s">
        <v>677</v>
      </c>
      <c r="FD126" s="21" t="s">
        <v>656</v>
      </c>
      <c r="FF126" s="21">
        <v>318.0</v>
      </c>
      <c r="FH126" s="21" t="s">
        <v>656</v>
      </c>
      <c r="FI126" s="21" t="s">
        <v>656</v>
      </c>
      <c r="FJ126" s="21" t="s">
        <v>656</v>
      </c>
      <c r="FO126" s="21">
        <v>0.0</v>
      </c>
      <c r="FP126" s="21">
        <v>898.0</v>
      </c>
      <c r="FQ126" s="21">
        <v>5502.0</v>
      </c>
      <c r="FR126" s="21">
        <v>182292.0</v>
      </c>
      <c r="FS126" s="21">
        <v>90506.0</v>
      </c>
      <c r="FT126" s="21">
        <v>0.0</v>
      </c>
      <c r="FW126" s="21">
        <v>279198.0</v>
      </c>
      <c r="GF126" s="21">
        <v>930.0</v>
      </c>
      <c r="GH126" s="21">
        <v>1306.0</v>
      </c>
      <c r="GI126" s="21" t="s">
        <v>719</v>
      </c>
      <c r="GM126" s="21" t="s">
        <v>679</v>
      </c>
      <c r="GN126" s="21" t="s">
        <v>656</v>
      </c>
      <c r="GS126" s="21" t="s">
        <v>720</v>
      </c>
      <c r="GT126" s="21" t="s">
        <v>720</v>
      </c>
      <c r="GU126" s="21">
        <v>30729.0</v>
      </c>
      <c r="GV126" s="21" t="s">
        <v>656</v>
      </c>
      <c r="GW126" s="21" t="s">
        <v>659</v>
      </c>
      <c r="GY126" s="21" t="s">
        <v>659</v>
      </c>
      <c r="HD126" s="21" t="s">
        <v>659</v>
      </c>
      <c r="HG126" s="21" t="s">
        <v>659</v>
      </c>
      <c r="HK126" s="21" t="s">
        <v>721</v>
      </c>
      <c r="HL126" s="21" t="s">
        <v>659</v>
      </c>
      <c r="HM126" s="21" t="s">
        <v>659</v>
      </c>
      <c r="HN126" s="21" t="s">
        <v>659</v>
      </c>
      <c r="HO126" s="21" t="s">
        <v>656</v>
      </c>
      <c r="HP126" s="21" t="s">
        <v>656</v>
      </c>
      <c r="HQ126" s="21" t="s">
        <v>696</v>
      </c>
      <c r="HR126" s="21" t="s">
        <v>1903</v>
      </c>
      <c r="HT126" s="21" t="s">
        <v>723</v>
      </c>
      <c r="HU126" s="21" t="s">
        <v>851</v>
      </c>
      <c r="IH126" s="21" t="s">
        <v>656</v>
      </c>
      <c r="II126" s="21" t="s">
        <v>656</v>
      </c>
      <c r="IN126" s="21" t="s">
        <v>725</v>
      </c>
      <c r="IO126" s="21" t="s">
        <v>726</v>
      </c>
      <c r="IP126" s="21" t="s">
        <v>726</v>
      </c>
      <c r="JT126" s="21" t="s">
        <v>696</v>
      </c>
      <c r="JU126" s="21" t="s">
        <v>1904</v>
      </c>
      <c r="JV126" s="21" t="s">
        <v>659</v>
      </c>
      <c r="KD126" s="21" t="s">
        <v>659</v>
      </c>
      <c r="KE126" s="21" t="s">
        <v>1905</v>
      </c>
      <c r="KJ126" s="21" t="s">
        <v>659</v>
      </c>
      <c r="KK126" s="21" t="s">
        <v>1907</v>
      </c>
      <c r="KL126" s="21" t="s">
        <v>659</v>
      </c>
      <c r="KM126" s="21" t="s">
        <v>656</v>
      </c>
      <c r="KN126" s="21" t="s">
        <v>656</v>
      </c>
      <c r="KO126" s="21" t="s">
        <v>659</v>
      </c>
      <c r="QW126" s="21" t="s">
        <v>656</v>
      </c>
      <c r="TI126" s="21" t="s">
        <v>656</v>
      </c>
      <c r="TL126" s="21" t="s">
        <v>656</v>
      </c>
      <c r="TZ126" s="21" t="s">
        <v>656</v>
      </c>
      <c r="WL126" s="21" t="s">
        <v>1752</v>
      </c>
      <c r="WM126" s="21" t="s">
        <v>1753</v>
      </c>
      <c r="WN126" s="21" t="s">
        <v>1754</v>
      </c>
      <c r="WO126" s="21" t="s">
        <v>1846</v>
      </c>
      <c r="WT126" s="21" t="s">
        <v>1752</v>
      </c>
      <c r="WU126" s="21" t="s">
        <v>1753</v>
      </c>
      <c r="WV126" s="21" t="s">
        <v>1846</v>
      </c>
      <c r="WW126" s="21" t="s">
        <v>1754</v>
      </c>
      <c r="WX126" s="21" t="s">
        <v>1908</v>
      </c>
    </row>
    <row r="127">
      <c r="A127" s="21">
        <v>877.0</v>
      </c>
      <c r="B127" s="22">
        <v>43294.0</v>
      </c>
      <c r="C127" s="21">
        <v>2018.0</v>
      </c>
      <c r="D127" s="21">
        <v>2.0180074E7</v>
      </c>
      <c r="E127" s="21">
        <v>30753.0</v>
      </c>
      <c r="F127" s="21" t="s">
        <v>778</v>
      </c>
      <c r="G127" s="21">
        <v>32099.0</v>
      </c>
      <c r="H127" s="21" t="s">
        <v>651</v>
      </c>
      <c r="I127" s="21" t="s">
        <v>652</v>
      </c>
      <c r="J127" s="21" t="s">
        <v>653</v>
      </c>
      <c r="K127" s="21" t="s">
        <v>654</v>
      </c>
      <c r="L127" s="21">
        <v>77002.0</v>
      </c>
      <c r="M127" s="23">
        <v>43267.416666666664</v>
      </c>
      <c r="P127" s="21">
        <v>29.244</v>
      </c>
      <c r="Q127" s="21">
        <v>-95.8793</v>
      </c>
      <c r="R127" s="21">
        <v>1215478.0</v>
      </c>
      <c r="S127" s="24">
        <v>43267.59097222222</v>
      </c>
      <c r="U127" s="21" t="s">
        <v>657</v>
      </c>
      <c r="W127" s="21">
        <v>4000.0</v>
      </c>
      <c r="X127" s="21">
        <v>0.0</v>
      </c>
      <c r="Y127" s="21">
        <v>0.0</v>
      </c>
      <c r="Z127" s="21" t="s">
        <v>656</v>
      </c>
      <c r="AF127" s="21">
        <v>0.0</v>
      </c>
      <c r="AG127" s="21" t="s">
        <v>656</v>
      </c>
      <c r="AM127" s="21">
        <v>0.0</v>
      </c>
      <c r="AO127" s="21" t="s">
        <v>659</v>
      </c>
      <c r="AQ127" s="24">
        <v>43267.416666666664</v>
      </c>
      <c r="AR127" s="24">
        <v>43267.868055555555</v>
      </c>
      <c r="AW127" s="21" t="s">
        <v>656</v>
      </c>
      <c r="BB127" s="21" t="s">
        <v>656</v>
      </c>
      <c r="BI127" s="21">
        <v>0.0</v>
      </c>
      <c r="BJ127" s="24">
        <v>43267.416666666664</v>
      </c>
      <c r="BK127" s="24">
        <v>43267.447916666664</v>
      </c>
      <c r="BM127" s="21" t="s">
        <v>662</v>
      </c>
      <c r="BN127" s="21" t="s">
        <v>654</v>
      </c>
      <c r="BO127" s="21">
        <v>77420.0</v>
      </c>
      <c r="BP127" s="21" t="s">
        <v>1909</v>
      </c>
      <c r="BQ127" s="21" t="s">
        <v>1910</v>
      </c>
      <c r="BR127" s="21" t="s">
        <v>892</v>
      </c>
      <c r="BS127" s="21">
        <v>14.5354</v>
      </c>
      <c r="BT127" s="21" t="s">
        <v>1911</v>
      </c>
      <c r="BU127" s="21" t="s">
        <v>1911</v>
      </c>
      <c r="BV127" s="21" t="s">
        <v>659</v>
      </c>
      <c r="BW127" s="21" t="s">
        <v>738</v>
      </c>
      <c r="BX127" s="21" t="s">
        <v>739</v>
      </c>
      <c r="BY127" s="21" t="s">
        <v>740</v>
      </c>
      <c r="CA127" s="21">
        <v>31.0</v>
      </c>
      <c r="CC127" s="21" t="s">
        <v>656</v>
      </c>
      <c r="CZ127" s="21" t="s">
        <v>671</v>
      </c>
      <c r="DA127" s="21" t="s">
        <v>741</v>
      </c>
      <c r="DB127" s="21" t="s">
        <v>714</v>
      </c>
      <c r="DC127" s="21" t="s">
        <v>715</v>
      </c>
      <c r="DD127" s="21">
        <v>8.0</v>
      </c>
      <c r="DF127" s="21">
        <v>0.223</v>
      </c>
      <c r="DG127" s="21">
        <v>35000.0</v>
      </c>
      <c r="DH127" s="21" t="s">
        <v>964</v>
      </c>
      <c r="DI127" s="21" t="s">
        <v>696</v>
      </c>
      <c r="DJ127" s="21" t="s">
        <v>715</v>
      </c>
      <c r="DK127" s="21" t="s">
        <v>684</v>
      </c>
      <c r="DL127" s="21" t="s">
        <v>1374</v>
      </c>
      <c r="EO127" s="21">
        <v>1966.0</v>
      </c>
      <c r="EP127" s="21">
        <v>1966.0</v>
      </c>
      <c r="EQ127" s="21" t="s">
        <v>674</v>
      </c>
      <c r="ES127" s="21" t="s">
        <v>965</v>
      </c>
      <c r="ET127" s="21">
        <v>3.0</v>
      </c>
      <c r="EU127" s="21">
        <v>5.0</v>
      </c>
      <c r="FC127" s="21" t="s">
        <v>677</v>
      </c>
      <c r="FD127" s="21" t="s">
        <v>656</v>
      </c>
      <c r="FF127" s="21">
        <v>194.0</v>
      </c>
      <c r="FH127" s="21" t="s">
        <v>656</v>
      </c>
      <c r="FI127" s="21" t="s">
        <v>656</v>
      </c>
      <c r="FJ127" s="21" t="s">
        <v>656</v>
      </c>
      <c r="FO127" s="21">
        <v>0.0</v>
      </c>
      <c r="FP127" s="21">
        <v>13000.0</v>
      </c>
      <c r="FQ127" s="21">
        <v>0.0</v>
      </c>
      <c r="FR127" s="21">
        <v>13000.0</v>
      </c>
      <c r="FS127" s="21">
        <v>0.0</v>
      </c>
      <c r="FT127" s="21">
        <v>0.0</v>
      </c>
      <c r="FW127" s="21">
        <v>26000.0</v>
      </c>
      <c r="GF127" s="21">
        <v>660.0</v>
      </c>
      <c r="GH127" s="21">
        <v>720.0</v>
      </c>
      <c r="GI127" s="21" t="s">
        <v>719</v>
      </c>
      <c r="GM127" s="21" t="s">
        <v>679</v>
      </c>
      <c r="GN127" s="21" t="s">
        <v>656</v>
      </c>
      <c r="GS127" s="21" t="s">
        <v>720</v>
      </c>
      <c r="GT127" s="21" t="s">
        <v>720</v>
      </c>
      <c r="GU127" s="21">
        <v>42240.0</v>
      </c>
      <c r="GV127" s="21" t="s">
        <v>656</v>
      </c>
      <c r="HB127" s="21" t="s">
        <v>659</v>
      </c>
      <c r="HC127" s="21" t="s">
        <v>1912</v>
      </c>
      <c r="HD127" s="21" t="s">
        <v>656</v>
      </c>
      <c r="HK127" s="21" t="s">
        <v>721</v>
      </c>
      <c r="HL127" s="21" t="s">
        <v>659</v>
      </c>
      <c r="HM127" s="21" t="s">
        <v>659</v>
      </c>
      <c r="HN127" s="21" t="s">
        <v>659</v>
      </c>
      <c r="HO127" s="21" t="s">
        <v>659</v>
      </c>
      <c r="HP127" s="21" t="s">
        <v>656</v>
      </c>
      <c r="HQ127" s="21" t="s">
        <v>966</v>
      </c>
      <c r="HT127" s="21" t="s">
        <v>723</v>
      </c>
      <c r="HU127" s="21" t="s">
        <v>1913</v>
      </c>
      <c r="IH127" s="21" t="s">
        <v>656</v>
      </c>
      <c r="II127" s="21" t="s">
        <v>656</v>
      </c>
      <c r="IN127" s="21" t="s">
        <v>968</v>
      </c>
      <c r="IO127" s="21" t="s">
        <v>969</v>
      </c>
      <c r="LB127" s="21" t="s">
        <v>969</v>
      </c>
      <c r="LC127" s="21" t="s">
        <v>656</v>
      </c>
      <c r="LM127" s="21" t="s">
        <v>656</v>
      </c>
      <c r="LP127" s="21" t="s">
        <v>659</v>
      </c>
      <c r="LQ127" s="21" t="s">
        <v>1537</v>
      </c>
      <c r="MB127" s="21" t="s">
        <v>1809</v>
      </c>
      <c r="MC127" s="21" t="s">
        <v>1914</v>
      </c>
      <c r="MD127" s="21" t="s">
        <v>1811</v>
      </c>
      <c r="ME127" s="21" t="s">
        <v>656</v>
      </c>
      <c r="MK127" s="21" t="s">
        <v>659</v>
      </c>
      <c r="ML127" s="21">
        <v>9.0</v>
      </c>
      <c r="MM127" s="21" t="s">
        <v>975</v>
      </c>
      <c r="MN127" s="21" t="s">
        <v>976</v>
      </c>
      <c r="WL127" s="21" t="s">
        <v>1860</v>
      </c>
      <c r="WM127" s="21" t="s">
        <v>1861</v>
      </c>
      <c r="WN127" s="21" t="s">
        <v>1886</v>
      </c>
      <c r="WO127" s="21" t="s">
        <v>1915</v>
      </c>
      <c r="WT127" s="21" t="s">
        <v>1860</v>
      </c>
      <c r="WU127" s="21" t="s">
        <v>1861</v>
      </c>
      <c r="WV127" s="21" t="s">
        <v>1915</v>
      </c>
      <c r="WW127" s="21" t="s">
        <v>1886</v>
      </c>
      <c r="WX127" s="21" t="s">
        <v>1916</v>
      </c>
    </row>
    <row r="128">
      <c r="A128" s="21">
        <v>893.0</v>
      </c>
      <c r="B128" s="22">
        <v>43241.0</v>
      </c>
      <c r="C128" s="21">
        <v>2018.0</v>
      </c>
      <c r="D128" s="21">
        <v>2.0180055E7</v>
      </c>
      <c r="E128" s="21">
        <v>30361.0</v>
      </c>
      <c r="F128" s="21" t="s">
        <v>701</v>
      </c>
      <c r="G128" s="21">
        <v>19610.0</v>
      </c>
      <c r="H128" s="21" t="s">
        <v>1270</v>
      </c>
      <c r="I128" s="21" t="s">
        <v>652</v>
      </c>
      <c r="J128" s="21" t="s">
        <v>653</v>
      </c>
      <c r="K128" s="21" t="s">
        <v>654</v>
      </c>
      <c r="L128" s="21">
        <v>77002.0</v>
      </c>
      <c r="M128" s="23">
        <v>43214.57430555556</v>
      </c>
      <c r="P128" s="21">
        <v>32.099437</v>
      </c>
      <c r="Q128" s="21">
        <v>-103.511604</v>
      </c>
      <c r="R128" s="21">
        <v>1210226.0</v>
      </c>
      <c r="S128" s="24">
        <v>43214.68680555555</v>
      </c>
      <c r="U128" s="21" t="s">
        <v>657</v>
      </c>
      <c r="W128" s="21">
        <v>13090.0</v>
      </c>
      <c r="X128" s="21">
        <v>22939.0</v>
      </c>
      <c r="Y128" s="21">
        <v>0.0</v>
      </c>
      <c r="Z128" s="21" t="s">
        <v>656</v>
      </c>
      <c r="AF128" s="21">
        <v>0.0</v>
      </c>
      <c r="AG128" s="21" t="s">
        <v>656</v>
      </c>
      <c r="AM128" s="21">
        <v>0.0</v>
      </c>
      <c r="AO128" s="21" t="s">
        <v>659</v>
      </c>
      <c r="AQ128" s="24">
        <v>43214.73263888889</v>
      </c>
      <c r="AR128" s="24">
        <v>43216.072916666664</v>
      </c>
      <c r="AW128" s="21" t="s">
        <v>656</v>
      </c>
      <c r="BB128" s="21" t="s">
        <v>656</v>
      </c>
      <c r="BI128" s="21">
        <v>0.0</v>
      </c>
      <c r="BJ128" s="24">
        <v>43214.57430555556</v>
      </c>
      <c r="BK128" s="24">
        <v>43214.649305555555</v>
      </c>
      <c r="BM128" s="21" t="s">
        <v>662</v>
      </c>
      <c r="BN128" s="21" t="s">
        <v>1163</v>
      </c>
      <c r="BO128" s="21">
        <v>88252.0</v>
      </c>
      <c r="BP128" s="21" t="s">
        <v>1262</v>
      </c>
      <c r="BQ128" s="21" t="s">
        <v>1263</v>
      </c>
      <c r="BR128" s="21" t="s">
        <v>735</v>
      </c>
      <c r="BS128" s="21" t="s">
        <v>1917</v>
      </c>
      <c r="BT128" s="21" t="s">
        <v>1918</v>
      </c>
      <c r="BU128" s="21" t="s">
        <v>1919</v>
      </c>
      <c r="BV128" s="21" t="s">
        <v>656</v>
      </c>
      <c r="BW128" s="21" t="s">
        <v>738</v>
      </c>
      <c r="BX128" s="21" t="s">
        <v>739</v>
      </c>
      <c r="BY128" s="21" t="s">
        <v>1920</v>
      </c>
      <c r="CA128" s="21">
        <v>46.0</v>
      </c>
      <c r="CC128" s="21" t="s">
        <v>656</v>
      </c>
      <c r="CZ128" s="21" t="s">
        <v>712</v>
      </c>
      <c r="DA128" s="21" t="s">
        <v>741</v>
      </c>
      <c r="DB128" s="21" t="s">
        <v>714</v>
      </c>
      <c r="DC128" s="21" t="s">
        <v>715</v>
      </c>
      <c r="DD128" s="21">
        <v>30.0</v>
      </c>
      <c r="DF128" s="21">
        <v>0.375</v>
      </c>
      <c r="DG128" s="21">
        <v>60000.0</v>
      </c>
      <c r="DH128" s="21" t="s">
        <v>1039</v>
      </c>
      <c r="DI128" s="21" t="s">
        <v>848</v>
      </c>
      <c r="DK128" s="21" t="s">
        <v>1921</v>
      </c>
      <c r="DL128" s="21" t="s">
        <v>1374</v>
      </c>
      <c r="EO128" s="21">
        <v>1969.0</v>
      </c>
      <c r="EP128" s="21">
        <v>1968.0</v>
      </c>
      <c r="EQ128" s="21" t="s">
        <v>674</v>
      </c>
      <c r="ES128" s="21" t="s">
        <v>965</v>
      </c>
      <c r="ET128" s="21">
        <v>0.5</v>
      </c>
      <c r="EU128" s="21">
        <v>0.1</v>
      </c>
      <c r="FC128" s="21" t="s">
        <v>677</v>
      </c>
      <c r="FD128" s="21" t="s">
        <v>656</v>
      </c>
      <c r="FF128" s="21">
        <v>663.0</v>
      </c>
      <c r="FH128" s="21" t="s">
        <v>656</v>
      </c>
      <c r="FI128" s="21" t="s">
        <v>656</v>
      </c>
      <c r="FJ128" s="21" t="s">
        <v>656</v>
      </c>
      <c r="FO128" s="21">
        <v>0.0</v>
      </c>
      <c r="FP128" s="21">
        <v>27620.0</v>
      </c>
      <c r="FQ128" s="21">
        <v>48400.0</v>
      </c>
      <c r="FR128" s="21">
        <v>300028.0</v>
      </c>
      <c r="FS128" s="21">
        <v>0.0</v>
      </c>
      <c r="FT128" s="21">
        <v>0.0</v>
      </c>
      <c r="FW128" s="21">
        <v>376048.0</v>
      </c>
      <c r="GF128" s="21">
        <v>785.0</v>
      </c>
      <c r="GH128" s="21">
        <v>1051.0</v>
      </c>
      <c r="GI128" s="21" t="s">
        <v>774</v>
      </c>
      <c r="GM128" s="21" t="s">
        <v>679</v>
      </c>
      <c r="GN128" s="21" t="s">
        <v>656</v>
      </c>
      <c r="GS128" s="21" t="s">
        <v>720</v>
      </c>
      <c r="GT128" s="21" t="s">
        <v>720</v>
      </c>
      <c r="GU128" s="21">
        <v>96822.0</v>
      </c>
      <c r="GV128" s="21" t="s">
        <v>659</v>
      </c>
      <c r="HD128" s="21" t="s">
        <v>656</v>
      </c>
      <c r="HK128" s="21" t="s">
        <v>721</v>
      </c>
      <c r="HL128" s="21" t="s">
        <v>659</v>
      </c>
      <c r="HM128" s="21" t="s">
        <v>659</v>
      </c>
      <c r="HN128" s="21" t="s">
        <v>659</v>
      </c>
      <c r="HO128" s="21" t="s">
        <v>656</v>
      </c>
      <c r="HP128" s="21" t="s">
        <v>656</v>
      </c>
      <c r="HQ128" s="21" t="s">
        <v>966</v>
      </c>
      <c r="HT128" s="21" t="s">
        <v>723</v>
      </c>
      <c r="HU128" s="21" t="s">
        <v>1922</v>
      </c>
      <c r="IH128" s="21" t="s">
        <v>656</v>
      </c>
      <c r="II128" s="21" t="s">
        <v>656</v>
      </c>
      <c r="IN128" s="21" t="s">
        <v>968</v>
      </c>
      <c r="IO128" s="21" t="s">
        <v>969</v>
      </c>
      <c r="LB128" s="21" t="s">
        <v>969</v>
      </c>
      <c r="LC128" s="21" t="s">
        <v>656</v>
      </c>
      <c r="LM128" s="21" t="s">
        <v>659</v>
      </c>
      <c r="LN128" s="21" t="s">
        <v>659</v>
      </c>
      <c r="LO128" s="21" t="s">
        <v>696</v>
      </c>
      <c r="LR128" s="21" t="s">
        <v>659</v>
      </c>
      <c r="MB128" s="21" t="s">
        <v>971</v>
      </c>
      <c r="MC128" s="21" t="s">
        <v>1673</v>
      </c>
      <c r="MD128" s="21" t="s">
        <v>657</v>
      </c>
      <c r="ME128" s="21" t="s">
        <v>656</v>
      </c>
      <c r="MK128" s="21" t="s">
        <v>659</v>
      </c>
      <c r="ML128" s="21">
        <v>32.0</v>
      </c>
      <c r="MM128" s="21" t="s">
        <v>975</v>
      </c>
      <c r="MN128" s="21" t="s">
        <v>976</v>
      </c>
      <c r="WL128" s="21" t="s">
        <v>1752</v>
      </c>
      <c r="WM128" s="21" t="s">
        <v>1753</v>
      </c>
      <c r="WN128" s="21" t="s">
        <v>1754</v>
      </c>
      <c r="WO128" s="21" t="s">
        <v>1764</v>
      </c>
      <c r="WT128" s="21" t="s">
        <v>1752</v>
      </c>
      <c r="WU128" s="21" t="s">
        <v>1753</v>
      </c>
      <c r="WV128" s="21" t="s">
        <v>1764</v>
      </c>
      <c r="WW128" s="21" t="s">
        <v>1754</v>
      </c>
      <c r="WX128" s="21" t="s">
        <v>1923</v>
      </c>
    </row>
    <row r="129">
      <c r="A129" s="21">
        <v>913.0</v>
      </c>
      <c r="B129" s="22">
        <v>43180.0</v>
      </c>
      <c r="C129" s="21">
        <v>2018.0</v>
      </c>
      <c r="D129" s="21">
        <v>2.0180033E7</v>
      </c>
      <c r="E129" s="21">
        <v>30642.0</v>
      </c>
      <c r="F129" s="21" t="s">
        <v>778</v>
      </c>
      <c r="G129" s="21">
        <v>19610.0</v>
      </c>
      <c r="H129" s="21" t="s">
        <v>1270</v>
      </c>
      <c r="I129" s="21" t="s">
        <v>652</v>
      </c>
      <c r="J129" s="21" t="s">
        <v>653</v>
      </c>
      <c r="K129" s="21" t="s">
        <v>654</v>
      </c>
      <c r="L129" s="21">
        <v>77002.0</v>
      </c>
      <c r="M129" s="23">
        <v>43147.5125</v>
      </c>
      <c r="P129" s="21">
        <v>35.61948</v>
      </c>
      <c r="Q129" s="21">
        <v>-108.55285</v>
      </c>
      <c r="R129" s="21">
        <v>1204895.0</v>
      </c>
      <c r="S129" s="24">
        <v>43152.70972222222</v>
      </c>
      <c r="U129" s="21" t="s">
        <v>657</v>
      </c>
      <c r="W129" s="21">
        <v>1047.0</v>
      </c>
      <c r="X129" s="21">
        <v>23398.0</v>
      </c>
      <c r="Y129" s="21">
        <v>0.0</v>
      </c>
      <c r="Z129" s="21" t="s">
        <v>656</v>
      </c>
      <c r="AF129" s="21">
        <v>0.0</v>
      </c>
      <c r="AG129" s="21" t="s">
        <v>656</v>
      </c>
      <c r="AM129" s="21">
        <v>0.0</v>
      </c>
      <c r="AO129" s="21" t="s">
        <v>659</v>
      </c>
      <c r="AQ129" s="24">
        <v>43147.68125</v>
      </c>
      <c r="AR129" s="24">
        <v>43160.5</v>
      </c>
      <c r="AW129" s="21" t="s">
        <v>656</v>
      </c>
      <c r="BB129" s="21" t="s">
        <v>656</v>
      </c>
      <c r="BI129" s="21">
        <v>0.0</v>
      </c>
      <c r="BJ129" s="24">
        <v>43147.5125</v>
      </c>
      <c r="BK129" s="24">
        <v>43147.53611111111</v>
      </c>
      <c r="BM129" s="21" t="s">
        <v>662</v>
      </c>
      <c r="BN129" s="21" t="s">
        <v>1163</v>
      </c>
      <c r="BO129" s="21">
        <v>87301.0</v>
      </c>
      <c r="BP129" s="21" t="s">
        <v>1924</v>
      </c>
      <c r="BQ129" s="21" t="s">
        <v>1272</v>
      </c>
      <c r="BR129" s="21" t="s">
        <v>892</v>
      </c>
      <c r="BS129" s="21" t="s">
        <v>1925</v>
      </c>
      <c r="BT129" s="21" t="s">
        <v>1926</v>
      </c>
      <c r="BU129" s="21" t="s">
        <v>1927</v>
      </c>
      <c r="BV129" s="21" t="s">
        <v>656</v>
      </c>
      <c r="BW129" s="21" t="s">
        <v>738</v>
      </c>
      <c r="BX129" s="21" t="s">
        <v>739</v>
      </c>
      <c r="BY129" s="21" t="s">
        <v>740</v>
      </c>
      <c r="CA129" s="21">
        <v>96.0</v>
      </c>
      <c r="CC129" s="21" t="s">
        <v>656</v>
      </c>
      <c r="CZ129" s="21" t="s">
        <v>712</v>
      </c>
      <c r="DA129" s="21" t="s">
        <v>741</v>
      </c>
      <c r="DB129" s="21" t="s">
        <v>800</v>
      </c>
      <c r="DD129" s="21">
        <v>36.0</v>
      </c>
      <c r="DF129" s="21">
        <v>0.43</v>
      </c>
      <c r="DG129" s="21">
        <v>70000.0</v>
      </c>
      <c r="DH129" s="21" t="s">
        <v>964</v>
      </c>
      <c r="DI129" s="21" t="s">
        <v>1534</v>
      </c>
      <c r="DK129" s="21" t="s">
        <v>1928</v>
      </c>
      <c r="DL129" s="21" t="s">
        <v>824</v>
      </c>
      <c r="DV129" s="21" t="s">
        <v>804</v>
      </c>
      <c r="EO129" s="21">
        <v>2005.0</v>
      </c>
      <c r="EP129" s="21">
        <v>2004.0</v>
      </c>
      <c r="EQ129" s="21" t="s">
        <v>674</v>
      </c>
      <c r="ES129" s="21" t="s">
        <v>675</v>
      </c>
      <c r="EV129" s="21" t="s">
        <v>805</v>
      </c>
      <c r="FC129" s="21" t="s">
        <v>677</v>
      </c>
      <c r="FD129" s="21" t="s">
        <v>656</v>
      </c>
      <c r="FF129" s="21">
        <v>861.0</v>
      </c>
      <c r="FH129" s="21" t="s">
        <v>656</v>
      </c>
      <c r="FI129" s="21" t="s">
        <v>656</v>
      </c>
      <c r="FJ129" s="21" t="s">
        <v>656</v>
      </c>
      <c r="FO129" s="21">
        <v>0.0</v>
      </c>
      <c r="FP129" s="21">
        <v>2319.0</v>
      </c>
      <c r="FQ129" s="21">
        <v>51826.0</v>
      </c>
      <c r="FR129" s="21">
        <v>85000.0</v>
      </c>
      <c r="FS129" s="21">
        <v>1000.0</v>
      </c>
      <c r="FT129" s="21">
        <v>40000.0</v>
      </c>
      <c r="FU129" s="21" t="s">
        <v>1929</v>
      </c>
      <c r="FW129" s="21">
        <v>180145.0</v>
      </c>
      <c r="GF129" s="21">
        <v>874.0</v>
      </c>
      <c r="GH129" s="21">
        <v>1202.0</v>
      </c>
      <c r="GI129" s="21" t="s">
        <v>774</v>
      </c>
      <c r="GM129" s="21" t="s">
        <v>679</v>
      </c>
      <c r="GN129" s="21" t="s">
        <v>656</v>
      </c>
      <c r="GS129" s="21" t="s">
        <v>720</v>
      </c>
      <c r="GT129" s="21" t="s">
        <v>720</v>
      </c>
      <c r="GU129" s="21">
        <v>48176.0</v>
      </c>
      <c r="GV129" s="21" t="s">
        <v>659</v>
      </c>
      <c r="HD129" s="21" t="s">
        <v>656</v>
      </c>
      <c r="HK129" s="21" t="s">
        <v>721</v>
      </c>
      <c r="HL129" s="21" t="s">
        <v>659</v>
      </c>
      <c r="HM129" s="21" t="s">
        <v>659</v>
      </c>
      <c r="HN129" s="21" t="s">
        <v>659</v>
      </c>
      <c r="HO129" s="21" t="s">
        <v>656</v>
      </c>
      <c r="HP129" s="21" t="s">
        <v>656</v>
      </c>
      <c r="HQ129" s="21" t="s">
        <v>806</v>
      </c>
      <c r="HT129" s="21" t="s">
        <v>723</v>
      </c>
      <c r="HU129" s="21" t="s">
        <v>1930</v>
      </c>
      <c r="IH129" s="21" t="s">
        <v>656</v>
      </c>
      <c r="II129" s="21" t="s">
        <v>656</v>
      </c>
      <c r="IN129" s="21" t="s">
        <v>808</v>
      </c>
      <c r="IO129" s="21" t="s">
        <v>809</v>
      </c>
      <c r="NS129" s="21" t="s">
        <v>809</v>
      </c>
      <c r="NT129" s="21" t="s">
        <v>659</v>
      </c>
      <c r="NU129" s="21" t="s">
        <v>659</v>
      </c>
      <c r="OC129" s="21" t="s">
        <v>659</v>
      </c>
      <c r="OD129" s="21" t="s">
        <v>1931</v>
      </c>
      <c r="OK129" s="21" t="s">
        <v>659</v>
      </c>
      <c r="QW129" s="21" t="s">
        <v>656</v>
      </c>
      <c r="TI129" s="21" t="s">
        <v>656</v>
      </c>
      <c r="TL129" s="21" t="s">
        <v>656</v>
      </c>
      <c r="TZ129" s="21" t="s">
        <v>656</v>
      </c>
      <c r="WL129" s="21" t="s">
        <v>1752</v>
      </c>
      <c r="WM129" s="21" t="s">
        <v>1144</v>
      </c>
      <c r="WN129" s="21" t="s">
        <v>1754</v>
      </c>
      <c r="WO129" s="21" t="s">
        <v>1846</v>
      </c>
      <c r="WT129" s="21" t="s">
        <v>1752</v>
      </c>
      <c r="WU129" s="21" t="s">
        <v>1144</v>
      </c>
      <c r="WV129" s="21" t="s">
        <v>1846</v>
      </c>
      <c r="WW129" s="21" t="s">
        <v>1754</v>
      </c>
      <c r="WX129" s="21" t="s">
        <v>1932</v>
      </c>
    </row>
    <row r="130">
      <c r="A130" s="21">
        <v>954.0</v>
      </c>
      <c r="B130" s="22">
        <v>43068.0</v>
      </c>
      <c r="C130" s="21">
        <v>2017.0</v>
      </c>
      <c r="D130" s="21">
        <v>2.0170114E7</v>
      </c>
      <c r="E130" s="21">
        <v>17508.0</v>
      </c>
      <c r="F130" s="21" t="s">
        <v>778</v>
      </c>
      <c r="G130" s="21">
        <v>15105.0</v>
      </c>
      <c r="H130" s="21" t="s">
        <v>794</v>
      </c>
      <c r="I130" s="21" t="s">
        <v>652</v>
      </c>
      <c r="J130" s="21" t="s">
        <v>653</v>
      </c>
      <c r="K130" s="21" t="s">
        <v>654</v>
      </c>
      <c r="L130" s="21">
        <v>77002.0</v>
      </c>
      <c r="M130" s="23">
        <v>43044.77777777778</v>
      </c>
      <c r="P130" s="21">
        <v>39.79018</v>
      </c>
      <c r="Q130" s="21">
        <v>-88.35888</v>
      </c>
      <c r="R130" s="21">
        <v>1195292.0</v>
      </c>
      <c r="S130" s="24">
        <v>43044.81805555556</v>
      </c>
      <c r="U130" s="21" t="s">
        <v>657</v>
      </c>
      <c r="W130" s="21">
        <v>5275.0</v>
      </c>
      <c r="X130" s="21">
        <v>0.0</v>
      </c>
      <c r="Y130" s="21">
        <v>0.0</v>
      </c>
      <c r="Z130" s="21" t="s">
        <v>656</v>
      </c>
      <c r="AF130" s="21">
        <v>0.0</v>
      </c>
      <c r="AG130" s="21" t="s">
        <v>656</v>
      </c>
      <c r="AM130" s="21">
        <v>0.0</v>
      </c>
      <c r="AO130" s="21" t="s">
        <v>656</v>
      </c>
      <c r="AP130" s="21" t="s">
        <v>1933</v>
      </c>
      <c r="AW130" s="21" t="s">
        <v>656</v>
      </c>
      <c r="BB130" s="21" t="s">
        <v>656</v>
      </c>
      <c r="BI130" s="21">
        <v>0.0</v>
      </c>
      <c r="BJ130" s="24">
        <v>43044.55694444444</v>
      </c>
      <c r="BK130" s="24">
        <v>43044.566666666666</v>
      </c>
      <c r="BM130" s="21" t="s">
        <v>662</v>
      </c>
      <c r="BN130" s="21" t="s">
        <v>1291</v>
      </c>
      <c r="BO130" s="21">
        <v>61953.0</v>
      </c>
      <c r="BP130" s="21" t="s">
        <v>1816</v>
      </c>
      <c r="BQ130" s="21" t="s">
        <v>1817</v>
      </c>
      <c r="BR130" s="21" t="s">
        <v>735</v>
      </c>
      <c r="BS130" s="21" t="s">
        <v>1185</v>
      </c>
      <c r="BT130" s="21" t="s">
        <v>1818</v>
      </c>
      <c r="BU130" s="21" t="s">
        <v>1818</v>
      </c>
      <c r="BV130" s="21" t="s">
        <v>656</v>
      </c>
      <c r="BW130" s="21" t="s">
        <v>668</v>
      </c>
      <c r="BX130" s="21" t="s">
        <v>669</v>
      </c>
      <c r="BY130" s="21" t="s">
        <v>670</v>
      </c>
      <c r="CC130" s="21" t="s">
        <v>656</v>
      </c>
      <c r="CZ130" s="21" t="s">
        <v>712</v>
      </c>
      <c r="DA130" s="21" t="s">
        <v>672</v>
      </c>
      <c r="DB130" s="21" t="s">
        <v>756</v>
      </c>
      <c r="EH130" s="21" t="s">
        <v>1432</v>
      </c>
      <c r="EO130" s="21">
        <v>1963.0</v>
      </c>
      <c r="EQ130" s="21" t="s">
        <v>674</v>
      </c>
      <c r="ES130" s="21" t="s">
        <v>696</v>
      </c>
      <c r="FB130" s="21" t="s">
        <v>1934</v>
      </c>
      <c r="FC130" s="21" t="s">
        <v>677</v>
      </c>
      <c r="FD130" s="21" t="s">
        <v>656</v>
      </c>
      <c r="FF130" s="21">
        <v>72.0</v>
      </c>
      <c r="FH130" s="21" t="s">
        <v>656</v>
      </c>
      <c r="FI130" s="21" t="s">
        <v>656</v>
      </c>
      <c r="FJ130" s="21" t="s">
        <v>656</v>
      </c>
      <c r="FO130" s="21">
        <v>0.0</v>
      </c>
      <c r="FP130" s="21">
        <v>16458.0</v>
      </c>
      <c r="FQ130" s="21">
        <v>0.0</v>
      </c>
      <c r="FR130" s="21">
        <v>228.0</v>
      </c>
      <c r="FS130" s="21">
        <v>0.0</v>
      </c>
      <c r="FT130" s="21">
        <v>0.0</v>
      </c>
      <c r="FW130" s="21">
        <v>16686.0</v>
      </c>
      <c r="GF130" s="21">
        <v>895.0</v>
      </c>
      <c r="GH130" s="21">
        <v>898.0</v>
      </c>
      <c r="GI130" s="21" t="s">
        <v>774</v>
      </c>
      <c r="GM130" s="21" t="s">
        <v>679</v>
      </c>
      <c r="GN130" s="21" t="s">
        <v>656</v>
      </c>
      <c r="HK130" s="21" t="s">
        <v>721</v>
      </c>
      <c r="HL130" s="21" t="s">
        <v>659</v>
      </c>
      <c r="HM130" s="21" t="s">
        <v>659</v>
      </c>
      <c r="HN130" s="21" t="s">
        <v>659</v>
      </c>
      <c r="HO130" s="21" t="s">
        <v>656</v>
      </c>
      <c r="HP130" s="21" t="s">
        <v>656</v>
      </c>
      <c r="HQ130" s="21" t="s">
        <v>806</v>
      </c>
      <c r="HT130" s="21" t="s">
        <v>723</v>
      </c>
      <c r="HU130" s="21" t="s">
        <v>1788</v>
      </c>
      <c r="IH130" s="21" t="s">
        <v>656</v>
      </c>
      <c r="II130" s="21" t="s">
        <v>656</v>
      </c>
      <c r="IN130" s="21" t="s">
        <v>761</v>
      </c>
      <c r="IO130" s="21" t="s">
        <v>762</v>
      </c>
      <c r="OU130" s="21" t="s">
        <v>762</v>
      </c>
      <c r="PB130" s="21" t="s">
        <v>659</v>
      </c>
      <c r="PP130" s="21" t="s">
        <v>659</v>
      </c>
      <c r="WL130" s="21" t="s">
        <v>1752</v>
      </c>
      <c r="WM130" s="21" t="s">
        <v>1753</v>
      </c>
      <c r="WN130" s="21" t="s">
        <v>1754</v>
      </c>
      <c r="WO130" s="21" t="s">
        <v>1935</v>
      </c>
      <c r="WT130" s="21" t="s">
        <v>1752</v>
      </c>
      <c r="WU130" s="21" t="s">
        <v>1753</v>
      </c>
      <c r="WV130" s="21" t="s">
        <v>1935</v>
      </c>
      <c r="WW130" s="21" t="s">
        <v>1754</v>
      </c>
      <c r="WX130" s="21" t="s">
        <v>1936</v>
      </c>
    </row>
    <row r="131">
      <c r="A131" s="21">
        <v>955.0</v>
      </c>
      <c r="B131" s="22">
        <v>43068.0</v>
      </c>
      <c r="C131" s="21">
        <v>2017.0</v>
      </c>
      <c r="D131" s="21">
        <v>2.0170113E7</v>
      </c>
      <c r="E131" s="21">
        <v>17506.0</v>
      </c>
      <c r="F131" s="21" t="s">
        <v>778</v>
      </c>
      <c r="G131" s="21">
        <v>18152.0</v>
      </c>
      <c r="H131" s="21" t="s">
        <v>702</v>
      </c>
      <c r="I131" s="21" t="s">
        <v>652</v>
      </c>
      <c r="J131" s="21" t="s">
        <v>653</v>
      </c>
      <c r="K131" s="21" t="s">
        <v>654</v>
      </c>
      <c r="L131" s="21">
        <v>77002.0</v>
      </c>
      <c r="M131" s="23">
        <v>43044.70138888889</v>
      </c>
      <c r="P131" s="21">
        <v>28.20654</v>
      </c>
      <c r="Q131" s="21">
        <v>-91.70138</v>
      </c>
      <c r="R131" s="21">
        <v>1195323.0</v>
      </c>
      <c r="S131" s="24">
        <v>43045.40138888889</v>
      </c>
      <c r="U131" s="21" t="s">
        <v>657</v>
      </c>
      <c r="W131" s="21">
        <v>300.0</v>
      </c>
      <c r="X131" s="21">
        <v>1606.0</v>
      </c>
      <c r="Y131" s="21">
        <v>0.3</v>
      </c>
      <c r="Z131" s="21" t="s">
        <v>656</v>
      </c>
      <c r="AF131" s="21">
        <v>0.0</v>
      </c>
      <c r="AG131" s="21" t="s">
        <v>656</v>
      </c>
      <c r="AM131" s="21">
        <v>0.0</v>
      </c>
      <c r="AO131" s="21" t="s">
        <v>659</v>
      </c>
      <c r="AQ131" s="24">
        <v>43045.38055555556</v>
      </c>
      <c r="AR131" s="24">
        <v>43050.08194444444</v>
      </c>
      <c r="AW131" s="21" t="s">
        <v>656</v>
      </c>
      <c r="BB131" s="21" t="s">
        <v>656</v>
      </c>
      <c r="BI131" s="21">
        <v>0.0</v>
      </c>
      <c r="BJ131" s="24">
        <v>43044.70138888889</v>
      </c>
      <c r="BK131" s="24">
        <v>43045.364583333336</v>
      </c>
      <c r="BM131" s="21" t="s">
        <v>705</v>
      </c>
      <c r="CP131" s="21">
        <v>260.0</v>
      </c>
      <c r="CQ131" s="21" t="s">
        <v>708</v>
      </c>
      <c r="CW131" s="21" t="s">
        <v>710</v>
      </c>
      <c r="CX131" s="21">
        <v>338.0</v>
      </c>
      <c r="CY131" s="21" t="s">
        <v>711</v>
      </c>
      <c r="CZ131" s="21" t="s">
        <v>712</v>
      </c>
      <c r="DA131" s="21" t="s">
        <v>713</v>
      </c>
      <c r="DB131" s="21" t="s">
        <v>714</v>
      </c>
      <c r="DC131" s="21" t="s">
        <v>715</v>
      </c>
      <c r="DD131" s="21">
        <v>12.0</v>
      </c>
      <c r="DF131" s="21">
        <v>0.438</v>
      </c>
      <c r="DG131" s="21">
        <v>52000.0</v>
      </c>
      <c r="DH131" s="21" t="s">
        <v>684</v>
      </c>
      <c r="DI131" s="21" t="s">
        <v>696</v>
      </c>
      <c r="DJ131" s="21" t="s">
        <v>684</v>
      </c>
      <c r="DK131" s="21" t="s">
        <v>684</v>
      </c>
      <c r="DL131" s="21" t="s">
        <v>696</v>
      </c>
      <c r="DM131" s="21" t="s">
        <v>877</v>
      </c>
      <c r="EO131" s="21">
        <v>1973.0</v>
      </c>
      <c r="EP131" s="21">
        <v>1973.0</v>
      </c>
      <c r="EQ131" s="21" t="s">
        <v>674</v>
      </c>
      <c r="ES131" s="21" t="s">
        <v>675</v>
      </c>
      <c r="EV131" s="21" t="s">
        <v>718</v>
      </c>
      <c r="FC131" s="21" t="s">
        <v>677</v>
      </c>
      <c r="FD131" s="21" t="s">
        <v>656</v>
      </c>
      <c r="FF131" s="21">
        <v>318.0</v>
      </c>
      <c r="FH131" s="21" t="s">
        <v>656</v>
      </c>
      <c r="FI131" s="21" t="s">
        <v>656</v>
      </c>
      <c r="FJ131" s="21" t="s">
        <v>656</v>
      </c>
      <c r="FO131" s="21">
        <v>0.0</v>
      </c>
      <c r="FP131" s="21">
        <v>945.0</v>
      </c>
      <c r="FQ131" s="21">
        <v>5059.0</v>
      </c>
      <c r="FR131" s="21">
        <v>210000.0</v>
      </c>
      <c r="FS131" s="21">
        <v>60000.0</v>
      </c>
      <c r="FT131" s="21">
        <v>0.0</v>
      </c>
      <c r="FW131" s="21">
        <v>276004.0</v>
      </c>
      <c r="GF131" s="21">
        <v>754.0</v>
      </c>
      <c r="GH131" s="21">
        <v>1306.0</v>
      </c>
      <c r="GI131" s="21" t="s">
        <v>719</v>
      </c>
      <c r="GM131" s="21" t="s">
        <v>679</v>
      </c>
      <c r="GN131" s="21" t="s">
        <v>656</v>
      </c>
      <c r="GS131" s="21" t="s">
        <v>720</v>
      </c>
      <c r="GT131" s="21" t="s">
        <v>720</v>
      </c>
      <c r="GU131" s="21">
        <v>30729.0</v>
      </c>
      <c r="GV131" s="21" t="s">
        <v>656</v>
      </c>
      <c r="GW131" s="21" t="s">
        <v>659</v>
      </c>
      <c r="HD131" s="21" t="s">
        <v>659</v>
      </c>
      <c r="HG131" s="21" t="s">
        <v>659</v>
      </c>
      <c r="HK131" s="21" t="s">
        <v>721</v>
      </c>
      <c r="HL131" s="21" t="s">
        <v>659</v>
      </c>
      <c r="HM131" s="21" t="s">
        <v>659</v>
      </c>
      <c r="HN131" s="21" t="s">
        <v>659</v>
      </c>
      <c r="HO131" s="21" t="s">
        <v>656</v>
      </c>
      <c r="HP131" s="21" t="s">
        <v>656</v>
      </c>
      <c r="HQ131" s="21" t="s">
        <v>696</v>
      </c>
      <c r="HR131" s="21" t="s">
        <v>1903</v>
      </c>
      <c r="HT131" s="21" t="s">
        <v>723</v>
      </c>
      <c r="HU131" s="21" t="s">
        <v>851</v>
      </c>
      <c r="IH131" s="21" t="s">
        <v>656</v>
      </c>
      <c r="II131" s="21" t="s">
        <v>656</v>
      </c>
      <c r="IN131" s="21" t="s">
        <v>725</v>
      </c>
      <c r="IO131" s="21" t="s">
        <v>726</v>
      </c>
      <c r="IP131" s="21" t="s">
        <v>726</v>
      </c>
      <c r="JT131" s="21" t="s">
        <v>696</v>
      </c>
      <c r="JU131" s="21" t="s">
        <v>1659</v>
      </c>
      <c r="JV131" s="21" t="s">
        <v>659</v>
      </c>
      <c r="KD131" s="21" t="s">
        <v>659</v>
      </c>
      <c r="KE131" s="21" t="s">
        <v>1937</v>
      </c>
      <c r="KJ131" s="21" t="s">
        <v>659</v>
      </c>
      <c r="KK131" s="21" t="s">
        <v>1938</v>
      </c>
      <c r="KL131" s="21" t="s">
        <v>659</v>
      </c>
      <c r="KM131" s="21" t="s">
        <v>656</v>
      </c>
      <c r="KN131" s="21" t="s">
        <v>656</v>
      </c>
      <c r="KO131" s="21" t="s">
        <v>659</v>
      </c>
      <c r="QW131" s="21" t="s">
        <v>656</v>
      </c>
      <c r="TI131" s="21" t="s">
        <v>656</v>
      </c>
      <c r="TL131" s="21" t="s">
        <v>656</v>
      </c>
      <c r="TZ131" s="21" t="s">
        <v>656</v>
      </c>
      <c r="WL131" s="21" t="s">
        <v>1752</v>
      </c>
      <c r="WM131" s="21" t="s">
        <v>1753</v>
      </c>
      <c r="WN131" s="21" t="s">
        <v>1754</v>
      </c>
      <c r="WO131" s="21" t="s">
        <v>1935</v>
      </c>
      <c r="WT131" s="21" t="s">
        <v>1752</v>
      </c>
      <c r="WU131" s="21" t="s">
        <v>1753</v>
      </c>
      <c r="WV131" s="21" t="s">
        <v>1935</v>
      </c>
      <c r="WW131" s="21" t="s">
        <v>1754</v>
      </c>
      <c r="WX131" s="21" t="s">
        <v>1939</v>
      </c>
    </row>
    <row r="132">
      <c r="A132" s="21">
        <v>962.0</v>
      </c>
      <c r="B132" s="22">
        <v>43054.0</v>
      </c>
      <c r="C132" s="21">
        <v>2017.0</v>
      </c>
      <c r="D132" s="21">
        <v>2.0170104E7</v>
      </c>
      <c r="E132" s="21">
        <v>17488.0</v>
      </c>
      <c r="F132" s="21" t="s">
        <v>701</v>
      </c>
      <c r="G132" s="21">
        <v>18152.0</v>
      </c>
      <c r="H132" s="21" t="s">
        <v>702</v>
      </c>
      <c r="I132" s="21" t="s">
        <v>652</v>
      </c>
      <c r="J132" s="21" t="s">
        <v>653</v>
      </c>
      <c r="K132" s="21" t="s">
        <v>654</v>
      </c>
      <c r="L132" s="21">
        <v>77002.0</v>
      </c>
      <c r="M132" s="23">
        <v>43027.626388888886</v>
      </c>
      <c r="P132" s="21">
        <v>28.43055</v>
      </c>
      <c r="Q132" s="21">
        <v>-91.034387</v>
      </c>
      <c r="R132" s="21">
        <v>1193740.0</v>
      </c>
      <c r="S132" s="24">
        <v>43027.63958333333</v>
      </c>
      <c r="U132" s="21" t="s">
        <v>657</v>
      </c>
      <c r="W132" s="21">
        <v>1820.0</v>
      </c>
      <c r="X132" s="21">
        <v>25746.0</v>
      </c>
      <c r="Y132" s="21">
        <v>0.1</v>
      </c>
      <c r="Z132" s="21" t="s">
        <v>656</v>
      </c>
      <c r="AF132" s="21">
        <v>0.0</v>
      </c>
      <c r="AG132" s="21" t="s">
        <v>656</v>
      </c>
      <c r="AM132" s="21">
        <v>0.0</v>
      </c>
      <c r="AO132" s="21" t="s">
        <v>659</v>
      </c>
      <c r="AQ132" s="24">
        <v>43031.333333333336</v>
      </c>
      <c r="AR132" s="24">
        <v>43048.416666666664</v>
      </c>
      <c r="AW132" s="21" t="s">
        <v>656</v>
      </c>
      <c r="BB132" s="21" t="s">
        <v>656</v>
      </c>
      <c r="BI132" s="21">
        <v>0.0</v>
      </c>
      <c r="BJ132" s="24">
        <v>43027.626388888886</v>
      </c>
      <c r="BK132" s="24">
        <v>43039.385416666664</v>
      </c>
      <c r="BM132" s="21" t="s">
        <v>705</v>
      </c>
      <c r="CP132" s="21">
        <v>144.0</v>
      </c>
      <c r="CQ132" s="21" t="s">
        <v>708</v>
      </c>
      <c r="CW132" s="21" t="s">
        <v>1471</v>
      </c>
      <c r="CX132" s="21">
        <v>241.0</v>
      </c>
      <c r="CY132" s="21" t="s">
        <v>711</v>
      </c>
      <c r="CZ132" s="21" t="s">
        <v>712</v>
      </c>
      <c r="DA132" s="21" t="s">
        <v>713</v>
      </c>
      <c r="DB132" s="21" t="s">
        <v>1321</v>
      </c>
      <c r="EO132" s="21">
        <v>1992.0</v>
      </c>
      <c r="EQ132" s="21" t="s">
        <v>674</v>
      </c>
      <c r="ES132" s="21" t="s">
        <v>675</v>
      </c>
      <c r="EV132" s="21" t="s">
        <v>696</v>
      </c>
      <c r="EW132" s="21" t="s">
        <v>1940</v>
      </c>
      <c r="FC132" s="21" t="s">
        <v>677</v>
      </c>
      <c r="FD132" s="21" t="s">
        <v>656</v>
      </c>
      <c r="FF132" s="21">
        <v>318.0</v>
      </c>
      <c r="FH132" s="21" t="s">
        <v>656</v>
      </c>
      <c r="FI132" s="21" t="s">
        <v>656</v>
      </c>
      <c r="FJ132" s="21" t="s">
        <v>656</v>
      </c>
      <c r="FO132" s="21">
        <v>0.0</v>
      </c>
      <c r="FP132" s="21">
        <v>6006.0</v>
      </c>
      <c r="FQ132" s="21">
        <v>84961.0</v>
      </c>
      <c r="FR132" s="21">
        <v>2600.0</v>
      </c>
      <c r="FS132" s="21">
        <v>75000.0</v>
      </c>
      <c r="FT132" s="21">
        <v>0.0</v>
      </c>
      <c r="FW132" s="21">
        <v>168567.0</v>
      </c>
      <c r="GF132" s="21">
        <v>1000.0</v>
      </c>
      <c r="GH132" s="21">
        <v>1200.0</v>
      </c>
      <c r="GI132" s="21" t="s">
        <v>774</v>
      </c>
      <c r="GM132" s="21" t="s">
        <v>679</v>
      </c>
      <c r="GN132" s="21" t="s">
        <v>656</v>
      </c>
      <c r="GS132" s="21" t="s">
        <v>720</v>
      </c>
      <c r="GT132" s="21" t="s">
        <v>720</v>
      </c>
      <c r="GU132" s="21">
        <v>17600.0</v>
      </c>
      <c r="GV132" s="21" t="s">
        <v>656</v>
      </c>
      <c r="GW132" s="21" t="s">
        <v>659</v>
      </c>
      <c r="HD132" s="21" t="s">
        <v>659</v>
      </c>
      <c r="HG132" s="21" t="s">
        <v>659</v>
      </c>
      <c r="HK132" s="21" t="s">
        <v>721</v>
      </c>
      <c r="HL132" s="21" t="s">
        <v>659</v>
      </c>
      <c r="HM132" s="21" t="s">
        <v>659</v>
      </c>
      <c r="HN132" s="21" t="s">
        <v>659</v>
      </c>
      <c r="HO132" s="21" t="s">
        <v>656</v>
      </c>
      <c r="HP132" s="21" t="s">
        <v>656</v>
      </c>
      <c r="HQ132" s="21" t="s">
        <v>696</v>
      </c>
      <c r="HR132" s="21" t="s">
        <v>1903</v>
      </c>
      <c r="HT132" s="21" t="s">
        <v>723</v>
      </c>
      <c r="HU132" s="21" t="s">
        <v>851</v>
      </c>
      <c r="IH132" s="21" t="s">
        <v>656</v>
      </c>
      <c r="II132" s="21" t="s">
        <v>656</v>
      </c>
      <c r="IN132" s="21" t="s">
        <v>761</v>
      </c>
      <c r="IO132" s="21" t="s">
        <v>1324</v>
      </c>
      <c r="OU132" s="21" t="s">
        <v>1324</v>
      </c>
      <c r="PM132" s="21" t="s">
        <v>696</v>
      </c>
      <c r="PN132" s="21" t="s">
        <v>1941</v>
      </c>
      <c r="QE132" s="21" t="s">
        <v>659</v>
      </c>
      <c r="QF132" s="21" t="s">
        <v>1942</v>
      </c>
      <c r="WL132" s="21" t="s">
        <v>1752</v>
      </c>
      <c r="WM132" s="21" t="s">
        <v>1753</v>
      </c>
      <c r="WN132" s="21" t="s">
        <v>1754</v>
      </c>
      <c r="WO132" s="21" t="s">
        <v>1935</v>
      </c>
      <c r="WT132" s="21" t="s">
        <v>1752</v>
      </c>
      <c r="WU132" s="21" t="s">
        <v>1753</v>
      </c>
      <c r="WV132" s="21" t="s">
        <v>1935</v>
      </c>
      <c r="WW132" s="21" t="s">
        <v>1754</v>
      </c>
      <c r="WX132" s="21" t="s">
        <v>1943</v>
      </c>
    </row>
    <row r="133">
      <c r="A133" s="21">
        <v>963.0</v>
      </c>
      <c r="B133" s="22">
        <v>43052.0</v>
      </c>
      <c r="C133" s="21">
        <v>2017.0</v>
      </c>
      <c r="D133" s="21">
        <v>2.0170102E7</v>
      </c>
      <c r="E133" s="21">
        <v>17489.0</v>
      </c>
      <c r="F133" s="21" t="s">
        <v>778</v>
      </c>
      <c r="G133" s="21">
        <v>18152.0</v>
      </c>
      <c r="H133" s="21" t="s">
        <v>702</v>
      </c>
      <c r="I133" s="21" t="s">
        <v>652</v>
      </c>
      <c r="J133" s="21" t="s">
        <v>653</v>
      </c>
      <c r="K133" s="21" t="s">
        <v>654</v>
      </c>
      <c r="L133" s="21">
        <v>77002.0</v>
      </c>
      <c r="M133" s="23">
        <v>43025.6875</v>
      </c>
      <c r="P133" s="21">
        <v>28.20657</v>
      </c>
      <c r="Q133" s="21">
        <v>-91.701404</v>
      </c>
      <c r="R133" s="21">
        <v>1193533.0</v>
      </c>
      <c r="S133" s="24">
        <v>43025.73888888889</v>
      </c>
      <c r="U133" s="21" t="s">
        <v>657</v>
      </c>
      <c r="W133" s="21">
        <v>300.0</v>
      </c>
      <c r="X133" s="21">
        <v>2093.0</v>
      </c>
      <c r="Y133" s="21">
        <v>0.1</v>
      </c>
      <c r="Z133" s="21" t="s">
        <v>656</v>
      </c>
      <c r="AF133" s="21">
        <v>0.0</v>
      </c>
      <c r="AG133" s="21" t="s">
        <v>656</v>
      </c>
      <c r="AM133" s="21">
        <v>0.0</v>
      </c>
      <c r="AO133" s="21" t="s">
        <v>659</v>
      </c>
      <c r="AQ133" s="24">
        <v>43025.729166666664</v>
      </c>
      <c r="AR133" s="24">
        <v>43032.26597222222</v>
      </c>
      <c r="AW133" s="21" t="s">
        <v>656</v>
      </c>
      <c r="BB133" s="21" t="s">
        <v>656</v>
      </c>
      <c r="BI133" s="21">
        <v>0.0</v>
      </c>
      <c r="BJ133" s="24">
        <v>43025.6875</v>
      </c>
      <c r="BK133" s="24">
        <v>43027.438888888886</v>
      </c>
      <c r="BM133" s="21" t="s">
        <v>705</v>
      </c>
      <c r="CP133" s="21">
        <v>260.0</v>
      </c>
      <c r="CQ133" s="21" t="s">
        <v>708</v>
      </c>
      <c r="CW133" s="21" t="s">
        <v>710</v>
      </c>
      <c r="CX133" s="21">
        <v>338.0</v>
      </c>
      <c r="CY133" s="21" t="s">
        <v>711</v>
      </c>
      <c r="CZ133" s="21" t="s">
        <v>712</v>
      </c>
      <c r="DA133" s="21" t="s">
        <v>713</v>
      </c>
      <c r="DB133" s="21" t="s">
        <v>714</v>
      </c>
      <c r="DC133" s="21" t="s">
        <v>715</v>
      </c>
      <c r="DD133" s="21">
        <v>12.0</v>
      </c>
      <c r="DF133" s="21">
        <v>0.438</v>
      </c>
      <c r="DG133" s="21">
        <v>52000.0</v>
      </c>
      <c r="DH133" s="21" t="s">
        <v>684</v>
      </c>
      <c r="DI133" s="21" t="s">
        <v>696</v>
      </c>
      <c r="DJ133" s="21" t="s">
        <v>684</v>
      </c>
      <c r="DK133" s="21" t="s">
        <v>684</v>
      </c>
      <c r="DL133" s="21" t="s">
        <v>696</v>
      </c>
      <c r="DM133" s="21" t="s">
        <v>877</v>
      </c>
      <c r="EO133" s="21">
        <v>1973.0</v>
      </c>
      <c r="EP133" s="21">
        <v>1973.0</v>
      </c>
      <c r="EQ133" s="21" t="s">
        <v>674</v>
      </c>
      <c r="ES133" s="21" t="s">
        <v>675</v>
      </c>
      <c r="EV133" s="21" t="s">
        <v>718</v>
      </c>
      <c r="FC133" s="21" t="s">
        <v>677</v>
      </c>
      <c r="FD133" s="21" t="s">
        <v>656</v>
      </c>
      <c r="FF133" s="21">
        <v>318.0</v>
      </c>
      <c r="FH133" s="21" t="s">
        <v>656</v>
      </c>
      <c r="FI133" s="21" t="s">
        <v>656</v>
      </c>
      <c r="FJ133" s="21" t="s">
        <v>656</v>
      </c>
      <c r="FO133" s="21">
        <v>0.0</v>
      </c>
      <c r="FP133" s="21">
        <v>999.0</v>
      </c>
      <c r="FQ133" s="21">
        <v>6971.0</v>
      </c>
      <c r="FR133" s="21">
        <v>300000.0</v>
      </c>
      <c r="FS133" s="21">
        <v>75000.0</v>
      </c>
      <c r="FT133" s="21">
        <v>0.0</v>
      </c>
      <c r="FW133" s="21">
        <v>382970.0</v>
      </c>
      <c r="GF133" s="21">
        <v>800.0</v>
      </c>
      <c r="GH133" s="21">
        <v>1306.0</v>
      </c>
      <c r="GI133" s="21" t="s">
        <v>719</v>
      </c>
      <c r="GM133" s="21" t="s">
        <v>679</v>
      </c>
      <c r="GN133" s="21" t="s">
        <v>656</v>
      </c>
      <c r="GS133" s="21" t="s">
        <v>720</v>
      </c>
      <c r="GT133" s="21" t="s">
        <v>720</v>
      </c>
      <c r="GU133" s="21">
        <v>30729.0</v>
      </c>
      <c r="GV133" s="21" t="s">
        <v>656</v>
      </c>
      <c r="GW133" s="21" t="s">
        <v>659</v>
      </c>
      <c r="GY133" s="21" t="s">
        <v>659</v>
      </c>
      <c r="HD133" s="21" t="s">
        <v>659</v>
      </c>
      <c r="HG133" s="21" t="s">
        <v>659</v>
      </c>
      <c r="HK133" s="21" t="s">
        <v>721</v>
      </c>
      <c r="HL133" s="21" t="s">
        <v>659</v>
      </c>
      <c r="HM133" s="21" t="s">
        <v>659</v>
      </c>
      <c r="HN133" s="21" t="s">
        <v>659</v>
      </c>
      <c r="HO133" s="21" t="s">
        <v>656</v>
      </c>
      <c r="HP133" s="21" t="s">
        <v>656</v>
      </c>
      <c r="HQ133" s="21" t="s">
        <v>696</v>
      </c>
      <c r="HR133" s="21" t="s">
        <v>1903</v>
      </c>
      <c r="HT133" s="21" t="s">
        <v>723</v>
      </c>
      <c r="HU133" s="21" t="s">
        <v>851</v>
      </c>
      <c r="IH133" s="21" t="s">
        <v>656</v>
      </c>
      <c r="II133" s="21" t="s">
        <v>656</v>
      </c>
      <c r="IN133" s="21" t="s">
        <v>725</v>
      </c>
      <c r="IO133" s="21" t="s">
        <v>726</v>
      </c>
      <c r="IP133" s="21" t="s">
        <v>726</v>
      </c>
      <c r="JT133" s="21" t="s">
        <v>696</v>
      </c>
      <c r="JU133" s="21" t="s">
        <v>1659</v>
      </c>
      <c r="JV133" s="21" t="s">
        <v>659</v>
      </c>
      <c r="KD133" s="21" t="s">
        <v>659</v>
      </c>
      <c r="KE133" s="21" t="s">
        <v>1937</v>
      </c>
      <c r="KJ133" s="21" t="s">
        <v>659</v>
      </c>
      <c r="KK133" s="21" t="s">
        <v>1938</v>
      </c>
      <c r="KL133" s="21" t="s">
        <v>659</v>
      </c>
      <c r="KM133" s="21" t="s">
        <v>656</v>
      </c>
      <c r="KN133" s="21" t="s">
        <v>656</v>
      </c>
      <c r="KO133" s="21" t="s">
        <v>659</v>
      </c>
      <c r="QW133" s="21" t="s">
        <v>656</v>
      </c>
      <c r="TI133" s="21" t="s">
        <v>656</v>
      </c>
      <c r="TL133" s="21" t="s">
        <v>656</v>
      </c>
      <c r="TZ133" s="21" t="s">
        <v>656</v>
      </c>
      <c r="WL133" s="21" t="s">
        <v>1752</v>
      </c>
      <c r="WM133" s="21" t="s">
        <v>1753</v>
      </c>
      <c r="WN133" s="21" t="s">
        <v>1754</v>
      </c>
      <c r="WO133" s="21" t="s">
        <v>1935</v>
      </c>
      <c r="WT133" s="21" t="s">
        <v>1752</v>
      </c>
      <c r="WU133" s="21" t="s">
        <v>1753</v>
      </c>
      <c r="WV133" s="21" t="s">
        <v>1935</v>
      </c>
      <c r="WW133" s="21" t="s">
        <v>1754</v>
      </c>
      <c r="WX133" s="21" t="s">
        <v>1944</v>
      </c>
    </row>
    <row r="134">
      <c r="A134" s="21">
        <v>1005.0</v>
      </c>
      <c r="B134" s="22">
        <v>42940.0</v>
      </c>
      <c r="C134" s="21">
        <v>2017.0</v>
      </c>
      <c r="D134" s="21">
        <v>2.0170061E7</v>
      </c>
      <c r="E134" s="21">
        <v>17411.0</v>
      </c>
      <c r="F134" s="21" t="s">
        <v>778</v>
      </c>
      <c r="G134" s="21">
        <v>18152.0</v>
      </c>
      <c r="H134" s="21" t="s">
        <v>702</v>
      </c>
      <c r="I134" s="21" t="s">
        <v>1945</v>
      </c>
      <c r="J134" s="21" t="s">
        <v>1946</v>
      </c>
      <c r="K134" s="21" t="s">
        <v>654</v>
      </c>
      <c r="L134" s="21">
        <v>78258.0</v>
      </c>
      <c r="M134" s="23">
        <v>42911.34930555556</v>
      </c>
      <c r="P134" s="21">
        <v>28.194961</v>
      </c>
      <c r="Q134" s="21">
        <v>-91.680586</v>
      </c>
      <c r="R134" s="21">
        <v>1182216.0</v>
      </c>
      <c r="S134" s="24">
        <v>42911.34930555556</v>
      </c>
      <c r="U134" s="21" t="s">
        <v>657</v>
      </c>
      <c r="W134" s="21">
        <v>300.0</v>
      </c>
      <c r="X134" s="21">
        <v>2038.9</v>
      </c>
      <c r="Y134" s="21">
        <v>3.57</v>
      </c>
      <c r="Z134" s="21" t="s">
        <v>656</v>
      </c>
      <c r="AF134" s="21">
        <v>0.0</v>
      </c>
      <c r="AG134" s="21" t="s">
        <v>656</v>
      </c>
      <c r="AM134" s="21">
        <v>0.0</v>
      </c>
      <c r="AO134" s="21" t="s">
        <v>659</v>
      </c>
      <c r="AQ134" s="24">
        <v>42911.36111111111</v>
      </c>
      <c r="AR134" s="24">
        <v>42920.0625</v>
      </c>
      <c r="AW134" s="21" t="s">
        <v>656</v>
      </c>
      <c r="BB134" s="21" t="s">
        <v>656</v>
      </c>
      <c r="BI134" s="21">
        <v>0.0</v>
      </c>
      <c r="BJ134" s="24">
        <v>42911.583333333336</v>
      </c>
      <c r="BK134" s="24">
        <v>42911.583333333336</v>
      </c>
      <c r="BM134" s="21" t="s">
        <v>705</v>
      </c>
      <c r="CP134" s="21">
        <v>260.0</v>
      </c>
      <c r="CQ134" s="21" t="s">
        <v>708</v>
      </c>
      <c r="CW134" s="21" t="s">
        <v>710</v>
      </c>
      <c r="CX134" s="21">
        <v>338.0</v>
      </c>
      <c r="CY134" s="21" t="s">
        <v>711</v>
      </c>
      <c r="CZ134" s="21" t="s">
        <v>712</v>
      </c>
      <c r="DA134" s="21" t="s">
        <v>713</v>
      </c>
      <c r="DB134" s="21" t="s">
        <v>714</v>
      </c>
      <c r="DC134" s="21" t="s">
        <v>715</v>
      </c>
      <c r="DD134" s="21">
        <v>12.75</v>
      </c>
      <c r="DF134" s="21">
        <v>0.438</v>
      </c>
      <c r="DG134" s="21">
        <v>52000.0</v>
      </c>
      <c r="DH134" s="21" t="s">
        <v>684</v>
      </c>
      <c r="DI134" s="21" t="s">
        <v>696</v>
      </c>
      <c r="DJ134" s="21" t="s">
        <v>684</v>
      </c>
      <c r="DK134" s="21" t="s">
        <v>684</v>
      </c>
      <c r="DL134" s="21" t="s">
        <v>696</v>
      </c>
      <c r="DM134" s="21" t="s">
        <v>877</v>
      </c>
      <c r="EO134" s="21">
        <v>1973.0</v>
      </c>
      <c r="EP134" s="21">
        <v>1973.0</v>
      </c>
      <c r="EQ134" s="21" t="s">
        <v>674</v>
      </c>
      <c r="ES134" s="21" t="s">
        <v>675</v>
      </c>
      <c r="EV134" s="21" t="s">
        <v>718</v>
      </c>
      <c r="FC134" s="21" t="s">
        <v>677</v>
      </c>
      <c r="FD134" s="21" t="s">
        <v>656</v>
      </c>
      <c r="FF134" s="21">
        <v>318.0</v>
      </c>
      <c r="FH134" s="21" t="s">
        <v>656</v>
      </c>
      <c r="FI134" s="21" t="s">
        <v>656</v>
      </c>
      <c r="FJ134" s="21" t="s">
        <v>656</v>
      </c>
      <c r="FO134" s="21">
        <v>0.0</v>
      </c>
      <c r="FP134" s="21">
        <v>860.0</v>
      </c>
      <c r="FQ134" s="21">
        <v>5847.0</v>
      </c>
      <c r="FR134" s="21">
        <v>398927.0</v>
      </c>
      <c r="FS134" s="21">
        <v>176956.0</v>
      </c>
      <c r="FT134" s="21">
        <v>0.0</v>
      </c>
      <c r="FW134" s="21">
        <v>582590.0</v>
      </c>
      <c r="GF134" s="21">
        <v>1000.0</v>
      </c>
      <c r="GH134" s="21">
        <v>1306.0</v>
      </c>
      <c r="GI134" s="21" t="s">
        <v>719</v>
      </c>
      <c r="GM134" s="21" t="s">
        <v>679</v>
      </c>
      <c r="GN134" s="21" t="s">
        <v>656</v>
      </c>
      <c r="GS134" s="21" t="s">
        <v>720</v>
      </c>
      <c r="GT134" s="21" t="s">
        <v>720</v>
      </c>
      <c r="GU134" s="21">
        <v>31680.0</v>
      </c>
      <c r="GV134" s="21" t="s">
        <v>656</v>
      </c>
      <c r="GW134" s="21" t="s">
        <v>659</v>
      </c>
      <c r="GY134" s="21" t="s">
        <v>659</v>
      </c>
      <c r="HD134" s="21" t="s">
        <v>659</v>
      </c>
      <c r="HG134" s="21" t="s">
        <v>659</v>
      </c>
      <c r="HK134" s="21" t="s">
        <v>721</v>
      </c>
      <c r="HL134" s="21" t="s">
        <v>659</v>
      </c>
      <c r="HM134" s="21" t="s">
        <v>659</v>
      </c>
      <c r="HN134" s="21" t="s">
        <v>659</v>
      </c>
      <c r="HO134" s="21" t="s">
        <v>656</v>
      </c>
      <c r="HP134" s="21" t="s">
        <v>656</v>
      </c>
      <c r="HQ134" s="21" t="s">
        <v>696</v>
      </c>
      <c r="HR134" s="21" t="s">
        <v>1947</v>
      </c>
      <c r="HT134" s="21" t="s">
        <v>723</v>
      </c>
      <c r="HU134" s="21" t="s">
        <v>851</v>
      </c>
      <c r="IH134" s="21" t="s">
        <v>656</v>
      </c>
      <c r="II134" s="21" t="s">
        <v>656</v>
      </c>
      <c r="IN134" s="21" t="s">
        <v>725</v>
      </c>
      <c r="IO134" s="21" t="s">
        <v>726</v>
      </c>
      <c r="IP134" s="21" t="s">
        <v>726</v>
      </c>
      <c r="JT134" s="21" t="s">
        <v>696</v>
      </c>
      <c r="JU134" s="21" t="s">
        <v>1948</v>
      </c>
      <c r="JV134" s="21" t="s">
        <v>659</v>
      </c>
      <c r="KD134" s="21" t="s">
        <v>659</v>
      </c>
      <c r="KE134" s="21" t="s">
        <v>1937</v>
      </c>
      <c r="KJ134" s="21" t="s">
        <v>659</v>
      </c>
      <c r="KK134" s="21" t="s">
        <v>1949</v>
      </c>
      <c r="KL134" s="21" t="s">
        <v>659</v>
      </c>
      <c r="KM134" s="21" t="s">
        <v>656</v>
      </c>
      <c r="KN134" s="21" t="s">
        <v>656</v>
      </c>
      <c r="KO134" s="21" t="s">
        <v>659</v>
      </c>
      <c r="QW134" s="21" t="s">
        <v>656</v>
      </c>
      <c r="TI134" s="21" t="s">
        <v>656</v>
      </c>
      <c r="TL134" s="21" t="s">
        <v>656</v>
      </c>
      <c r="TZ134" s="21" t="s">
        <v>656</v>
      </c>
      <c r="WL134" s="21" t="s">
        <v>1752</v>
      </c>
      <c r="WM134" s="21" t="s">
        <v>1753</v>
      </c>
      <c r="WN134" s="21" t="s">
        <v>1754</v>
      </c>
      <c r="WO134" s="21" t="s">
        <v>1935</v>
      </c>
      <c r="WT134" s="21" t="s">
        <v>1752</v>
      </c>
      <c r="WU134" s="21" t="s">
        <v>1753</v>
      </c>
      <c r="WV134" s="21" t="s">
        <v>1935</v>
      </c>
      <c r="WW134" s="21" t="s">
        <v>1754</v>
      </c>
      <c r="WX134" s="21" t="s">
        <v>1950</v>
      </c>
    </row>
    <row r="135">
      <c r="A135" s="21">
        <v>1035.0</v>
      </c>
      <c r="B135" s="22">
        <v>42832.0</v>
      </c>
      <c r="C135" s="21">
        <v>2017.0</v>
      </c>
      <c r="D135" s="21">
        <v>2.017003E7</v>
      </c>
      <c r="E135" s="21">
        <v>17428.0</v>
      </c>
      <c r="F135" s="21" t="s">
        <v>778</v>
      </c>
      <c r="G135" s="21">
        <v>18152.0</v>
      </c>
      <c r="H135" s="21" t="s">
        <v>702</v>
      </c>
      <c r="I135" s="21" t="s">
        <v>1945</v>
      </c>
      <c r="J135" s="21" t="s">
        <v>1946</v>
      </c>
      <c r="K135" s="21" t="s">
        <v>654</v>
      </c>
      <c r="L135" s="21">
        <v>78258.0</v>
      </c>
      <c r="M135" s="23">
        <v>42803.444444444445</v>
      </c>
      <c r="P135" s="21">
        <v>28.67224</v>
      </c>
      <c r="Q135" s="21">
        <v>-90.66455</v>
      </c>
      <c r="R135" s="21">
        <v>1172831.0</v>
      </c>
      <c r="S135" s="24">
        <v>42803.46041666667</v>
      </c>
      <c r="U135" s="21" t="s">
        <v>657</v>
      </c>
      <c r="W135" s="21">
        <v>2110.0</v>
      </c>
      <c r="X135" s="21">
        <v>6509.0</v>
      </c>
      <c r="Y135" s="21">
        <v>0.0</v>
      </c>
      <c r="Z135" s="21" t="s">
        <v>656</v>
      </c>
      <c r="AF135" s="21">
        <v>0.0</v>
      </c>
      <c r="AG135" s="21" t="s">
        <v>656</v>
      </c>
      <c r="AM135" s="21">
        <v>0.0</v>
      </c>
      <c r="AO135" s="21" t="s">
        <v>659</v>
      </c>
      <c r="AQ135" s="24">
        <v>42803.479166666664</v>
      </c>
      <c r="AR135" s="24">
        <v>42960.75</v>
      </c>
      <c r="AW135" s="21" t="s">
        <v>656</v>
      </c>
      <c r="BB135" s="21" t="s">
        <v>656</v>
      </c>
      <c r="BI135" s="21">
        <v>0.0</v>
      </c>
      <c r="BJ135" s="24">
        <v>42804.791666666664</v>
      </c>
      <c r="BK135" s="24">
        <v>42804.791666666664</v>
      </c>
      <c r="BM135" s="21" t="s">
        <v>705</v>
      </c>
      <c r="CP135" s="21">
        <v>68.0</v>
      </c>
      <c r="CQ135" s="21" t="s">
        <v>708</v>
      </c>
      <c r="CW135" s="21" t="s">
        <v>847</v>
      </c>
      <c r="CX135" s="21">
        <v>100.0</v>
      </c>
      <c r="CY135" s="21" t="s">
        <v>711</v>
      </c>
      <c r="CZ135" s="21" t="s">
        <v>712</v>
      </c>
      <c r="DA135" s="21" t="s">
        <v>713</v>
      </c>
      <c r="DB135" s="21" t="s">
        <v>714</v>
      </c>
      <c r="DC135" s="21" t="s">
        <v>715</v>
      </c>
      <c r="DD135" s="21">
        <v>18.0</v>
      </c>
      <c r="DF135" s="21">
        <v>0.438</v>
      </c>
      <c r="DG135" s="21">
        <v>52000.0</v>
      </c>
      <c r="DH135" s="21" t="s">
        <v>1533</v>
      </c>
      <c r="DI135" s="21" t="s">
        <v>921</v>
      </c>
      <c r="DK135" s="21" t="s">
        <v>1951</v>
      </c>
      <c r="DL135" s="21" t="s">
        <v>743</v>
      </c>
      <c r="EO135" s="21">
        <v>1972.0</v>
      </c>
      <c r="EP135" s="21">
        <v>1972.0</v>
      </c>
      <c r="EQ135" s="21" t="s">
        <v>674</v>
      </c>
      <c r="ES135" s="21" t="s">
        <v>675</v>
      </c>
      <c r="EV135" s="21" t="s">
        <v>718</v>
      </c>
      <c r="FC135" s="21" t="s">
        <v>677</v>
      </c>
      <c r="FD135" s="21" t="s">
        <v>656</v>
      </c>
      <c r="FF135" s="21">
        <v>439.0</v>
      </c>
      <c r="FH135" s="21" t="s">
        <v>656</v>
      </c>
      <c r="FI135" s="21" t="s">
        <v>656</v>
      </c>
      <c r="FJ135" s="21" t="s">
        <v>656</v>
      </c>
      <c r="FO135" s="21">
        <v>0.0</v>
      </c>
      <c r="FP135" s="21">
        <v>6267.0</v>
      </c>
      <c r="FQ135" s="21">
        <v>19332.0</v>
      </c>
      <c r="FR135" s="21">
        <v>266243.0</v>
      </c>
      <c r="FS135" s="21">
        <v>0.0</v>
      </c>
      <c r="FT135" s="21">
        <v>0.0</v>
      </c>
      <c r="FW135" s="21">
        <v>291842.0</v>
      </c>
      <c r="GF135" s="21">
        <v>753.0</v>
      </c>
      <c r="GH135" s="21">
        <v>1200.0</v>
      </c>
      <c r="GI135" s="21" t="s">
        <v>774</v>
      </c>
      <c r="GM135" s="21" t="s">
        <v>679</v>
      </c>
      <c r="GN135" s="21" t="s">
        <v>656</v>
      </c>
      <c r="GS135" s="21" t="s">
        <v>720</v>
      </c>
      <c r="GT135" s="21" t="s">
        <v>720</v>
      </c>
      <c r="GU135" s="21">
        <v>55281.0</v>
      </c>
      <c r="GV135" s="21" t="s">
        <v>656</v>
      </c>
      <c r="GY135" s="21" t="s">
        <v>659</v>
      </c>
      <c r="HD135" s="21" t="s">
        <v>656</v>
      </c>
      <c r="HK135" s="21" t="s">
        <v>721</v>
      </c>
      <c r="HL135" s="21" t="s">
        <v>659</v>
      </c>
      <c r="HM135" s="21" t="s">
        <v>659</v>
      </c>
      <c r="HN135" s="21" t="s">
        <v>659</v>
      </c>
      <c r="HO135" s="21" t="s">
        <v>656</v>
      </c>
      <c r="HP135" s="21" t="s">
        <v>656</v>
      </c>
      <c r="HQ135" s="21" t="s">
        <v>698</v>
      </c>
      <c r="HS135" s="21" t="s">
        <v>699</v>
      </c>
      <c r="HT135" s="21" t="s">
        <v>723</v>
      </c>
      <c r="HU135" s="21" t="s">
        <v>1952</v>
      </c>
      <c r="IH135" s="21" t="s">
        <v>656</v>
      </c>
      <c r="II135" s="21" t="s">
        <v>656</v>
      </c>
      <c r="IN135" s="21" t="s">
        <v>725</v>
      </c>
      <c r="IO135" s="21" t="s">
        <v>726</v>
      </c>
      <c r="IP135" s="21" t="s">
        <v>726</v>
      </c>
      <c r="JT135" s="21" t="s">
        <v>696</v>
      </c>
      <c r="JU135" s="21" t="s">
        <v>1953</v>
      </c>
      <c r="JZ135" s="21" t="s">
        <v>659</v>
      </c>
      <c r="KA135" s="21" t="s">
        <v>1660</v>
      </c>
      <c r="KD135" s="21" t="s">
        <v>659</v>
      </c>
      <c r="KE135" s="21" t="s">
        <v>1954</v>
      </c>
      <c r="KJ135" s="21" t="s">
        <v>659</v>
      </c>
      <c r="KK135" s="21" t="s">
        <v>1955</v>
      </c>
      <c r="KL135" s="21" t="s">
        <v>659</v>
      </c>
      <c r="KM135" s="21" t="s">
        <v>656</v>
      </c>
      <c r="KN135" s="21" t="s">
        <v>656</v>
      </c>
      <c r="KO135" s="21" t="s">
        <v>656</v>
      </c>
      <c r="QW135" s="21" t="s">
        <v>656</v>
      </c>
      <c r="TI135" s="21" t="s">
        <v>656</v>
      </c>
      <c r="TL135" s="21" t="s">
        <v>656</v>
      </c>
      <c r="TZ135" s="21" t="s">
        <v>656</v>
      </c>
      <c r="WL135" s="21" t="s">
        <v>1752</v>
      </c>
      <c r="WM135" s="21" t="s">
        <v>1753</v>
      </c>
      <c r="WN135" s="21" t="s">
        <v>1754</v>
      </c>
      <c r="WO135" s="21" t="s">
        <v>1846</v>
      </c>
      <c r="WT135" s="21" t="s">
        <v>1752</v>
      </c>
      <c r="WU135" s="21" t="s">
        <v>1753</v>
      </c>
      <c r="WV135" s="21" t="s">
        <v>1846</v>
      </c>
      <c r="WW135" s="21" t="s">
        <v>1754</v>
      </c>
      <c r="WX135" s="21" t="s">
        <v>1956</v>
      </c>
    </row>
    <row r="136">
      <c r="A136" s="21">
        <v>1054.0</v>
      </c>
      <c r="B136" s="22">
        <v>42766.0</v>
      </c>
      <c r="C136" s="21">
        <v>2017.0</v>
      </c>
      <c r="D136" s="21">
        <v>2.017001E7</v>
      </c>
      <c r="E136" s="21">
        <v>31474.0</v>
      </c>
      <c r="F136" s="21" t="s">
        <v>778</v>
      </c>
      <c r="G136" s="21">
        <v>15105.0</v>
      </c>
      <c r="H136" s="21" t="s">
        <v>794</v>
      </c>
      <c r="I136" s="21" t="s">
        <v>652</v>
      </c>
      <c r="J136" s="21" t="s">
        <v>653</v>
      </c>
      <c r="K136" s="21" t="s">
        <v>654</v>
      </c>
      <c r="L136" s="21">
        <v>77002.0</v>
      </c>
      <c r="M136" s="23">
        <v>42737.11666666667</v>
      </c>
      <c r="P136" s="21">
        <v>39.80352</v>
      </c>
      <c r="Q136" s="21">
        <v>-87.34949</v>
      </c>
      <c r="R136" s="21">
        <v>1167624.0</v>
      </c>
      <c r="S136" s="24">
        <v>42737.489583333336</v>
      </c>
      <c r="U136" s="21" t="s">
        <v>657</v>
      </c>
      <c r="W136" s="21">
        <v>13000.0</v>
      </c>
      <c r="X136" s="21">
        <v>0.0</v>
      </c>
      <c r="Y136" s="21">
        <v>0.0</v>
      </c>
      <c r="Z136" s="21" t="s">
        <v>656</v>
      </c>
      <c r="AF136" s="21">
        <v>0.0</v>
      </c>
      <c r="AG136" s="21" t="s">
        <v>656</v>
      </c>
      <c r="AM136" s="21">
        <v>0.0</v>
      </c>
      <c r="AO136" s="21" t="s">
        <v>656</v>
      </c>
      <c r="AP136" s="21" t="s">
        <v>1957</v>
      </c>
      <c r="AW136" s="21" t="s">
        <v>656</v>
      </c>
      <c r="BB136" s="21" t="s">
        <v>656</v>
      </c>
      <c r="BI136" s="21">
        <v>0.0</v>
      </c>
      <c r="BJ136" s="24">
        <v>42737.126388888886</v>
      </c>
      <c r="BK136" s="24">
        <v>42737.145833333336</v>
      </c>
      <c r="BM136" s="21" t="s">
        <v>662</v>
      </c>
      <c r="BN136" s="21" t="s">
        <v>1958</v>
      </c>
      <c r="BO136" s="21">
        <v>47862.0</v>
      </c>
      <c r="BP136" s="21" t="s">
        <v>1959</v>
      </c>
      <c r="BQ136" s="21" t="s">
        <v>1960</v>
      </c>
      <c r="BR136" s="21" t="s">
        <v>892</v>
      </c>
      <c r="BS136" s="21" t="s">
        <v>1961</v>
      </c>
      <c r="BT136" s="21" t="s">
        <v>1962</v>
      </c>
      <c r="BU136" s="21" t="s">
        <v>1963</v>
      </c>
      <c r="BV136" s="21" t="s">
        <v>656</v>
      </c>
      <c r="BW136" s="21" t="s">
        <v>668</v>
      </c>
      <c r="BX136" s="21" t="s">
        <v>669</v>
      </c>
      <c r="BY136" s="21" t="s">
        <v>670</v>
      </c>
      <c r="CC136" s="21" t="s">
        <v>656</v>
      </c>
      <c r="CZ136" s="21" t="s">
        <v>712</v>
      </c>
      <c r="DA136" s="21" t="s">
        <v>672</v>
      </c>
      <c r="DB136" s="21" t="s">
        <v>756</v>
      </c>
      <c r="EH136" s="21" t="s">
        <v>1432</v>
      </c>
      <c r="EO136" s="21">
        <v>2009.0</v>
      </c>
      <c r="EQ136" s="21" t="s">
        <v>674</v>
      </c>
      <c r="ES136" s="21" t="s">
        <v>696</v>
      </c>
      <c r="FB136" s="21" t="s">
        <v>1432</v>
      </c>
      <c r="FC136" s="21" t="s">
        <v>677</v>
      </c>
      <c r="FD136" s="21" t="s">
        <v>656</v>
      </c>
      <c r="FF136" s="21">
        <v>137.0</v>
      </c>
      <c r="FH136" s="21" t="s">
        <v>656</v>
      </c>
      <c r="FI136" s="21" t="s">
        <v>656</v>
      </c>
      <c r="FJ136" s="21" t="s">
        <v>656</v>
      </c>
      <c r="FO136" s="21">
        <v>0.0</v>
      </c>
      <c r="FP136" s="21">
        <v>49436.0</v>
      </c>
      <c r="FQ136" s="21">
        <v>0.0</v>
      </c>
      <c r="FR136" s="21">
        <v>0.0</v>
      </c>
      <c r="FS136" s="21">
        <v>1000.0</v>
      </c>
      <c r="FT136" s="21">
        <v>0.0</v>
      </c>
      <c r="FW136" s="21">
        <v>50436.0</v>
      </c>
      <c r="GF136" s="21">
        <v>670.0</v>
      </c>
      <c r="GH136" s="21">
        <v>900.0</v>
      </c>
      <c r="GI136" s="21" t="s">
        <v>719</v>
      </c>
      <c r="GM136" s="21" t="s">
        <v>679</v>
      </c>
      <c r="GN136" s="21" t="s">
        <v>656</v>
      </c>
      <c r="HK136" s="21" t="s">
        <v>721</v>
      </c>
      <c r="HL136" s="21" t="s">
        <v>659</v>
      </c>
      <c r="HM136" s="21" t="s">
        <v>659</v>
      </c>
      <c r="HN136" s="21" t="s">
        <v>659</v>
      </c>
      <c r="HO136" s="21" t="s">
        <v>659</v>
      </c>
      <c r="HP136" s="21" t="s">
        <v>659</v>
      </c>
      <c r="HQ136" s="21" t="s">
        <v>698</v>
      </c>
      <c r="HS136" s="21" t="s">
        <v>699</v>
      </c>
      <c r="HT136" s="21" t="s">
        <v>723</v>
      </c>
      <c r="HU136" s="21" t="s">
        <v>1964</v>
      </c>
      <c r="IH136" s="21" t="s">
        <v>656</v>
      </c>
      <c r="II136" s="21" t="s">
        <v>656</v>
      </c>
      <c r="IN136" s="21" t="s">
        <v>761</v>
      </c>
      <c r="IO136" s="21" t="s">
        <v>762</v>
      </c>
      <c r="OU136" s="21" t="s">
        <v>762</v>
      </c>
      <c r="PB136" s="21" t="s">
        <v>659</v>
      </c>
      <c r="PG136" s="21" t="s">
        <v>659</v>
      </c>
      <c r="PH136" s="21" t="s">
        <v>1965</v>
      </c>
      <c r="QE136" s="21" t="s">
        <v>659</v>
      </c>
      <c r="QF136" s="21" t="s">
        <v>1966</v>
      </c>
      <c r="WL136" s="21" t="s">
        <v>1752</v>
      </c>
      <c r="WM136" s="21" t="s">
        <v>1144</v>
      </c>
      <c r="WN136" s="21" t="s">
        <v>1754</v>
      </c>
      <c r="WO136" s="21" t="s">
        <v>1846</v>
      </c>
      <c r="WT136" s="21" t="s">
        <v>1752</v>
      </c>
      <c r="WU136" s="21" t="s">
        <v>1144</v>
      </c>
      <c r="WV136" s="21" t="s">
        <v>1846</v>
      </c>
      <c r="WW136" s="21" t="s">
        <v>1754</v>
      </c>
      <c r="WX136" s="21" t="s">
        <v>1967</v>
      </c>
    </row>
    <row r="137">
      <c r="A137" s="21">
        <v>1076.0</v>
      </c>
      <c r="B137" s="22">
        <v>42654.0</v>
      </c>
      <c r="C137" s="21">
        <v>2016.0</v>
      </c>
      <c r="D137" s="21">
        <v>2.0160083E7</v>
      </c>
      <c r="E137" s="21">
        <v>17200.0</v>
      </c>
      <c r="F137" s="21" t="s">
        <v>701</v>
      </c>
      <c r="G137" s="21">
        <v>32099.0</v>
      </c>
      <c r="H137" s="21" t="s">
        <v>651</v>
      </c>
      <c r="I137" s="21" t="s">
        <v>652</v>
      </c>
      <c r="J137" s="21" t="s">
        <v>653</v>
      </c>
      <c r="K137" s="21" t="s">
        <v>654</v>
      </c>
      <c r="L137" s="21">
        <v>77002.0</v>
      </c>
      <c r="M137" s="23">
        <v>42636.42222222222</v>
      </c>
      <c r="P137" s="21">
        <v>30.387152</v>
      </c>
      <c r="Q137" s="21">
        <v>-99.897059</v>
      </c>
      <c r="R137" s="21">
        <v>1159819.0</v>
      </c>
      <c r="S137" s="24">
        <v>42636.714583333334</v>
      </c>
      <c r="U137" s="21" t="s">
        <v>657</v>
      </c>
      <c r="W137" s="21">
        <v>24879.0</v>
      </c>
      <c r="X137" s="21">
        <v>0.0</v>
      </c>
      <c r="Y137" s="21">
        <v>0.0</v>
      </c>
      <c r="Z137" s="21" t="s">
        <v>656</v>
      </c>
      <c r="AF137" s="21">
        <v>0.0</v>
      </c>
      <c r="AG137" s="21" t="s">
        <v>656</v>
      </c>
      <c r="AM137" s="21">
        <v>0.0</v>
      </c>
      <c r="AO137" s="21" t="s">
        <v>659</v>
      </c>
      <c r="AQ137" s="24">
        <v>42636.42222222222</v>
      </c>
      <c r="AR137" s="24">
        <v>42636.50902777778</v>
      </c>
      <c r="AW137" s="21" t="s">
        <v>656</v>
      </c>
      <c r="BB137" s="21" t="s">
        <v>656</v>
      </c>
      <c r="BI137" s="21">
        <v>0.0</v>
      </c>
      <c r="BJ137" s="24">
        <v>42636.42222222222</v>
      </c>
      <c r="BK137" s="24">
        <v>42636.42222222222</v>
      </c>
      <c r="BM137" s="21" t="s">
        <v>662</v>
      </c>
      <c r="BN137" s="21" t="s">
        <v>654</v>
      </c>
      <c r="BO137" s="21">
        <v>76849.0</v>
      </c>
      <c r="BP137" s="21" t="s">
        <v>1968</v>
      </c>
      <c r="BQ137" s="21" t="s">
        <v>1969</v>
      </c>
      <c r="BR137" s="21" t="s">
        <v>892</v>
      </c>
      <c r="BS137" s="21" t="s">
        <v>1970</v>
      </c>
      <c r="BT137" s="21" t="s">
        <v>1971</v>
      </c>
      <c r="BU137" s="21" t="s">
        <v>1972</v>
      </c>
      <c r="BV137" s="21" t="s">
        <v>656</v>
      </c>
      <c r="BW137" s="21" t="s">
        <v>668</v>
      </c>
      <c r="BX137" s="21" t="s">
        <v>669</v>
      </c>
      <c r="BY137" s="21" t="s">
        <v>670</v>
      </c>
      <c r="CC137" s="21" t="s">
        <v>656</v>
      </c>
      <c r="CZ137" s="21" t="s">
        <v>671</v>
      </c>
      <c r="DA137" s="21" t="s">
        <v>672</v>
      </c>
      <c r="DB137" s="21" t="s">
        <v>673</v>
      </c>
      <c r="EO137" s="21">
        <v>1972.0</v>
      </c>
      <c r="EQ137" s="21" t="s">
        <v>674</v>
      </c>
      <c r="ES137" s="21" t="s">
        <v>696</v>
      </c>
      <c r="FB137" s="21" t="s">
        <v>1973</v>
      </c>
      <c r="FC137" s="21" t="s">
        <v>677</v>
      </c>
      <c r="FD137" s="21" t="s">
        <v>656</v>
      </c>
      <c r="FF137" s="21">
        <v>671.0</v>
      </c>
      <c r="FH137" s="21" t="s">
        <v>656</v>
      </c>
      <c r="FI137" s="21" t="s">
        <v>656</v>
      </c>
      <c r="FJ137" s="21" t="s">
        <v>656</v>
      </c>
      <c r="FO137" s="21">
        <v>0.0</v>
      </c>
      <c r="FP137" s="21">
        <v>62197.0</v>
      </c>
      <c r="FQ137" s="21">
        <v>0.0</v>
      </c>
      <c r="FR137" s="21">
        <v>0.0</v>
      </c>
      <c r="FS137" s="21">
        <v>0.0</v>
      </c>
      <c r="FT137" s="21">
        <v>0.0</v>
      </c>
      <c r="FW137" s="21">
        <v>62197.0</v>
      </c>
      <c r="GF137" s="21">
        <v>870.0</v>
      </c>
      <c r="GH137" s="21">
        <v>1050.0</v>
      </c>
      <c r="GI137" s="21" t="s">
        <v>719</v>
      </c>
      <c r="GM137" s="21" t="s">
        <v>679</v>
      </c>
      <c r="GN137" s="21" t="s">
        <v>656</v>
      </c>
      <c r="HK137" s="21" t="s">
        <v>721</v>
      </c>
      <c r="HL137" s="21" t="s">
        <v>659</v>
      </c>
      <c r="HM137" s="21" t="s">
        <v>659</v>
      </c>
      <c r="HN137" s="21" t="s">
        <v>659</v>
      </c>
      <c r="HO137" s="21" t="s">
        <v>659</v>
      </c>
      <c r="HP137" s="21" t="s">
        <v>659</v>
      </c>
      <c r="HQ137" s="21" t="s">
        <v>698</v>
      </c>
      <c r="HS137" s="21" t="s">
        <v>699</v>
      </c>
      <c r="HT137" s="21" t="s">
        <v>723</v>
      </c>
      <c r="HU137" s="21" t="s">
        <v>1974</v>
      </c>
      <c r="IH137" s="21" t="s">
        <v>656</v>
      </c>
      <c r="II137" s="21" t="s">
        <v>656</v>
      </c>
      <c r="IN137" s="21" t="s">
        <v>761</v>
      </c>
      <c r="IO137" s="21" t="s">
        <v>762</v>
      </c>
      <c r="OU137" s="21" t="s">
        <v>762</v>
      </c>
      <c r="OV137" s="21" t="s">
        <v>659</v>
      </c>
      <c r="PC137" s="21" t="s">
        <v>659</v>
      </c>
      <c r="QE137" s="21" t="s">
        <v>659</v>
      </c>
      <c r="QF137" s="21" t="s">
        <v>1975</v>
      </c>
      <c r="WL137" s="21" t="s">
        <v>1709</v>
      </c>
      <c r="WM137" s="21" t="s">
        <v>984</v>
      </c>
      <c r="WN137" s="21" t="s">
        <v>1712</v>
      </c>
      <c r="WO137" s="21">
        <v>7.139897232E9</v>
      </c>
      <c r="WT137" s="21" t="s">
        <v>1709</v>
      </c>
      <c r="WU137" s="21" t="s">
        <v>984</v>
      </c>
      <c r="WV137" s="21">
        <v>7.139897232E9</v>
      </c>
      <c r="WW137" s="21" t="s">
        <v>1712</v>
      </c>
      <c r="WX137" s="21" t="s">
        <v>1976</v>
      </c>
    </row>
    <row r="138">
      <c r="A138" s="21">
        <v>1079.0</v>
      </c>
      <c r="B138" s="22">
        <v>42650.0</v>
      </c>
      <c r="C138" s="21">
        <v>2016.0</v>
      </c>
      <c r="D138" s="21">
        <v>2.0160081E7</v>
      </c>
      <c r="E138" s="21">
        <v>17198.0</v>
      </c>
      <c r="F138" s="21" t="s">
        <v>701</v>
      </c>
      <c r="G138" s="21">
        <v>32099.0</v>
      </c>
      <c r="H138" s="21" t="s">
        <v>651</v>
      </c>
      <c r="I138" s="21" t="s">
        <v>652</v>
      </c>
      <c r="J138" s="21" t="s">
        <v>653</v>
      </c>
      <c r="K138" s="21" t="s">
        <v>654</v>
      </c>
      <c r="L138" s="21">
        <v>77002.0</v>
      </c>
      <c r="M138" s="23">
        <v>42627.461805555555</v>
      </c>
      <c r="P138" s="21">
        <v>29.86755</v>
      </c>
      <c r="Q138" s="21">
        <v>-95.20239</v>
      </c>
      <c r="R138" s="21">
        <v>1158980.0</v>
      </c>
      <c r="S138" s="24">
        <v>42627.552083333336</v>
      </c>
      <c r="U138" s="21" t="s">
        <v>657</v>
      </c>
      <c r="W138" s="21">
        <v>63.0</v>
      </c>
      <c r="X138" s="21">
        <v>806.0</v>
      </c>
      <c r="Y138" s="21">
        <v>0.0</v>
      </c>
      <c r="Z138" s="21" t="s">
        <v>656</v>
      </c>
      <c r="AF138" s="21">
        <v>0.0</v>
      </c>
      <c r="AG138" s="21" t="s">
        <v>656</v>
      </c>
      <c r="AM138" s="21">
        <v>0.0</v>
      </c>
      <c r="AO138" s="21" t="s">
        <v>659</v>
      </c>
      <c r="AQ138" s="24">
        <v>42627.55902777778</v>
      </c>
      <c r="AR138" s="24">
        <v>42628.052083333336</v>
      </c>
      <c r="AW138" s="21" t="s">
        <v>656</v>
      </c>
      <c r="BB138" s="21" t="s">
        <v>656</v>
      </c>
      <c r="BI138" s="21">
        <v>750.0</v>
      </c>
      <c r="BJ138" s="24">
        <v>42627.45208333333</v>
      </c>
      <c r="BK138" s="24">
        <v>42627.461805555555</v>
      </c>
      <c r="BM138" s="21" t="s">
        <v>662</v>
      </c>
      <c r="BN138" s="21" t="s">
        <v>654</v>
      </c>
      <c r="BO138" s="21">
        <v>77044.0</v>
      </c>
      <c r="BP138" s="21" t="s">
        <v>653</v>
      </c>
      <c r="BQ138" s="21" t="s">
        <v>1977</v>
      </c>
      <c r="BR138" s="21" t="s">
        <v>735</v>
      </c>
      <c r="BS138" s="21" t="s">
        <v>1978</v>
      </c>
      <c r="BT138" s="21" t="s">
        <v>1979</v>
      </c>
      <c r="BU138" s="21" t="s">
        <v>1980</v>
      </c>
      <c r="BV138" s="21" t="s">
        <v>656</v>
      </c>
      <c r="BW138" s="21" t="s">
        <v>738</v>
      </c>
      <c r="BX138" s="21" t="s">
        <v>739</v>
      </c>
      <c r="BY138" s="21" t="s">
        <v>740</v>
      </c>
      <c r="CA138" s="21">
        <v>60.0</v>
      </c>
      <c r="CC138" s="21" t="s">
        <v>656</v>
      </c>
      <c r="CZ138" s="21" t="s">
        <v>671</v>
      </c>
      <c r="DA138" s="21" t="s">
        <v>741</v>
      </c>
      <c r="DB138" s="21" t="s">
        <v>714</v>
      </c>
      <c r="DC138" s="21" t="s">
        <v>715</v>
      </c>
      <c r="DD138" s="21">
        <v>12.75</v>
      </c>
      <c r="DF138" s="21">
        <v>0.25</v>
      </c>
      <c r="DG138" s="21">
        <v>52000.0</v>
      </c>
      <c r="DH138" s="21" t="s">
        <v>1620</v>
      </c>
      <c r="DI138" s="21" t="s">
        <v>742</v>
      </c>
      <c r="DK138" s="21" t="s">
        <v>1981</v>
      </c>
      <c r="DL138" s="21" t="s">
        <v>743</v>
      </c>
      <c r="EO138" s="21">
        <v>1979.0</v>
      </c>
      <c r="EP138" s="21" t="s">
        <v>684</v>
      </c>
      <c r="EQ138" s="21" t="s">
        <v>674</v>
      </c>
      <c r="ES138" s="21" t="s">
        <v>965</v>
      </c>
      <c r="ET138" s="21">
        <v>1.0</v>
      </c>
      <c r="EU138" s="21">
        <v>0.1</v>
      </c>
      <c r="FC138" s="21" t="s">
        <v>677</v>
      </c>
      <c r="FD138" s="21" t="s">
        <v>656</v>
      </c>
      <c r="FF138" s="21">
        <v>285.0</v>
      </c>
      <c r="FH138" s="21" t="s">
        <v>656</v>
      </c>
      <c r="FI138" s="21" t="s">
        <v>656</v>
      </c>
      <c r="FJ138" s="21" t="s">
        <v>656</v>
      </c>
      <c r="FO138" s="21">
        <v>0.0</v>
      </c>
      <c r="FP138" s="21">
        <v>97.0</v>
      </c>
      <c r="FQ138" s="21">
        <v>1249.0</v>
      </c>
      <c r="FR138" s="21">
        <v>44132.0</v>
      </c>
      <c r="FS138" s="21">
        <v>2000.0</v>
      </c>
      <c r="FT138" s="21">
        <v>0.0</v>
      </c>
      <c r="FW138" s="21">
        <v>47478.0</v>
      </c>
      <c r="GF138" s="21">
        <v>606.0</v>
      </c>
      <c r="GH138" s="21">
        <v>938.0</v>
      </c>
      <c r="GI138" s="21" t="s">
        <v>719</v>
      </c>
      <c r="GM138" s="21" t="s">
        <v>679</v>
      </c>
      <c r="GN138" s="21" t="s">
        <v>656</v>
      </c>
      <c r="GS138" s="21" t="s">
        <v>720</v>
      </c>
      <c r="GT138" s="21" t="s">
        <v>720</v>
      </c>
      <c r="GU138" s="21">
        <v>21839.0</v>
      </c>
      <c r="GV138" s="21" t="s">
        <v>659</v>
      </c>
      <c r="HD138" s="21" t="s">
        <v>656</v>
      </c>
      <c r="HK138" s="21" t="s">
        <v>721</v>
      </c>
      <c r="HL138" s="21" t="s">
        <v>659</v>
      </c>
      <c r="HM138" s="21" t="s">
        <v>659</v>
      </c>
      <c r="HN138" s="21" t="s">
        <v>659</v>
      </c>
      <c r="HO138" s="21" t="s">
        <v>656</v>
      </c>
      <c r="HP138" s="21" t="s">
        <v>656</v>
      </c>
      <c r="HQ138" s="21" t="s">
        <v>966</v>
      </c>
      <c r="HT138" s="21" t="s">
        <v>723</v>
      </c>
      <c r="HU138" s="21" t="s">
        <v>1982</v>
      </c>
      <c r="IH138" s="21" t="s">
        <v>656</v>
      </c>
      <c r="II138" s="21" t="s">
        <v>656</v>
      </c>
      <c r="IN138" s="21" t="s">
        <v>968</v>
      </c>
      <c r="IO138" s="21" t="s">
        <v>969</v>
      </c>
      <c r="LB138" s="21" t="s">
        <v>969</v>
      </c>
      <c r="LC138" s="21" t="s">
        <v>659</v>
      </c>
      <c r="LD138" s="21" t="s">
        <v>659</v>
      </c>
      <c r="LM138" s="21" t="s">
        <v>656</v>
      </c>
      <c r="LP138" s="21" t="s">
        <v>659</v>
      </c>
      <c r="LQ138" s="21" t="s">
        <v>1537</v>
      </c>
      <c r="LR138" s="21" t="s">
        <v>659</v>
      </c>
      <c r="MB138" s="21" t="s">
        <v>971</v>
      </c>
      <c r="MC138" s="21" t="s">
        <v>1673</v>
      </c>
      <c r="MD138" s="21" t="s">
        <v>657</v>
      </c>
      <c r="ME138" s="21" t="s">
        <v>659</v>
      </c>
      <c r="MF138" s="21">
        <v>1.675020412E9</v>
      </c>
      <c r="MG138" s="21" t="s">
        <v>1983</v>
      </c>
      <c r="MI138" s="21" t="s">
        <v>1542</v>
      </c>
      <c r="MJ138" s="21" t="s">
        <v>656</v>
      </c>
      <c r="MK138" s="21" t="s">
        <v>659</v>
      </c>
      <c r="ML138" s="21">
        <v>14.0</v>
      </c>
      <c r="MM138" s="21" t="s">
        <v>1543</v>
      </c>
      <c r="MN138" s="21" t="s">
        <v>1984</v>
      </c>
      <c r="WL138" s="21" t="s">
        <v>1709</v>
      </c>
      <c r="WM138" s="21" t="s">
        <v>984</v>
      </c>
      <c r="WN138" s="21" t="s">
        <v>1712</v>
      </c>
      <c r="WO138" s="21">
        <v>7.139897232E9</v>
      </c>
      <c r="WT138" s="21" t="s">
        <v>1709</v>
      </c>
      <c r="WU138" s="21" t="s">
        <v>984</v>
      </c>
      <c r="WV138" s="21">
        <v>7.139897232E9</v>
      </c>
      <c r="WW138" s="21" t="s">
        <v>1712</v>
      </c>
      <c r="WX138" s="21" t="s">
        <v>1985</v>
      </c>
    </row>
    <row r="139">
      <c r="A139" s="21">
        <v>1098.0</v>
      </c>
      <c r="B139" s="22">
        <v>42599.0</v>
      </c>
      <c r="C139" s="21">
        <v>2016.0</v>
      </c>
      <c r="D139" s="21">
        <v>2.0160066E7</v>
      </c>
      <c r="E139" s="21">
        <v>17232.0</v>
      </c>
      <c r="F139" s="21" t="s">
        <v>778</v>
      </c>
      <c r="G139" s="21">
        <v>32099.0</v>
      </c>
      <c r="H139" s="21" t="s">
        <v>651</v>
      </c>
      <c r="I139" s="21" t="s">
        <v>652</v>
      </c>
      <c r="J139" s="21" t="s">
        <v>653</v>
      </c>
      <c r="K139" s="21" t="s">
        <v>654</v>
      </c>
      <c r="L139" s="21">
        <v>77002.0</v>
      </c>
      <c r="M139" s="23">
        <v>42569.375</v>
      </c>
      <c r="P139" s="21">
        <v>27.468</v>
      </c>
      <c r="Q139" s="21">
        <v>-98.0499</v>
      </c>
      <c r="R139" s="21">
        <v>1153696.0</v>
      </c>
      <c r="S139" s="24">
        <v>42569.40972222222</v>
      </c>
      <c r="U139" s="21" t="s">
        <v>657</v>
      </c>
      <c r="W139" s="21">
        <v>30000.0</v>
      </c>
      <c r="X139" s="21">
        <v>0.0</v>
      </c>
      <c r="Y139" s="21">
        <v>0.0</v>
      </c>
      <c r="Z139" s="21" t="s">
        <v>656</v>
      </c>
      <c r="AF139" s="21">
        <v>0.0</v>
      </c>
      <c r="AG139" s="21" t="s">
        <v>656</v>
      </c>
      <c r="AM139" s="21">
        <v>0.0</v>
      </c>
      <c r="AO139" s="21" t="s">
        <v>659</v>
      </c>
      <c r="AQ139" s="24">
        <v>42569.541666666664</v>
      </c>
      <c r="AR139" s="24">
        <v>42598.458333333336</v>
      </c>
      <c r="AW139" s="21" t="s">
        <v>659</v>
      </c>
      <c r="BB139" s="21" t="s">
        <v>659</v>
      </c>
      <c r="BI139" s="21">
        <v>0.0</v>
      </c>
      <c r="BJ139" s="24">
        <v>42569.375</v>
      </c>
      <c r="BK139" s="24">
        <v>42569.375</v>
      </c>
      <c r="BM139" s="21" t="s">
        <v>662</v>
      </c>
      <c r="BN139" s="21" t="s">
        <v>654</v>
      </c>
      <c r="BO139" s="21">
        <v>78363.0</v>
      </c>
      <c r="BP139" s="21" t="s">
        <v>1825</v>
      </c>
      <c r="BQ139" s="21" t="s">
        <v>1826</v>
      </c>
      <c r="BR139" s="21" t="s">
        <v>735</v>
      </c>
      <c r="BS139" s="21" t="s">
        <v>1185</v>
      </c>
      <c r="BT139" s="21" t="s">
        <v>1986</v>
      </c>
      <c r="BU139" s="21" t="s">
        <v>1987</v>
      </c>
      <c r="BV139" s="21" t="s">
        <v>656</v>
      </c>
      <c r="BW139" s="21" t="s">
        <v>668</v>
      </c>
      <c r="BX139" s="21" t="s">
        <v>669</v>
      </c>
      <c r="BY139" s="21" t="s">
        <v>670</v>
      </c>
      <c r="CC139" s="21" t="s">
        <v>656</v>
      </c>
      <c r="CZ139" s="21" t="s">
        <v>671</v>
      </c>
      <c r="DA139" s="21" t="s">
        <v>741</v>
      </c>
      <c r="DB139" s="21" t="s">
        <v>782</v>
      </c>
      <c r="EO139" s="21">
        <v>1958.0</v>
      </c>
      <c r="EQ139" s="21" t="s">
        <v>674</v>
      </c>
      <c r="ES139" s="21" t="s">
        <v>744</v>
      </c>
      <c r="EX139" s="21" t="s">
        <v>773</v>
      </c>
      <c r="EZ139" s="21">
        <v>240.0</v>
      </c>
      <c r="FA139" s="21">
        <v>113.0</v>
      </c>
      <c r="FC139" s="21" t="s">
        <v>677</v>
      </c>
      <c r="FD139" s="21" t="s">
        <v>656</v>
      </c>
      <c r="FF139" s="21">
        <v>662.0</v>
      </c>
      <c r="FH139" s="21" t="s">
        <v>656</v>
      </c>
      <c r="FI139" s="21" t="s">
        <v>656</v>
      </c>
      <c r="FJ139" s="21" t="s">
        <v>656</v>
      </c>
      <c r="FO139" s="21">
        <v>0.0</v>
      </c>
      <c r="FP139" s="21">
        <v>46500.0</v>
      </c>
      <c r="FQ139" s="21">
        <v>0.0</v>
      </c>
      <c r="FR139" s="21">
        <v>2300000.0</v>
      </c>
      <c r="FS139" s="21">
        <v>6000.0</v>
      </c>
      <c r="FT139" s="21">
        <v>0.0</v>
      </c>
      <c r="FW139" s="21">
        <v>2352500.0</v>
      </c>
      <c r="GF139" s="21">
        <v>850.0</v>
      </c>
      <c r="GH139" s="21">
        <v>915.0</v>
      </c>
      <c r="GI139" s="21" t="s">
        <v>774</v>
      </c>
      <c r="GM139" s="21" t="s">
        <v>679</v>
      </c>
      <c r="GN139" s="21" t="s">
        <v>656</v>
      </c>
      <c r="GS139" s="21" t="s">
        <v>784</v>
      </c>
      <c r="GT139" s="21" t="s">
        <v>720</v>
      </c>
      <c r="GU139" s="21">
        <v>147100.0</v>
      </c>
      <c r="GV139" s="21" t="s">
        <v>659</v>
      </c>
      <c r="HD139" s="21" t="s">
        <v>656</v>
      </c>
      <c r="HK139" s="21" t="s">
        <v>721</v>
      </c>
      <c r="HL139" s="21" t="s">
        <v>659</v>
      </c>
      <c r="HM139" s="21" t="s">
        <v>659</v>
      </c>
      <c r="HN139" s="21" t="s">
        <v>659</v>
      </c>
      <c r="HO139" s="21" t="s">
        <v>659</v>
      </c>
      <c r="HP139" s="21" t="s">
        <v>659</v>
      </c>
      <c r="HQ139" s="21" t="s">
        <v>698</v>
      </c>
      <c r="HS139" s="21" t="s">
        <v>699</v>
      </c>
      <c r="HT139" s="21" t="s">
        <v>723</v>
      </c>
      <c r="HU139" s="21" t="s">
        <v>1988</v>
      </c>
      <c r="IH139" s="21" t="s">
        <v>656</v>
      </c>
      <c r="II139" s="21" t="s">
        <v>656</v>
      </c>
      <c r="IN139" s="21" t="s">
        <v>683</v>
      </c>
      <c r="IO139" s="21" t="s">
        <v>1424</v>
      </c>
      <c r="QS139" s="21" t="s">
        <v>1424</v>
      </c>
      <c r="QT139" s="21" t="s">
        <v>1989</v>
      </c>
      <c r="WL139" s="21" t="s">
        <v>1709</v>
      </c>
      <c r="WM139" s="21" t="s">
        <v>984</v>
      </c>
      <c r="WN139" s="21" t="s">
        <v>1712</v>
      </c>
      <c r="WO139" s="21">
        <v>7.139897232E9</v>
      </c>
      <c r="WT139" s="21" t="s">
        <v>1709</v>
      </c>
      <c r="WU139" s="21" t="s">
        <v>984</v>
      </c>
      <c r="WV139" s="21">
        <v>7.139897232E9</v>
      </c>
      <c r="WW139" s="21" t="s">
        <v>1712</v>
      </c>
      <c r="WX139" s="21" t="s">
        <v>1990</v>
      </c>
    </row>
    <row r="140">
      <c r="A140" s="21">
        <v>1151.0</v>
      </c>
      <c r="B140" s="22">
        <v>42391.0</v>
      </c>
      <c r="C140" s="21">
        <v>2015.0</v>
      </c>
      <c r="D140" s="21">
        <v>2.0160007E7</v>
      </c>
      <c r="E140" s="21">
        <v>17157.0</v>
      </c>
      <c r="F140" s="21" t="s">
        <v>778</v>
      </c>
      <c r="G140" s="21">
        <v>15105.0</v>
      </c>
      <c r="H140" s="21" t="s">
        <v>794</v>
      </c>
      <c r="I140" s="21" t="s">
        <v>652</v>
      </c>
      <c r="J140" s="21" t="s">
        <v>653</v>
      </c>
      <c r="K140" s="21" t="s">
        <v>654</v>
      </c>
      <c r="L140" s="21">
        <v>77002.0</v>
      </c>
      <c r="M140" s="23">
        <v>42366.930555555555</v>
      </c>
      <c r="P140" s="21">
        <v>41.2832</v>
      </c>
      <c r="Q140" s="21">
        <v>-84.4624</v>
      </c>
      <c r="R140" s="21">
        <v>1136836.0</v>
      </c>
      <c r="S140" s="24">
        <v>42366.986805555556</v>
      </c>
      <c r="U140" s="21" t="s">
        <v>657</v>
      </c>
      <c r="W140" s="21">
        <v>21402.5</v>
      </c>
      <c r="X140" s="21">
        <v>9177.7</v>
      </c>
      <c r="Y140" s="21">
        <v>0.0</v>
      </c>
      <c r="Z140" s="21" t="s">
        <v>656</v>
      </c>
      <c r="AF140" s="21">
        <v>0.0</v>
      </c>
      <c r="AG140" s="21" t="s">
        <v>656</v>
      </c>
      <c r="AM140" s="21">
        <v>0.0</v>
      </c>
      <c r="AO140" s="21" t="s">
        <v>659</v>
      </c>
      <c r="AQ140" s="24">
        <v>42366.95277777778</v>
      </c>
      <c r="AR140" s="24">
        <v>42370.666666666664</v>
      </c>
      <c r="AW140" s="21" t="s">
        <v>656</v>
      </c>
      <c r="BB140" s="21" t="s">
        <v>656</v>
      </c>
      <c r="BI140" s="21">
        <v>50.0</v>
      </c>
      <c r="BJ140" s="24">
        <v>42366.930555555555</v>
      </c>
      <c r="BK140" s="24">
        <v>42366.90833333333</v>
      </c>
      <c r="BM140" s="21" t="s">
        <v>662</v>
      </c>
      <c r="BN140" s="21" t="s">
        <v>1511</v>
      </c>
      <c r="BO140" s="21">
        <v>43512.0</v>
      </c>
      <c r="BP140" s="21" t="s">
        <v>1749</v>
      </c>
      <c r="BQ140" s="21" t="s">
        <v>1749</v>
      </c>
      <c r="BR140" s="21" t="s">
        <v>892</v>
      </c>
      <c r="BS140" s="21">
        <v>24.67</v>
      </c>
      <c r="BT140" s="21" t="s">
        <v>1991</v>
      </c>
      <c r="BU140" s="21" t="s">
        <v>1992</v>
      </c>
      <c r="BV140" s="21" t="s">
        <v>656</v>
      </c>
      <c r="BW140" s="21" t="s">
        <v>738</v>
      </c>
      <c r="BX140" s="21" t="s">
        <v>739</v>
      </c>
      <c r="BY140" s="21" t="s">
        <v>740</v>
      </c>
      <c r="CA140" s="21">
        <v>37.0</v>
      </c>
      <c r="CC140" s="21" t="s">
        <v>656</v>
      </c>
      <c r="CZ140" s="21" t="s">
        <v>712</v>
      </c>
      <c r="DA140" s="21" t="s">
        <v>741</v>
      </c>
      <c r="DB140" s="21" t="s">
        <v>696</v>
      </c>
      <c r="EN140" s="21" t="s">
        <v>1993</v>
      </c>
      <c r="EO140" s="21">
        <v>1936.0</v>
      </c>
      <c r="EQ140" s="21" t="s">
        <v>1081</v>
      </c>
      <c r="ER140" s="21" t="s">
        <v>1994</v>
      </c>
      <c r="ES140" s="21" t="s">
        <v>675</v>
      </c>
      <c r="EV140" s="21" t="s">
        <v>696</v>
      </c>
      <c r="EW140" s="21" t="s">
        <v>1995</v>
      </c>
      <c r="FC140" s="21" t="s">
        <v>677</v>
      </c>
      <c r="FD140" s="21" t="s">
        <v>656</v>
      </c>
      <c r="FF140" s="21">
        <v>419.0</v>
      </c>
      <c r="FH140" s="21" t="s">
        <v>656</v>
      </c>
      <c r="FI140" s="21" t="s">
        <v>656</v>
      </c>
      <c r="FJ140" s="21" t="s">
        <v>656</v>
      </c>
      <c r="FO140" s="21">
        <v>15000.0</v>
      </c>
      <c r="FP140" s="21">
        <v>50724.0</v>
      </c>
      <c r="FQ140" s="21">
        <v>21751.0</v>
      </c>
      <c r="FR140" s="21">
        <v>85500.0</v>
      </c>
      <c r="FS140" s="21">
        <v>1000.0</v>
      </c>
      <c r="FT140" s="21">
        <v>62000.0</v>
      </c>
      <c r="FU140" s="21" t="s">
        <v>1996</v>
      </c>
      <c r="FW140" s="21">
        <v>235975.0</v>
      </c>
      <c r="GF140" s="21">
        <v>714.0</v>
      </c>
      <c r="GH140" s="21">
        <v>760.0</v>
      </c>
      <c r="GI140" s="21" t="s">
        <v>1095</v>
      </c>
      <c r="GM140" s="21" t="s">
        <v>679</v>
      </c>
      <c r="GN140" s="21" t="s">
        <v>656</v>
      </c>
      <c r="GS140" s="21" t="s">
        <v>720</v>
      </c>
      <c r="GT140" s="21" t="s">
        <v>720</v>
      </c>
      <c r="GU140" s="21">
        <v>103244.0</v>
      </c>
      <c r="GV140" s="21" t="s">
        <v>659</v>
      </c>
      <c r="HD140" s="21" t="s">
        <v>656</v>
      </c>
      <c r="HK140" s="21" t="s">
        <v>721</v>
      </c>
      <c r="HL140" s="21" t="s">
        <v>659</v>
      </c>
      <c r="HM140" s="21" t="s">
        <v>659</v>
      </c>
      <c r="HN140" s="21" t="s">
        <v>659</v>
      </c>
      <c r="HO140" s="21" t="s">
        <v>656</v>
      </c>
      <c r="HP140" s="21" t="s">
        <v>656</v>
      </c>
      <c r="HQ140" s="21" t="s">
        <v>806</v>
      </c>
      <c r="HT140" s="21" t="s">
        <v>760</v>
      </c>
      <c r="HV140" s="21" t="s">
        <v>659</v>
      </c>
      <c r="HY140" s="21" t="s">
        <v>659</v>
      </c>
      <c r="HZ140" s="21" t="s">
        <v>659</v>
      </c>
      <c r="IH140" s="21" t="s">
        <v>659</v>
      </c>
      <c r="II140" s="21" t="s">
        <v>656</v>
      </c>
      <c r="IJ140" s="21">
        <v>4.0</v>
      </c>
      <c r="IK140" s="21">
        <v>0.0</v>
      </c>
      <c r="IN140" s="21" t="s">
        <v>761</v>
      </c>
      <c r="IO140" s="21" t="s">
        <v>1085</v>
      </c>
      <c r="OU140" s="21" t="s">
        <v>1085</v>
      </c>
      <c r="PK140" s="21" t="s">
        <v>696</v>
      </c>
      <c r="PL140" s="21" t="s">
        <v>1997</v>
      </c>
      <c r="PR140" s="21" t="s">
        <v>659</v>
      </c>
      <c r="WL140" s="21" t="s">
        <v>1752</v>
      </c>
      <c r="WM140" s="21" t="s">
        <v>1753</v>
      </c>
      <c r="WN140" s="21" t="s">
        <v>1754</v>
      </c>
      <c r="WO140" s="21" t="s">
        <v>1764</v>
      </c>
      <c r="WT140" s="21" t="s">
        <v>1752</v>
      </c>
      <c r="WU140" s="21" t="s">
        <v>1753</v>
      </c>
      <c r="WV140" s="21" t="s">
        <v>1764</v>
      </c>
      <c r="WW140" s="21" t="s">
        <v>1754</v>
      </c>
      <c r="WX140" s="21" t="s">
        <v>1998</v>
      </c>
    </row>
    <row r="141">
      <c r="A141" s="21">
        <v>1171.0</v>
      </c>
      <c r="B141" s="22">
        <v>42342.0</v>
      </c>
      <c r="C141" s="21">
        <v>2015.0</v>
      </c>
      <c r="D141" s="21">
        <v>2.0150143E7</v>
      </c>
      <c r="E141" s="21">
        <v>17060.0</v>
      </c>
      <c r="F141" s="21" t="s">
        <v>778</v>
      </c>
      <c r="G141" s="21">
        <v>32099.0</v>
      </c>
      <c r="H141" s="21" t="s">
        <v>651</v>
      </c>
      <c r="I141" s="21" t="s">
        <v>652</v>
      </c>
      <c r="J141" s="21" t="s">
        <v>653</v>
      </c>
      <c r="K141" s="21" t="s">
        <v>654</v>
      </c>
      <c r="L141" s="21">
        <v>77002.0</v>
      </c>
      <c r="M141" s="23">
        <v>42313.625</v>
      </c>
      <c r="P141" s="21">
        <v>30.89166</v>
      </c>
      <c r="Q141" s="21">
        <v>-102.72465</v>
      </c>
      <c r="R141" s="21">
        <v>1132681.0</v>
      </c>
      <c r="S141" s="24">
        <v>42313.688888888886</v>
      </c>
      <c r="U141" s="21" t="s">
        <v>657</v>
      </c>
      <c r="W141" s="21">
        <v>63000.0</v>
      </c>
      <c r="X141" s="21">
        <v>0.0</v>
      </c>
      <c r="Y141" s="21">
        <v>0.0</v>
      </c>
      <c r="Z141" s="21" t="s">
        <v>656</v>
      </c>
      <c r="AF141" s="21">
        <v>0.0</v>
      </c>
      <c r="AG141" s="21" t="s">
        <v>656</v>
      </c>
      <c r="AM141" s="21">
        <v>0.0</v>
      </c>
      <c r="AO141" s="21" t="s">
        <v>656</v>
      </c>
      <c r="AP141" s="21" t="s">
        <v>1999</v>
      </c>
      <c r="AW141" s="21" t="s">
        <v>656</v>
      </c>
      <c r="BB141" s="21" t="s">
        <v>656</v>
      </c>
      <c r="BI141" s="21">
        <v>0.0</v>
      </c>
      <c r="BJ141" s="24">
        <v>42313.416666666664</v>
      </c>
      <c r="BK141" s="24">
        <v>42313.479166666664</v>
      </c>
      <c r="BM141" s="21" t="s">
        <v>662</v>
      </c>
      <c r="BN141" s="21" t="s">
        <v>654</v>
      </c>
      <c r="BO141" s="21">
        <v>79735.0</v>
      </c>
      <c r="BP141" s="21" t="s">
        <v>663</v>
      </c>
      <c r="BQ141" s="21" t="s">
        <v>891</v>
      </c>
      <c r="BR141" s="21" t="s">
        <v>892</v>
      </c>
      <c r="BS141" s="21">
        <v>478.0</v>
      </c>
      <c r="BT141" s="21" t="s">
        <v>2000</v>
      </c>
      <c r="BU141" s="21" t="s">
        <v>2001</v>
      </c>
      <c r="BV141" s="21" t="s">
        <v>656</v>
      </c>
      <c r="BW141" s="21" t="s">
        <v>738</v>
      </c>
      <c r="BX141" s="21" t="s">
        <v>669</v>
      </c>
      <c r="BY141" s="21" t="s">
        <v>670</v>
      </c>
      <c r="CC141" s="21" t="s">
        <v>656</v>
      </c>
      <c r="CZ141" s="21" t="s">
        <v>671</v>
      </c>
      <c r="DA141" s="21" t="s">
        <v>741</v>
      </c>
      <c r="DB141" s="21" t="s">
        <v>2002</v>
      </c>
      <c r="EO141" s="21" t="s">
        <v>684</v>
      </c>
      <c r="EQ141" s="21" t="s">
        <v>674</v>
      </c>
      <c r="ES141" s="21" t="s">
        <v>696</v>
      </c>
      <c r="FB141" s="21" t="s">
        <v>2003</v>
      </c>
      <c r="FC141" s="21" t="s">
        <v>677</v>
      </c>
      <c r="FD141" s="21" t="s">
        <v>656</v>
      </c>
      <c r="FF141" s="21">
        <v>500.0</v>
      </c>
      <c r="FH141" s="21" t="s">
        <v>656</v>
      </c>
      <c r="FI141" s="21" t="s">
        <v>656</v>
      </c>
      <c r="FJ141" s="21" t="s">
        <v>656</v>
      </c>
      <c r="FO141" s="21">
        <v>0.0</v>
      </c>
      <c r="FP141" s="21">
        <v>50000.0</v>
      </c>
      <c r="FQ141" s="21">
        <v>0.0</v>
      </c>
      <c r="FR141" s="21">
        <v>0.0</v>
      </c>
      <c r="FS141" s="21">
        <v>0.0</v>
      </c>
      <c r="FT141" s="21">
        <v>0.0</v>
      </c>
      <c r="FW141" s="21">
        <v>50000.0</v>
      </c>
      <c r="GF141" s="21">
        <v>900.0</v>
      </c>
      <c r="GH141" s="21">
        <v>1050.0</v>
      </c>
      <c r="GI141" s="21" t="s">
        <v>719</v>
      </c>
      <c r="GM141" s="21" t="s">
        <v>679</v>
      </c>
      <c r="GN141" s="21" t="s">
        <v>656</v>
      </c>
      <c r="GS141" s="21" t="s">
        <v>720</v>
      </c>
      <c r="GT141" s="21" t="s">
        <v>720</v>
      </c>
      <c r="GV141" s="21" t="s">
        <v>659</v>
      </c>
      <c r="HD141" s="21" t="s">
        <v>656</v>
      </c>
      <c r="HK141" s="21" t="s">
        <v>721</v>
      </c>
      <c r="HL141" s="21" t="s">
        <v>659</v>
      </c>
      <c r="HM141" s="21" t="s">
        <v>659</v>
      </c>
      <c r="HN141" s="21" t="s">
        <v>659</v>
      </c>
      <c r="HO141" s="21" t="s">
        <v>659</v>
      </c>
      <c r="HP141" s="21" t="s">
        <v>659</v>
      </c>
      <c r="HQ141" s="21" t="s">
        <v>1113</v>
      </c>
      <c r="HS141" s="21" t="s">
        <v>699</v>
      </c>
      <c r="HT141" s="21" t="s">
        <v>723</v>
      </c>
      <c r="HU141" s="21" t="s">
        <v>2004</v>
      </c>
      <c r="IH141" s="21" t="s">
        <v>659</v>
      </c>
      <c r="II141" s="21" t="s">
        <v>656</v>
      </c>
      <c r="IJ141" s="21">
        <v>1.0</v>
      </c>
      <c r="IK141" s="21">
        <v>0.0</v>
      </c>
      <c r="IN141" s="21" t="s">
        <v>683</v>
      </c>
      <c r="IO141" s="21" t="s">
        <v>1424</v>
      </c>
      <c r="QS141" s="21" t="s">
        <v>1424</v>
      </c>
      <c r="QT141" s="21" t="s">
        <v>2005</v>
      </c>
      <c r="WL141" s="21" t="s">
        <v>2006</v>
      </c>
      <c r="WM141" s="21" t="s">
        <v>2007</v>
      </c>
      <c r="WN141" s="21" t="s">
        <v>2008</v>
      </c>
      <c r="WO141" s="21" t="s">
        <v>2009</v>
      </c>
      <c r="WT141" s="21" t="s">
        <v>1709</v>
      </c>
      <c r="WU141" s="21" t="s">
        <v>984</v>
      </c>
      <c r="WV141" s="21" t="s">
        <v>1711</v>
      </c>
      <c r="WW141" s="21" t="s">
        <v>1712</v>
      </c>
      <c r="WX141" s="21" t="s">
        <v>2010</v>
      </c>
    </row>
    <row r="142">
      <c r="A142" s="21">
        <v>1200.0</v>
      </c>
      <c r="B142" s="22">
        <v>42264.0</v>
      </c>
      <c r="C142" s="21">
        <v>2015.0</v>
      </c>
      <c r="D142" s="21">
        <v>2.0150113E7</v>
      </c>
      <c r="E142" s="21">
        <v>16860.0</v>
      </c>
      <c r="F142" s="21" t="s">
        <v>701</v>
      </c>
      <c r="G142" s="21">
        <v>18152.0</v>
      </c>
      <c r="H142" s="21" t="s">
        <v>702</v>
      </c>
      <c r="I142" s="21" t="s">
        <v>652</v>
      </c>
      <c r="J142" s="21" t="s">
        <v>653</v>
      </c>
      <c r="K142" s="21" t="s">
        <v>654</v>
      </c>
      <c r="L142" s="21">
        <v>77002.0</v>
      </c>
      <c r="M142" s="23">
        <v>42234.395833333336</v>
      </c>
      <c r="P142" s="21">
        <v>28.560694</v>
      </c>
      <c r="Q142" s="21">
        <v>-90.806411</v>
      </c>
      <c r="R142" s="21">
        <v>1125967.0</v>
      </c>
      <c r="S142" s="24">
        <v>42234.395833333336</v>
      </c>
      <c r="U142" s="21" t="s">
        <v>657</v>
      </c>
      <c r="W142" s="21">
        <v>6881.0</v>
      </c>
      <c r="X142" s="21">
        <v>1940.0</v>
      </c>
      <c r="Y142" s="21">
        <v>0.0</v>
      </c>
      <c r="Z142" s="21" t="s">
        <v>656</v>
      </c>
      <c r="AF142" s="21">
        <v>0.0</v>
      </c>
      <c r="AG142" s="21" t="s">
        <v>656</v>
      </c>
      <c r="AM142" s="21">
        <v>0.0</v>
      </c>
      <c r="AO142" s="21" t="s">
        <v>659</v>
      </c>
      <c r="AQ142" s="24">
        <v>42237.4375</v>
      </c>
      <c r="AR142" s="24">
        <v>42248.104166666664</v>
      </c>
      <c r="AW142" s="21" t="s">
        <v>656</v>
      </c>
      <c r="BB142" s="21" t="s">
        <v>656</v>
      </c>
      <c r="BI142" s="21">
        <v>0.0</v>
      </c>
      <c r="BJ142" s="24">
        <v>42236.5</v>
      </c>
      <c r="BK142" s="24">
        <v>42236.333333333336</v>
      </c>
      <c r="BM142" s="21" t="s">
        <v>705</v>
      </c>
      <c r="CP142" s="21">
        <v>80.0</v>
      </c>
      <c r="CQ142" s="21" t="s">
        <v>708</v>
      </c>
      <c r="CW142" s="21" t="s">
        <v>1471</v>
      </c>
      <c r="CX142" s="21">
        <v>189.0</v>
      </c>
      <c r="CY142" s="21" t="s">
        <v>711</v>
      </c>
      <c r="CZ142" s="21" t="s">
        <v>712</v>
      </c>
      <c r="DA142" s="21" t="s">
        <v>713</v>
      </c>
      <c r="DB142" s="21" t="s">
        <v>714</v>
      </c>
      <c r="DC142" s="21" t="s">
        <v>715</v>
      </c>
      <c r="DD142" s="21">
        <v>10.0</v>
      </c>
      <c r="DF142" s="21">
        <v>0.365</v>
      </c>
      <c r="DG142" s="21">
        <v>52000.0</v>
      </c>
      <c r="DH142" s="21" t="s">
        <v>1533</v>
      </c>
      <c r="DI142" s="21" t="s">
        <v>742</v>
      </c>
      <c r="DK142" s="21" t="s">
        <v>2011</v>
      </c>
      <c r="DL142" s="21" t="s">
        <v>743</v>
      </c>
      <c r="EO142" s="21">
        <v>1972.0</v>
      </c>
      <c r="EP142" s="21">
        <v>1972.0</v>
      </c>
      <c r="EQ142" s="21" t="s">
        <v>674</v>
      </c>
      <c r="ES142" s="21" t="s">
        <v>675</v>
      </c>
      <c r="EV142" s="21" t="s">
        <v>718</v>
      </c>
      <c r="FC142" s="21" t="s">
        <v>677</v>
      </c>
      <c r="FD142" s="21" t="s">
        <v>656</v>
      </c>
      <c r="FF142" s="21">
        <v>239.0</v>
      </c>
      <c r="FH142" s="21" t="s">
        <v>656</v>
      </c>
      <c r="FI142" s="21" t="s">
        <v>656</v>
      </c>
      <c r="FJ142" s="21" t="s">
        <v>656</v>
      </c>
      <c r="FO142" s="21">
        <v>0.0</v>
      </c>
      <c r="FP142" s="21">
        <v>19060.0</v>
      </c>
      <c r="FQ142" s="21">
        <v>5374.0</v>
      </c>
      <c r="FR142" s="21">
        <v>200000.0</v>
      </c>
      <c r="FS142" s="21">
        <v>0.0</v>
      </c>
      <c r="FT142" s="21">
        <v>0.0</v>
      </c>
      <c r="FW142" s="21">
        <v>224434.0</v>
      </c>
      <c r="GF142" s="21">
        <v>958.0</v>
      </c>
      <c r="GH142" s="21">
        <v>1200.0</v>
      </c>
      <c r="GI142" s="21" t="s">
        <v>774</v>
      </c>
      <c r="GM142" s="21" t="s">
        <v>679</v>
      </c>
      <c r="GN142" s="21" t="s">
        <v>656</v>
      </c>
      <c r="GS142" s="21" t="s">
        <v>720</v>
      </c>
      <c r="GT142" s="21" t="s">
        <v>720</v>
      </c>
      <c r="GU142" s="21">
        <v>56911.0</v>
      </c>
      <c r="GV142" s="21" t="s">
        <v>656</v>
      </c>
      <c r="GW142" s="21" t="s">
        <v>659</v>
      </c>
      <c r="HD142" s="21" t="s">
        <v>659</v>
      </c>
      <c r="HG142" s="21" t="s">
        <v>659</v>
      </c>
      <c r="HK142" s="21" t="s">
        <v>721</v>
      </c>
      <c r="HL142" s="21" t="s">
        <v>659</v>
      </c>
      <c r="HM142" s="21" t="s">
        <v>659</v>
      </c>
      <c r="HN142" s="21" t="s">
        <v>659</v>
      </c>
      <c r="HO142" s="21" t="s">
        <v>656</v>
      </c>
      <c r="HP142" s="21" t="s">
        <v>656</v>
      </c>
      <c r="HQ142" s="21" t="s">
        <v>696</v>
      </c>
      <c r="HR142" s="21" t="s">
        <v>2012</v>
      </c>
      <c r="HT142" s="21" t="s">
        <v>723</v>
      </c>
      <c r="HU142" s="21" t="s">
        <v>851</v>
      </c>
      <c r="IH142" s="21" t="s">
        <v>656</v>
      </c>
      <c r="II142" s="21" t="s">
        <v>656</v>
      </c>
      <c r="IN142" s="21" t="s">
        <v>725</v>
      </c>
      <c r="IO142" s="21" t="s">
        <v>726</v>
      </c>
      <c r="IP142" s="21" t="s">
        <v>726</v>
      </c>
      <c r="JT142" s="21" t="s">
        <v>696</v>
      </c>
      <c r="JU142" s="21" t="s">
        <v>1659</v>
      </c>
      <c r="JZ142" s="21" t="s">
        <v>659</v>
      </c>
      <c r="KA142" s="21" t="s">
        <v>1660</v>
      </c>
      <c r="KD142" s="21" t="s">
        <v>659</v>
      </c>
      <c r="KE142" s="21" t="s">
        <v>1954</v>
      </c>
      <c r="KJ142" s="21" t="s">
        <v>659</v>
      </c>
      <c r="KK142" s="21" t="s">
        <v>1854</v>
      </c>
      <c r="KL142" s="21" t="s">
        <v>659</v>
      </c>
      <c r="KM142" s="21" t="s">
        <v>656</v>
      </c>
      <c r="KN142" s="21" t="s">
        <v>656</v>
      </c>
      <c r="KO142" s="21" t="s">
        <v>659</v>
      </c>
      <c r="QW142" s="21" t="s">
        <v>656</v>
      </c>
      <c r="TI142" s="21" t="s">
        <v>656</v>
      </c>
      <c r="TL142" s="21" t="s">
        <v>656</v>
      </c>
      <c r="TZ142" s="21" t="s">
        <v>659</v>
      </c>
      <c r="UC142" s="21">
        <v>2015.0</v>
      </c>
      <c r="UJ142" s="21" t="s">
        <v>659</v>
      </c>
      <c r="WL142" s="21" t="s">
        <v>1752</v>
      </c>
      <c r="WM142" s="21" t="s">
        <v>1144</v>
      </c>
      <c r="WN142" s="21" t="s">
        <v>1754</v>
      </c>
      <c r="WO142" s="21">
        <v>7.138575479E9</v>
      </c>
      <c r="WT142" s="21" t="s">
        <v>1752</v>
      </c>
      <c r="WU142" s="21" t="s">
        <v>1144</v>
      </c>
      <c r="WV142" s="21">
        <v>7.138575479E9</v>
      </c>
      <c r="WW142" s="21" t="s">
        <v>1754</v>
      </c>
      <c r="WX142" s="21" t="s">
        <v>2013</v>
      </c>
    </row>
    <row r="143">
      <c r="A143" s="21">
        <v>1223.0</v>
      </c>
      <c r="B143" s="22">
        <v>42194.0</v>
      </c>
      <c r="C143" s="21">
        <v>2015.0</v>
      </c>
      <c r="D143" s="21">
        <v>2.0150092E7</v>
      </c>
      <c r="E143" s="21">
        <v>16889.0</v>
      </c>
      <c r="F143" s="21" t="s">
        <v>778</v>
      </c>
      <c r="G143" s="21">
        <v>32335.0</v>
      </c>
      <c r="H143" s="21" t="s">
        <v>2014</v>
      </c>
      <c r="I143" s="21" t="s">
        <v>1945</v>
      </c>
      <c r="J143" s="21" t="s">
        <v>1946</v>
      </c>
      <c r="K143" s="21" t="s">
        <v>654</v>
      </c>
      <c r="L143" s="21">
        <v>78258.0</v>
      </c>
      <c r="M143" s="23">
        <v>42164.836805555555</v>
      </c>
      <c r="P143" s="21">
        <v>32.579281</v>
      </c>
      <c r="Q143" s="21">
        <v>-93.735667</v>
      </c>
      <c r="R143" s="21">
        <v>1119243.0</v>
      </c>
      <c r="S143" s="24">
        <v>42164.92986111111</v>
      </c>
      <c r="U143" s="21" t="s">
        <v>657</v>
      </c>
      <c r="W143" s="21">
        <v>4000.0</v>
      </c>
      <c r="X143" s="21">
        <v>111.6</v>
      </c>
      <c r="Y143" s="21">
        <v>0.0</v>
      </c>
      <c r="Z143" s="21" t="s">
        <v>656</v>
      </c>
      <c r="AF143" s="21">
        <v>0.0</v>
      </c>
      <c r="AG143" s="21" t="s">
        <v>656</v>
      </c>
      <c r="AM143" s="21">
        <v>0.0</v>
      </c>
      <c r="AO143" s="21" t="s">
        <v>659</v>
      </c>
      <c r="AQ143" s="24">
        <v>42164.888194444444</v>
      </c>
      <c r="AS143" s="21" t="s">
        <v>659</v>
      </c>
      <c r="AW143" s="21" t="s">
        <v>656</v>
      </c>
      <c r="BB143" s="21" t="s">
        <v>656</v>
      </c>
      <c r="BI143" s="21">
        <v>0.0</v>
      </c>
      <c r="BJ143" s="24">
        <v>42164.813888888886</v>
      </c>
      <c r="BK143" s="24">
        <v>42164.836805555555</v>
      </c>
      <c r="BM143" s="21" t="s">
        <v>662</v>
      </c>
      <c r="BN143" s="21" t="s">
        <v>751</v>
      </c>
      <c r="BO143" s="21">
        <v>71111.0</v>
      </c>
      <c r="BP143" s="21" t="s">
        <v>2015</v>
      </c>
      <c r="BQ143" s="21" t="s">
        <v>2016</v>
      </c>
      <c r="BR143" s="21" t="s">
        <v>892</v>
      </c>
      <c r="BS143" s="21" t="s">
        <v>2017</v>
      </c>
      <c r="BT143" s="21" t="s">
        <v>2018</v>
      </c>
      <c r="BU143" s="21" t="s">
        <v>2019</v>
      </c>
      <c r="BV143" s="21" t="s">
        <v>656</v>
      </c>
      <c r="BW143" s="21" t="s">
        <v>738</v>
      </c>
      <c r="BX143" s="21" t="s">
        <v>739</v>
      </c>
      <c r="BY143" s="21" t="s">
        <v>696</v>
      </c>
      <c r="BZ143" s="21" t="s">
        <v>2020</v>
      </c>
      <c r="CC143" s="21" t="s">
        <v>659</v>
      </c>
      <c r="CJ143" s="21" t="s">
        <v>659</v>
      </c>
      <c r="CK143" s="21" t="s">
        <v>1024</v>
      </c>
      <c r="CL143" s="21" t="s">
        <v>2021</v>
      </c>
      <c r="CM143" s="21">
        <v>40.0</v>
      </c>
      <c r="CN143" s="21" t="s">
        <v>1026</v>
      </c>
      <c r="CZ143" s="21" t="s">
        <v>671</v>
      </c>
      <c r="DA143" s="21" t="s">
        <v>741</v>
      </c>
      <c r="DB143" s="21" t="s">
        <v>714</v>
      </c>
      <c r="DC143" s="21" t="s">
        <v>715</v>
      </c>
      <c r="DD143" s="21">
        <v>12.0</v>
      </c>
      <c r="DF143" s="21">
        <v>0.219</v>
      </c>
      <c r="DG143" s="21">
        <v>52000.0</v>
      </c>
      <c r="DH143" s="21" t="s">
        <v>2022</v>
      </c>
      <c r="DI143" s="21" t="s">
        <v>771</v>
      </c>
      <c r="DK143" s="21" t="s">
        <v>684</v>
      </c>
      <c r="DL143" s="21" t="s">
        <v>696</v>
      </c>
      <c r="DM143" s="21" t="s">
        <v>2023</v>
      </c>
      <c r="EO143" s="21">
        <v>1972.0</v>
      </c>
      <c r="EP143" s="21" t="s">
        <v>684</v>
      </c>
      <c r="EQ143" s="21" t="s">
        <v>674</v>
      </c>
      <c r="ES143" s="21" t="s">
        <v>744</v>
      </c>
      <c r="EX143" s="21" t="s">
        <v>745</v>
      </c>
      <c r="EZ143" s="21">
        <v>38.0</v>
      </c>
      <c r="FA143" s="21">
        <v>1.0</v>
      </c>
      <c r="FC143" s="21" t="s">
        <v>677</v>
      </c>
      <c r="FD143" s="21" t="s">
        <v>656</v>
      </c>
      <c r="FF143" s="21">
        <v>278.0</v>
      </c>
      <c r="FH143" s="21" t="s">
        <v>656</v>
      </c>
      <c r="FI143" s="21" t="s">
        <v>656</v>
      </c>
      <c r="FJ143" s="21" t="s">
        <v>656</v>
      </c>
      <c r="FO143" s="21">
        <v>0.0</v>
      </c>
      <c r="FP143" s="21">
        <v>10000.0</v>
      </c>
      <c r="FQ143" s="21">
        <v>300.0</v>
      </c>
      <c r="FR143" s="21">
        <v>700000.0</v>
      </c>
      <c r="FS143" s="21">
        <v>0.0</v>
      </c>
      <c r="FT143" s="21">
        <v>0.0</v>
      </c>
      <c r="FW143" s="21">
        <v>710300.0</v>
      </c>
      <c r="GF143" s="21">
        <v>619.0</v>
      </c>
      <c r="GH143" s="21">
        <v>893.0</v>
      </c>
      <c r="GI143" s="21" t="s">
        <v>774</v>
      </c>
      <c r="GM143" s="21" t="s">
        <v>679</v>
      </c>
      <c r="GN143" s="21" t="s">
        <v>656</v>
      </c>
      <c r="GS143" s="21" t="s">
        <v>720</v>
      </c>
      <c r="GT143" s="21" t="s">
        <v>720</v>
      </c>
      <c r="GU143" s="21">
        <v>4072.0</v>
      </c>
      <c r="GV143" s="21" t="s">
        <v>659</v>
      </c>
      <c r="HD143" s="21" t="s">
        <v>656</v>
      </c>
      <c r="HK143" s="21" t="s">
        <v>721</v>
      </c>
      <c r="HL143" s="21" t="s">
        <v>659</v>
      </c>
      <c r="HM143" s="21" t="s">
        <v>659</v>
      </c>
      <c r="HN143" s="21" t="s">
        <v>659</v>
      </c>
      <c r="HO143" s="21" t="s">
        <v>656</v>
      </c>
      <c r="HP143" s="21" t="s">
        <v>659</v>
      </c>
      <c r="HQ143" s="21" t="s">
        <v>806</v>
      </c>
      <c r="HT143" s="21" t="s">
        <v>723</v>
      </c>
      <c r="HU143" s="21" t="s">
        <v>2024</v>
      </c>
      <c r="IH143" s="21" t="s">
        <v>659</v>
      </c>
      <c r="II143" s="21" t="s">
        <v>656</v>
      </c>
      <c r="IJ143" s="21">
        <v>1.0</v>
      </c>
      <c r="IK143" s="21">
        <v>0.0</v>
      </c>
      <c r="IN143" s="21" t="s">
        <v>867</v>
      </c>
      <c r="IO143" s="21" t="s">
        <v>1899</v>
      </c>
      <c r="KP143" s="21" t="s">
        <v>1899</v>
      </c>
      <c r="KR143" s="21" t="s">
        <v>2025</v>
      </c>
      <c r="KV143" s="21" t="s">
        <v>659</v>
      </c>
      <c r="KZ143" s="21" t="s">
        <v>659</v>
      </c>
      <c r="LA143" s="21" t="s">
        <v>2026</v>
      </c>
      <c r="WL143" s="21" t="s">
        <v>2006</v>
      </c>
      <c r="WM143" s="21" t="s">
        <v>2027</v>
      </c>
      <c r="WN143" s="21" t="s">
        <v>2008</v>
      </c>
      <c r="WO143" s="21">
        <v>7.13989646E9</v>
      </c>
      <c r="WP143" s="21">
        <v>7.139891188E9</v>
      </c>
      <c r="WT143" s="21" t="s">
        <v>1709</v>
      </c>
      <c r="WU143" s="21" t="s">
        <v>2028</v>
      </c>
      <c r="WV143" s="21">
        <v>7.139897232E9</v>
      </c>
      <c r="WW143" s="21" t="s">
        <v>1712</v>
      </c>
      <c r="WX143" s="21" t="s">
        <v>2029</v>
      </c>
    </row>
    <row r="144">
      <c r="A144" s="21">
        <v>1252.0</v>
      </c>
      <c r="B144" s="22">
        <v>42123.0</v>
      </c>
      <c r="C144" s="21">
        <v>2015.0</v>
      </c>
      <c r="D144" s="21">
        <v>2.0150059E7</v>
      </c>
      <c r="E144" s="21">
        <v>16921.0</v>
      </c>
      <c r="F144" s="21" t="s">
        <v>778</v>
      </c>
      <c r="G144" s="21">
        <v>15105.0</v>
      </c>
      <c r="H144" s="21" t="s">
        <v>794</v>
      </c>
      <c r="I144" s="21" t="s">
        <v>652</v>
      </c>
      <c r="J144" s="21" t="s">
        <v>653</v>
      </c>
      <c r="K144" s="21" t="s">
        <v>654</v>
      </c>
      <c r="L144" s="21">
        <v>77002.0</v>
      </c>
      <c r="M144" s="23">
        <v>42094.16111111111</v>
      </c>
      <c r="P144" s="21">
        <v>38.8466</v>
      </c>
      <c r="Q144" s="21">
        <v>-93.3655</v>
      </c>
      <c r="R144" s="21">
        <v>1112157.0</v>
      </c>
      <c r="S144" s="24">
        <v>42094.32361111111</v>
      </c>
      <c r="U144" s="21" t="s">
        <v>657</v>
      </c>
      <c r="W144" s="21">
        <v>12100.0</v>
      </c>
      <c r="X144" s="21">
        <v>0.0</v>
      </c>
      <c r="Y144" s="21">
        <v>0.0</v>
      </c>
      <c r="Z144" s="21" t="s">
        <v>656</v>
      </c>
      <c r="AF144" s="21">
        <v>0.0</v>
      </c>
      <c r="AG144" s="21" t="s">
        <v>656</v>
      </c>
      <c r="AM144" s="21">
        <v>0.0</v>
      </c>
      <c r="AO144" s="21" t="s">
        <v>656</v>
      </c>
      <c r="AP144" s="21" t="s">
        <v>2030</v>
      </c>
      <c r="AW144" s="21" t="s">
        <v>656</v>
      </c>
      <c r="BB144" s="21" t="s">
        <v>656</v>
      </c>
      <c r="BI144" s="21">
        <v>0.0</v>
      </c>
      <c r="BJ144" s="24">
        <v>42094.16111111111</v>
      </c>
      <c r="BK144" s="24">
        <v>42094.19097222222</v>
      </c>
      <c r="BM144" s="21" t="s">
        <v>662</v>
      </c>
      <c r="BN144" s="21" t="s">
        <v>795</v>
      </c>
      <c r="BO144" s="21">
        <v>65337.0</v>
      </c>
      <c r="BP144" s="21" t="s">
        <v>2031</v>
      </c>
      <c r="BQ144" s="21" t="s">
        <v>1758</v>
      </c>
      <c r="BR144" s="21" t="s">
        <v>892</v>
      </c>
      <c r="BS144" s="21" t="s">
        <v>2032</v>
      </c>
      <c r="BT144" s="21" t="s">
        <v>2033</v>
      </c>
      <c r="BU144" s="21" t="s">
        <v>2034</v>
      </c>
      <c r="BV144" s="21" t="s">
        <v>656</v>
      </c>
      <c r="BW144" s="21" t="s">
        <v>668</v>
      </c>
      <c r="BX144" s="21" t="s">
        <v>669</v>
      </c>
      <c r="BY144" s="21" t="s">
        <v>670</v>
      </c>
      <c r="CC144" s="21" t="s">
        <v>656</v>
      </c>
      <c r="CZ144" s="21" t="s">
        <v>712</v>
      </c>
      <c r="DA144" s="21" t="s">
        <v>672</v>
      </c>
      <c r="DB144" s="21" t="s">
        <v>756</v>
      </c>
      <c r="EH144" s="21" t="s">
        <v>1432</v>
      </c>
      <c r="EO144" s="21">
        <v>2014.0</v>
      </c>
      <c r="EQ144" s="21" t="s">
        <v>674</v>
      </c>
      <c r="ES144" s="21" t="s">
        <v>696</v>
      </c>
      <c r="FB144" s="21" t="s">
        <v>2035</v>
      </c>
      <c r="FC144" s="21" t="s">
        <v>677</v>
      </c>
      <c r="FD144" s="21" t="s">
        <v>656</v>
      </c>
      <c r="FF144" s="21">
        <v>93.0</v>
      </c>
      <c r="FH144" s="21" t="s">
        <v>656</v>
      </c>
      <c r="FI144" s="21" t="s">
        <v>656</v>
      </c>
      <c r="FJ144" s="21" t="s">
        <v>656</v>
      </c>
      <c r="FO144" s="21">
        <v>0.0</v>
      </c>
      <c r="FP144" s="21">
        <v>46116.0</v>
      </c>
      <c r="FQ144" s="21">
        <v>0.0</v>
      </c>
      <c r="FR144" s="21">
        <v>0.0</v>
      </c>
      <c r="FS144" s="21">
        <v>216.0</v>
      </c>
      <c r="FT144" s="21">
        <v>0.0</v>
      </c>
      <c r="FW144" s="21">
        <v>46332.0</v>
      </c>
      <c r="GF144" s="21">
        <v>890.0</v>
      </c>
      <c r="GH144" s="21">
        <v>900.0</v>
      </c>
      <c r="GI144" s="21" t="s">
        <v>719</v>
      </c>
      <c r="GM144" s="21" t="s">
        <v>679</v>
      </c>
      <c r="GN144" s="21" t="s">
        <v>656</v>
      </c>
      <c r="HK144" s="21" t="s">
        <v>721</v>
      </c>
      <c r="HL144" s="21" t="s">
        <v>659</v>
      </c>
      <c r="HM144" s="21" t="s">
        <v>659</v>
      </c>
      <c r="HN144" s="21" t="s">
        <v>659</v>
      </c>
      <c r="HO144" s="21" t="s">
        <v>656</v>
      </c>
      <c r="HP144" s="21" t="s">
        <v>659</v>
      </c>
      <c r="HQ144" s="21" t="s">
        <v>941</v>
      </c>
      <c r="HT144" s="21" t="s">
        <v>723</v>
      </c>
      <c r="HU144" s="21" t="s">
        <v>1788</v>
      </c>
      <c r="IH144" s="21" t="s">
        <v>656</v>
      </c>
      <c r="II144" s="21" t="s">
        <v>656</v>
      </c>
      <c r="IN144" s="21" t="s">
        <v>761</v>
      </c>
      <c r="IO144" s="21" t="s">
        <v>762</v>
      </c>
      <c r="OU144" s="21" t="s">
        <v>762</v>
      </c>
      <c r="PB144" s="21" t="s">
        <v>659</v>
      </c>
      <c r="QE144" s="21" t="s">
        <v>659</v>
      </c>
      <c r="QF144" s="21" t="s">
        <v>2036</v>
      </c>
      <c r="WL144" s="21" t="s">
        <v>1752</v>
      </c>
      <c r="WM144" s="21" t="s">
        <v>2037</v>
      </c>
      <c r="WN144" s="21" t="s">
        <v>1754</v>
      </c>
      <c r="WO144" s="21">
        <v>7.138575479E9</v>
      </c>
      <c r="WT144" s="21" t="s">
        <v>1752</v>
      </c>
      <c r="WU144" s="21" t="s">
        <v>2037</v>
      </c>
      <c r="WV144" s="21">
        <v>7.138575479E9</v>
      </c>
      <c r="WW144" s="21" t="s">
        <v>1754</v>
      </c>
      <c r="WX144" s="21" t="s">
        <v>2038</v>
      </c>
    </row>
    <row r="145">
      <c r="A145" s="21">
        <v>1270.0</v>
      </c>
      <c r="B145" s="22">
        <v>42096.0</v>
      </c>
      <c r="C145" s="21">
        <v>2015.0</v>
      </c>
      <c r="D145" s="21">
        <v>2.0150044E7</v>
      </c>
      <c r="E145" s="21">
        <v>16705.0</v>
      </c>
      <c r="F145" s="21" t="s">
        <v>701</v>
      </c>
      <c r="G145" s="21">
        <v>19730.0</v>
      </c>
      <c r="H145" s="21" t="s">
        <v>750</v>
      </c>
      <c r="I145" s="21" t="s">
        <v>652</v>
      </c>
      <c r="J145" s="21" t="s">
        <v>653</v>
      </c>
      <c r="K145" s="21" t="s">
        <v>654</v>
      </c>
      <c r="L145" s="21">
        <v>77002.0</v>
      </c>
      <c r="M145" s="23">
        <v>42068.527083333334</v>
      </c>
      <c r="P145" s="21">
        <v>35.94042</v>
      </c>
      <c r="Q145" s="21">
        <v>-89.30797</v>
      </c>
      <c r="R145" s="21">
        <v>1109725.0</v>
      </c>
      <c r="S145" s="24">
        <v>42068.538194444445</v>
      </c>
      <c r="U145" s="21" t="s">
        <v>657</v>
      </c>
      <c r="W145" s="21">
        <v>21900.0</v>
      </c>
      <c r="X145" s="21">
        <v>0.0</v>
      </c>
      <c r="Y145" s="21">
        <v>0.0</v>
      </c>
      <c r="Z145" s="21" t="s">
        <v>656</v>
      </c>
      <c r="AF145" s="21">
        <v>0.0</v>
      </c>
      <c r="AG145" s="21" t="s">
        <v>656</v>
      </c>
      <c r="AM145" s="21">
        <v>0.0</v>
      </c>
      <c r="AO145" s="21" t="s">
        <v>656</v>
      </c>
      <c r="AP145" s="21" t="s">
        <v>2030</v>
      </c>
      <c r="AW145" s="21" t="s">
        <v>656</v>
      </c>
      <c r="BB145" s="21" t="s">
        <v>656</v>
      </c>
      <c r="BI145" s="21">
        <v>0.0</v>
      </c>
      <c r="BJ145" s="24">
        <v>42068.24652777778</v>
      </c>
      <c r="BK145" s="24">
        <v>42068.26388888889</v>
      </c>
      <c r="BM145" s="21" t="s">
        <v>662</v>
      </c>
      <c r="BN145" s="21" t="s">
        <v>2039</v>
      </c>
      <c r="BO145" s="21">
        <v>38024.0</v>
      </c>
      <c r="BP145" s="21" t="s">
        <v>2040</v>
      </c>
      <c r="BQ145" s="21" t="s">
        <v>2041</v>
      </c>
      <c r="BR145" s="21" t="s">
        <v>892</v>
      </c>
      <c r="BS145" s="21">
        <v>0.9</v>
      </c>
      <c r="BT145" s="21" t="s">
        <v>2042</v>
      </c>
      <c r="BU145" s="21" t="s">
        <v>2043</v>
      </c>
      <c r="BV145" s="21" t="s">
        <v>656</v>
      </c>
      <c r="BW145" s="21" t="s">
        <v>668</v>
      </c>
      <c r="BX145" s="21" t="s">
        <v>669</v>
      </c>
      <c r="BY145" s="21" t="s">
        <v>670</v>
      </c>
      <c r="CC145" s="21" t="s">
        <v>656</v>
      </c>
      <c r="CZ145" s="21" t="s">
        <v>712</v>
      </c>
      <c r="DA145" s="21" t="s">
        <v>672</v>
      </c>
      <c r="DB145" s="21" t="s">
        <v>756</v>
      </c>
      <c r="EH145" s="21" t="s">
        <v>1432</v>
      </c>
      <c r="EO145" s="21">
        <v>1985.0</v>
      </c>
      <c r="EQ145" s="21" t="s">
        <v>674</v>
      </c>
      <c r="ES145" s="21" t="s">
        <v>675</v>
      </c>
      <c r="EV145" s="21" t="s">
        <v>1083</v>
      </c>
      <c r="FC145" s="21" t="s">
        <v>677</v>
      </c>
      <c r="FD145" s="21" t="s">
        <v>656</v>
      </c>
      <c r="FF145" s="21">
        <v>124.0</v>
      </c>
      <c r="FH145" s="21" t="s">
        <v>656</v>
      </c>
      <c r="FI145" s="21" t="s">
        <v>656</v>
      </c>
      <c r="FJ145" s="21" t="s">
        <v>656</v>
      </c>
      <c r="FO145" s="21">
        <v>0.0</v>
      </c>
      <c r="FP145" s="21">
        <v>71613.0</v>
      </c>
      <c r="FQ145" s="21">
        <v>0.0</v>
      </c>
      <c r="FR145" s="21">
        <v>13.0</v>
      </c>
      <c r="FS145" s="21">
        <v>0.0</v>
      </c>
      <c r="FT145" s="21">
        <v>0.0</v>
      </c>
      <c r="FW145" s="21">
        <v>71626.0</v>
      </c>
      <c r="GF145" s="21">
        <v>822.0</v>
      </c>
      <c r="GH145" s="21">
        <v>900.0</v>
      </c>
      <c r="GI145" s="21" t="s">
        <v>719</v>
      </c>
      <c r="GM145" s="21" t="s">
        <v>679</v>
      </c>
      <c r="GN145" s="21" t="s">
        <v>656</v>
      </c>
      <c r="HK145" s="21" t="s">
        <v>721</v>
      </c>
      <c r="HL145" s="21" t="s">
        <v>659</v>
      </c>
      <c r="HM145" s="21" t="s">
        <v>659</v>
      </c>
      <c r="HN145" s="21" t="s">
        <v>659</v>
      </c>
      <c r="HO145" s="21" t="s">
        <v>656</v>
      </c>
      <c r="HP145" s="21" t="s">
        <v>659</v>
      </c>
      <c r="HQ145" s="21" t="s">
        <v>698</v>
      </c>
      <c r="HS145" s="21" t="s">
        <v>699</v>
      </c>
      <c r="HT145" s="21" t="s">
        <v>723</v>
      </c>
      <c r="HU145" s="21" t="s">
        <v>1788</v>
      </c>
      <c r="IH145" s="21" t="s">
        <v>659</v>
      </c>
      <c r="II145" s="21" t="s">
        <v>656</v>
      </c>
      <c r="IJ145" s="21">
        <v>1.0</v>
      </c>
      <c r="IK145" s="21">
        <v>0.0</v>
      </c>
      <c r="IN145" s="21" t="s">
        <v>761</v>
      </c>
      <c r="IO145" s="21" t="s">
        <v>1085</v>
      </c>
      <c r="OU145" s="21" t="s">
        <v>1085</v>
      </c>
      <c r="PK145" s="21" t="s">
        <v>2044</v>
      </c>
      <c r="QE145" s="21" t="s">
        <v>659</v>
      </c>
      <c r="QF145" s="21" t="s">
        <v>2045</v>
      </c>
      <c r="WL145" s="21" t="s">
        <v>1752</v>
      </c>
      <c r="WM145" s="21" t="s">
        <v>1753</v>
      </c>
      <c r="WN145" s="21" t="s">
        <v>1754</v>
      </c>
      <c r="WO145" s="21" t="s">
        <v>1764</v>
      </c>
      <c r="WT145" s="21" t="s">
        <v>1752</v>
      </c>
      <c r="WU145" s="21" t="s">
        <v>1753</v>
      </c>
      <c r="WV145" s="21" t="s">
        <v>1764</v>
      </c>
      <c r="WW145" s="21" t="s">
        <v>1754</v>
      </c>
      <c r="WX145" s="21" t="s">
        <v>2046</v>
      </c>
    </row>
    <row r="146">
      <c r="A146" s="21">
        <v>1276.0</v>
      </c>
      <c r="B146" s="22">
        <v>42086.0</v>
      </c>
      <c r="C146" s="21">
        <v>2015.0</v>
      </c>
      <c r="D146" s="21">
        <v>2.0150036E7</v>
      </c>
      <c r="E146" s="21">
        <v>16689.0</v>
      </c>
      <c r="F146" s="21" t="s">
        <v>701</v>
      </c>
      <c r="G146" s="21">
        <v>19610.0</v>
      </c>
      <c r="H146" s="21" t="s">
        <v>1270</v>
      </c>
      <c r="I146" s="21" t="s">
        <v>652</v>
      </c>
      <c r="J146" s="21" t="s">
        <v>653</v>
      </c>
      <c r="K146" s="21" t="s">
        <v>654</v>
      </c>
      <c r="L146" s="21">
        <v>77002.0</v>
      </c>
      <c r="M146" s="23">
        <v>42057.743055555555</v>
      </c>
      <c r="P146" s="21">
        <v>33.91906</v>
      </c>
      <c r="Q146" s="21">
        <v>-105.32637</v>
      </c>
      <c r="R146" s="21">
        <v>1108801.0</v>
      </c>
      <c r="S146" s="24">
        <v>42057.816666666666</v>
      </c>
      <c r="U146" s="21" t="s">
        <v>657</v>
      </c>
      <c r="W146" s="21">
        <v>130000.0</v>
      </c>
      <c r="X146" s="21">
        <v>495.0</v>
      </c>
      <c r="Y146" s="21">
        <v>0.0</v>
      </c>
      <c r="Z146" s="21" t="s">
        <v>656</v>
      </c>
      <c r="AF146" s="21">
        <v>0.0</v>
      </c>
      <c r="AG146" s="21" t="s">
        <v>656</v>
      </c>
      <c r="AM146" s="21">
        <v>0.0</v>
      </c>
      <c r="AO146" s="21" t="s">
        <v>656</v>
      </c>
      <c r="AP146" s="21" t="s">
        <v>2047</v>
      </c>
      <c r="AW146" s="21" t="s">
        <v>656</v>
      </c>
      <c r="BB146" s="21" t="s">
        <v>656</v>
      </c>
      <c r="BI146" s="21">
        <v>0.0</v>
      </c>
      <c r="BJ146" s="24">
        <v>42057.743055555555</v>
      </c>
      <c r="BK146" s="24">
        <v>42057.79305555556</v>
      </c>
      <c r="BM146" s="21" t="s">
        <v>662</v>
      </c>
      <c r="BN146" s="21" t="s">
        <v>1163</v>
      </c>
      <c r="BO146" s="21">
        <v>88316.0</v>
      </c>
      <c r="BP146" s="21" t="s">
        <v>2048</v>
      </c>
      <c r="BQ146" s="21" t="s">
        <v>1135</v>
      </c>
      <c r="BR146" s="21" t="s">
        <v>892</v>
      </c>
      <c r="BS146" s="21">
        <v>289950.2</v>
      </c>
      <c r="BT146" s="21" t="s">
        <v>2049</v>
      </c>
      <c r="BU146" s="21" t="s">
        <v>2050</v>
      </c>
      <c r="BV146" s="21" t="s">
        <v>656</v>
      </c>
      <c r="BW146" s="21" t="s">
        <v>668</v>
      </c>
      <c r="BX146" s="21" t="s">
        <v>669</v>
      </c>
      <c r="BY146" s="21" t="s">
        <v>670</v>
      </c>
      <c r="CC146" s="21" t="s">
        <v>656</v>
      </c>
      <c r="CZ146" s="21" t="s">
        <v>712</v>
      </c>
      <c r="DA146" s="21" t="s">
        <v>672</v>
      </c>
      <c r="DB146" s="21" t="s">
        <v>756</v>
      </c>
      <c r="EH146" s="21" t="s">
        <v>939</v>
      </c>
      <c r="EO146" s="21">
        <v>2007.0</v>
      </c>
      <c r="EQ146" s="21" t="s">
        <v>674</v>
      </c>
      <c r="ES146" s="21" t="s">
        <v>696</v>
      </c>
      <c r="FB146" s="21" t="s">
        <v>2051</v>
      </c>
      <c r="FC146" s="21" t="s">
        <v>677</v>
      </c>
      <c r="FD146" s="21" t="s">
        <v>656</v>
      </c>
      <c r="FF146" s="21">
        <v>657.0</v>
      </c>
      <c r="FH146" s="21" t="s">
        <v>656</v>
      </c>
      <c r="FI146" s="21" t="s">
        <v>656</v>
      </c>
      <c r="FJ146" s="21" t="s">
        <v>656</v>
      </c>
      <c r="FO146" s="21">
        <v>0.0</v>
      </c>
      <c r="FP146" s="21">
        <v>364000.0</v>
      </c>
      <c r="FQ146" s="21">
        <v>1386.0</v>
      </c>
      <c r="FR146" s="21">
        <v>0.0</v>
      </c>
      <c r="FS146" s="21">
        <v>0.0</v>
      </c>
      <c r="FT146" s="21">
        <v>0.0</v>
      </c>
      <c r="FW146" s="21">
        <v>365386.0</v>
      </c>
      <c r="GF146" s="21">
        <v>715.0</v>
      </c>
      <c r="GH146" s="21">
        <v>1008.0</v>
      </c>
      <c r="GI146" s="21" t="s">
        <v>719</v>
      </c>
      <c r="GM146" s="21" t="s">
        <v>679</v>
      </c>
      <c r="GN146" s="21" t="s">
        <v>656</v>
      </c>
      <c r="HK146" s="21" t="s">
        <v>721</v>
      </c>
      <c r="HL146" s="21" t="s">
        <v>659</v>
      </c>
      <c r="HM146" s="21" t="s">
        <v>659</v>
      </c>
      <c r="HN146" s="21" t="s">
        <v>659</v>
      </c>
      <c r="HO146" s="21" t="s">
        <v>659</v>
      </c>
      <c r="HP146" s="21" t="s">
        <v>659</v>
      </c>
      <c r="HQ146" s="21" t="s">
        <v>1113</v>
      </c>
      <c r="HS146" s="21" t="s">
        <v>699</v>
      </c>
      <c r="HT146" s="21" t="s">
        <v>723</v>
      </c>
      <c r="HU146" s="21" t="s">
        <v>1788</v>
      </c>
      <c r="IH146" s="21" t="s">
        <v>659</v>
      </c>
      <c r="II146" s="21" t="s">
        <v>656</v>
      </c>
      <c r="IJ146" s="21">
        <v>6.0</v>
      </c>
      <c r="IK146" s="21">
        <v>0.0</v>
      </c>
      <c r="IN146" s="21" t="s">
        <v>761</v>
      </c>
      <c r="IO146" s="21" t="s">
        <v>762</v>
      </c>
      <c r="OU146" s="21" t="s">
        <v>762</v>
      </c>
      <c r="PG146" s="21" t="s">
        <v>659</v>
      </c>
      <c r="PH146" s="21" t="s">
        <v>2052</v>
      </c>
      <c r="QE146" s="21" t="s">
        <v>659</v>
      </c>
      <c r="QF146" s="21" t="s">
        <v>2053</v>
      </c>
      <c r="WL146" s="21" t="s">
        <v>1752</v>
      </c>
      <c r="WM146" s="21" t="s">
        <v>1144</v>
      </c>
      <c r="WN146" s="21" t="s">
        <v>1754</v>
      </c>
      <c r="WO146" s="21">
        <v>7.138575479E9</v>
      </c>
      <c r="WT146" s="21" t="s">
        <v>1752</v>
      </c>
      <c r="WU146" s="21" t="s">
        <v>1144</v>
      </c>
      <c r="WV146" s="21">
        <v>7.138575479E9</v>
      </c>
      <c r="WW146" s="21" t="s">
        <v>1754</v>
      </c>
      <c r="WX146" s="21" t="s">
        <v>2054</v>
      </c>
    </row>
    <row r="147">
      <c r="A147" s="21">
        <v>1306.0</v>
      </c>
      <c r="B147" s="22">
        <v>42018.0</v>
      </c>
      <c r="C147" s="21">
        <v>2014.0</v>
      </c>
      <c r="D147" s="21">
        <v>2.0150003E7</v>
      </c>
      <c r="E147" s="21">
        <v>16614.0</v>
      </c>
      <c r="F147" s="21" t="s">
        <v>701</v>
      </c>
      <c r="G147" s="21">
        <v>18152.0</v>
      </c>
      <c r="H147" s="21" t="s">
        <v>702</v>
      </c>
      <c r="I147" s="21" t="s">
        <v>652</v>
      </c>
      <c r="J147" s="21" t="s">
        <v>653</v>
      </c>
      <c r="K147" s="21" t="s">
        <v>654</v>
      </c>
      <c r="L147" s="21">
        <v>77002.0</v>
      </c>
      <c r="M147" s="23">
        <v>41985.666666666664</v>
      </c>
      <c r="P147" s="21">
        <v>28.89972</v>
      </c>
      <c r="Q147" s="21">
        <v>-92.11222</v>
      </c>
      <c r="R147" s="21">
        <v>1103392.0</v>
      </c>
      <c r="S147" s="24">
        <v>41987.385416666664</v>
      </c>
      <c r="U147" s="21" t="s">
        <v>657</v>
      </c>
      <c r="W147" s="21">
        <v>33.1</v>
      </c>
      <c r="X147" s="21">
        <v>29455.0</v>
      </c>
      <c r="Y147" s="21">
        <v>0.12</v>
      </c>
      <c r="Z147" s="21" t="s">
        <v>656</v>
      </c>
      <c r="AF147" s="21">
        <v>0.0</v>
      </c>
      <c r="AG147" s="21" t="s">
        <v>656</v>
      </c>
      <c r="AM147" s="21">
        <v>0.0</v>
      </c>
      <c r="AO147" s="21" t="s">
        <v>659</v>
      </c>
      <c r="AQ147" s="24">
        <v>41987.583333333336</v>
      </c>
      <c r="AR147" s="24">
        <v>41994.60138888889</v>
      </c>
      <c r="AW147" s="21" t="s">
        <v>656</v>
      </c>
      <c r="BB147" s="21" t="s">
        <v>656</v>
      </c>
      <c r="BI147" s="21">
        <v>0.0</v>
      </c>
      <c r="BJ147" s="24">
        <v>41985.666666666664</v>
      </c>
      <c r="BK147" s="24">
        <v>41990.229166666664</v>
      </c>
      <c r="BM147" s="21" t="s">
        <v>705</v>
      </c>
      <c r="CP147" s="21">
        <v>87.0</v>
      </c>
      <c r="CQ147" s="21" t="s">
        <v>708</v>
      </c>
      <c r="CW147" s="21" t="s">
        <v>1388</v>
      </c>
      <c r="CX147" s="21">
        <v>27.0</v>
      </c>
      <c r="CY147" s="21" t="s">
        <v>711</v>
      </c>
      <c r="CZ147" s="21" t="s">
        <v>712</v>
      </c>
      <c r="DA147" s="21" t="s">
        <v>713</v>
      </c>
      <c r="DB147" s="21" t="s">
        <v>714</v>
      </c>
      <c r="DC147" s="21" t="s">
        <v>715</v>
      </c>
      <c r="DD147" s="21">
        <v>26.0</v>
      </c>
      <c r="DF147" s="21">
        <v>0.5</v>
      </c>
      <c r="DG147" s="21">
        <v>60000.0</v>
      </c>
      <c r="DH147" s="21" t="s">
        <v>1533</v>
      </c>
      <c r="DI147" s="21" t="s">
        <v>742</v>
      </c>
      <c r="DK147" s="21" t="s">
        <v>1679</v>
      </c>
      <c r="DL147" s="21" t="s">
        <v>696</v>
      </c>
      <c r="DM147" s="21" t="s">
        <v>1680</v>
      </c>
      <c r="EO147" s="21">
        <v>1970.0</v>
      </c>
      <c r="EP147" s="21">
        <v>1970.0</v>
      </c>
      <c r="EQ147" s="21" t="s">
        <v>674</v>
      </c>
      <c r="ES147" s="21" t="s">
        <v>675</v>
      </c>
      <c r="EV147" s="21" t="s">
        <v>718</v>
      </c>
      <c r="FC147" s="21" t="s">
        <v>677</v>
      </c>
      <c r="FD147" s="21" t="s">
        <v>656</v>
      </c>
      <c r="FF147" s="21">
        <v>634.0</v>
      </c>
      <c r="FH147" s="21" t="s">
        <v>656</v>
      </c>
      <c r="FI147" s="21" t="s">
        <v>656</v>
      </c>
      <c r="FJ147" s="21" t="s">
        <v>656</v>
      </c>
      <c r="FO147" s="21">
        <v>0.0</v>
      </c>
      <c r="FP147" s="21">
        <v>123.0</v>
      </c>
      <c r="FQ147" s="21">
        <v>190573.0</v>
      </c>
      <c r="FR147" s="21">
        <v>265000.0</v>
      </c>
      <c r="FS147" s="21">
        <v>0.0</v>
      </c>
      <c r="FT147" s="21">
        <v>0.0</v>
      </c>
      <c r="FW147" s="21">
        <v>455696.0</v>
      </c>
      <c r="GF147" s="21">
        <v>852.0</v>
      </c>
      <c r="GH147" s="21">
        <v>1250.0</v>
      </c>
      <c r="GI147" s="21" t="s">
        <v>719</v>
      </c>
      <c r="GM147" s="21" t="s">
        <v>679</v>
      </c>
      <c r="GN147" s="21" t="s">
        <v>656</v>
      </c>
      <c r="GS147" s="21" t="s">
        <v>720</v>
      </c>
      <c r="GT147" s="21" t="s">
        <v>720</v>
      </c>
      <c r="GU147" s="21">
        <v>122364.0</v>
      </c>
      <c r="GV147" s="21" t="s">
        <v>656</v>
      </c>
      <c r="GY147" s="21" t="s">
        <v>659</v>
      </c>
      <c r="HD147" s="21" t="s">
        <v>656</v>
      </c>
      <c r="HK147" s="21" t="s">
        <v>721</v>
      </c>
      <c r="HL147" s="21" t="s">
        <v>659</v>
      </c>
      <c r="HM147" s="21" t="s">
        <v>659</v>
      </c>
      <c r="HN147" s="21" t="s">
        <v>659</v>
      </c>
      <c r="HO147" s="21" t="s">
        <v>656</v>
      </c>
      <c r="HP147" s="21" t="s">
        <v>656</v>
      </c>
      <c r="HQ147" s="21" t="s">
        <v>698</v>
      </c>
      <c r="HS147" s="21" t="s">
        <v>699</v>
      </c>
      <c r="HT147" s="21" t="s">
        <v>723</v>
      </c>
      <c r="HU147" s="21" t="s">
        <v>851</v>
      </c>
      <c r="IH147" s="21" t="s">
        <v>656</v>
      </c>
      <c r="II147" s="21" t="s">
        <v>656</v>
      </c>
      <c r="IN147" s="21" t="s">
        <v>725</v>
      </c>
      <c r="IO147" s="21" t="s">
        <v>726</v>
      </c>
      <c r="IP147" s="21" t="s">
        <v>726</v>
      </c>
      <c r="JT147" s="21" t="s">
        <v>696</v>
      </c>
      <c r="JU147" s="21" t="s">
        <v>1659</v>
      </c>
      <c r="JZ147" s="21" t="s">
        <v>659</v>
      </c>
      <c r="KA147" s="21" t="s">
        <v>1660</v>
      </c>
      <c r="KD147" s="21" t="s">
        <v>659</v>
      </c>
      <c r="KE147" s="21" t="s">
        <v>1954</v>
      </c>
      <c r="KJ147" s="21" t="s">
        <v>659</v>
      </c>
      <c r="KK147" s="21" t="s">
        <v>2055</v>
      </c>
      <c r="KL147" s="21" t="s">
        <v>659</v>
      </c>
      <c r="KM147" s="21" t="s">
        <v>656</v>
      </c>
      <c r="KN147" s="21" t="s">
        <v>659</v>
      </c>
      <c r="KO147" s="21" t="s">
        <v>659</v>
      </c>
      <c r="QW147" s="21" t="s">
        <v>656</v>
      </c>
      <c r="TI147" s="21" t="s">
        <v>656</v>
      </c>
      <c r="TL147" s="21" t="s">
        <v>656</v>
      </c>
      <c r="TZ147" s="21" t="s">
        <v>656</v>
      </c>
      <c r="WL147" s="21" t="s">
        <v>1752</v>
      </c>
      <c r="WM147" s="21" t="s">
        <v>1144</v>
      </c>
      <c r="WN147" s="21" t="s">
        <v>1754</v>
      </c>
      <c r="WO147" s="21" t="s">
        <v>1935</v>
      </c>
      <c r="WT147" s="21" t="s">
        <v>1752</v>
      </c>
      <c r="WU147" s="21" t="s">
        <v>1144</v>
      </c>
      <c r="WV147" s="21" t="s">
        <v>1935</v>
      </c>
      <c r="WW147" s="21" t="s">
        <v>1754</v>
      </c>
      <c r="WX147" s="21" t="s">
        <v>2056</v>
      </c>
    </row>
    <row r="148">
      <c r="A148" s="21">
        <v>1310.0</v>
      </c>
      <c r="B148" s="22">
        <v>42004.0</v>
      </c>
      <c r="C148" s="21">
        <v>2014.0</v>
      </c>
      <c r="D148" s="21">
        <v>2.0140149E7</v>
      </c>
      <c r="E148" s="21">
        <v>16605.0</v>
      </c>
      <c r="F148" s="21" t="s">
        <v>701</v>
      </c>
      <c r="G148" s="21">
        <v>18152.0</v>
      </c>
      <c r="H148" s="21" t="s">
        <v>702</v>
      </c>
      <c r="I148" s="21" t="s">
        <v>652</v>
      </c>
      <c r="J148" s="21" t="s">
        <v>653</v>
      </c>
      <c r="K148" s="21" t="s">
        <v>654</v>
      </c>
      <c r="L148" s="21">
        <v>77002.0</v>
      </c>
      <c r="M148" s="23">
        <v>41976.6875</v>
      </c>
      <c r="P148" s="21">
        <v>28.87892</v>
      </c>
      <c r="Q148" s="21">
        <v>-92.14027</v>
      </c>
      <c r="R148" s="21">
        <v>1102618.0</v>
      </c>
      <c r="S148" s="24">
        <v>41977.479166666664</v>
      </c>
      <c r="U148" s="21" t="s">
        <v>657</v>
      </c>
      <c r="W148" s="21">
        <v>4469.0</v>
      </c>
      <c r="X148" s="21">
        <v>29455.0</v>
      </c>
      <c r="Y148" s="21">
        <v>0.7</v>
      </c>
      <c r="Z148" s="21" t="s">
        <v>656</v>
      </c>
      <c r="AF148" s="21">
        <v>0.0</v>
      </c>
      <c r="AG148" s="21" t="s">
        <v>656</v>
      </c>
      <c r="AM148" s="21">
        <v>0.0</v>
      </c>
      <c r="AO148" s="21" t="s">
        <v>659</v>
      </c>
      <c r="AQ148" s="24">
        <v>41978.645833333336</v>
      </c>
      <c r="AR148" s="24">
        <v>41985.895833333336</v>
      </c>
      <c r="AW148" s="21" t="s">
        <v>656</v>
      </c>
      <c r="BB148" s="21" t="s">
        <v>656</v>
      </c>
      <c r="BI148" s="21">
        <v>0.0</v>
      </c>
      <c r="BJ148" s="24">
        <v>41976.6875</v>
      </c>
      <c r="BK148" s="24">
        <v>41978.270833333336</v>
      </c>
      <c r="BM148" s="21" t="s">
        <v>705</v>
      </c>
      <c r="CP148" s="21">
        <v>90.0</v>
      </c>
      <c r="CQ148" s="21" t="s">
        <v>708</v>
      </c>
      <c r="CW148" s="21" t="s">
        <v>1388</v>
      </c>
      <c r="CX148" s="21">
        <v>27.0</v>
      </c>
      <c r="CY148" s="21" t="s">
        <v>711</v>
      </c>
      <c r="CZ148" s="21" t="s">
        <v>712</v>
      </c>
      <c r="DA148" s="21" t="s">
        <v>713</v>
      </c>
      <c r="DB148" s="21" t="s">
        <v>714</v>
      </c>
      <c r="DC148" s="21" t="s">
        <v>715</v>
      </c>
      <c r="DD148" s="21">
        <v>26.0</v>
      </c>
      <c r="DF148" s="21">
        <v>0.5</v>
      </c>
      <c r="DG148" s="21">
        <v>60000.0</v>
      </c>
      <c r="DH148" s="21" t="s">
        <v>1533</v>
      </c>
      <c r="DI148" s="21" t="s">
        <v>742</v>
      </c>
      <c r="DK148" s="21" t="s">
        <v>1679</v>
      </c>
      <c r="DL148" s="21" t="s">
        <v>696</v>
      </c>
      <c r="DM148" s="21" t="s">
        <v>1680</v>
      </c>
      <c r="EO148" s="21">
        <v>1970.0</v>
      </c>
      <c r="EP148" s="21">
        <v>1970.0</v>
      </c>
      <c r="EQ148" s="21" t="s">
        <v>674</v>
      </c>
      <c r="ES148" s="21" t="s">
        <v>675</v>
      </c>
      <c r="EV148" s="21" t="s">
        <v>718</v>
      </c>
      <c r="FC148" s="21" t="s">
        <v>677</v>
      </c>
      <c r="FD148" s="21" t="s">
        <v>656</v>
      </c>
      <c r="FF148" s="21">
        <v>634.0</v>
      </c>
      <c r="FH148" s="21" t="s">
        <v>656</v>
      </c>
      <c r="FI148" s="21" t="s">
        <v>656</v>
      </c>
      <c r="FJ148" s="21" t="s">
        <v>656</v>
      </c>
      <c r="FO148" s="21">
        <v>0.0</v>
      </c>
      <c r="FP148" s="21">
        <v>15329.0</v>
      </c>
      <c r="FQ148" s="21">
        <v>101031.0</v>
      </c>
      <c r="FR148" s="21">
        <v>300000.0</v>
      </c>
      <c r="FS148" s="21">
        <v>0.0</v>
      </c>
      <c r="FT148" s="21">
        <v>0.0</v>
      </c>
      <c r="FW148" s="21">
        <v>416360.0</v>
      </c>
      <c r="GF148" s="21">
        <v>852.0</v>
      </c>
      <c r="GH148" s="21">
        <v>1250.0</v>
      </c>
      <c r="GI148" s="21" t="s">
        <v>2057</v>
      </c>
      <c r="GM148" s="21" t="s">
        <v>679</v>
      </c>
      <c r="GN148" s="21" t="s">
        <v>656</v>
      </c>
      <c r="GS148" s="21" t="s">
        <v>720</v>
      </c>
      <c r="GT148" s="21" t="s">
        <v>720</v>
      </c>
      <c r="GU148" s="21">
        <v>122364.0</v>
      </c>
      <c r="GV148" s="21" t="s">
        <v>656</v>
      </c>
      <c r="GY148" s="21" t="s">
        <v>659</v>
      </c>
      <c r="HD148" s="21" t="s">
        <v>656</v>
      </c>
      <c r="HK148" s="21" t="s">
        <v>721</v>
      </c>
      <c r="HL148" s="21" t="s">
        <v>659</v>
      </c>
      <c r="HM148" s="21" t="s">
        <v>659</v>
      </c>
      <c r="HN148" s="21" t="s">
        <v>659</v>
      </c>
      <c r="HO148" s="21" t="s">
        <v>656</v>
      </c>
      <c r="HP148" s="21" t="s">
        <v>659</v>
      </c>
      <c r="HQ148" s="21" t="s">
        <v>696</v>
      </c>
      <c r="HR148" s="21" t="s">
        <v>2058</v>
      </c>
      <c r="HT148" s="21" t="s">
        <v>723</v>
      </c>
      <c r="HU148" s="21" t="s">
        <v>1658</v>
      </c>
      <c r="IH148" s="21" t="s">
        <v>656</v>
      </c>
      <c r="II148" s="21" t="s">
        <v>656</v>
      </c>
      <c r="IN148" s="21" t="s">
        <v>725</v>
      </c>
      <c r="IO148" s="21" t="s">
        <v>726</v>
      </c>
      <c r="IP148" s="21" t="s">
        <v>726</v>
      </c>
      <c r="JT148" s="21" t="s">
        <v>696</v>
      </c>
      <c r="JU148" s="21" t="s">
        <v>1682</v>
      </c>
      <c r="JZ148" s="21" t="s">
        <v>659</v>
      </c>
      <c r="KA148" s="21" t="s">
        <v>1683</v>
      </c>
      <c r="KD148" s="21" t="s">
        <v>659</v>
      </c>
      <c r="KE148" s="21" t="s">
        <v>1684</v>
      </c>
      <c r="KJ148" s="21" t="s">
        <v>659</v>
      </c>
      <c r="KK148" s="21" t="s">
        <v>1685</v>
      </c>
      <c r="KL148" s="21" t="s">
        <v>659</v>
      </c>
      <c r="KM148" s="21" t="s">
        <v>656</v>
      </c>
      <c r="KN148" s="21" t="s">
        <v>659</v>
      </c>
      <c r="KO148" s="21" t="s">
        <v>659</v>
      </c>
      <c r="QW148" s="21" t="s">
        <v>656</v>
      </c>
      <c r="TI148" s="21" t="s">
        <v>656</v>
      </c>
      <c r="TL148" s="21" t="s">
        <v>656</v>
      </c>
      <c r="TZ148" s="21" t="s">
        <v>656</v>
      </c>
      <c r="WL148" s="21" t="s">
        <v>1752</v>
      </c>
      <c r="WM148" s="21" t="s">
        <v>1144</v>
      </c>
      <c r="WO148" s="21">
        <v>7.138575479E9</v>
      </c>
      <c r="WT148" s="21" t="s">
        <v>1752</v>
      </c>
      <c r="WU148" s="21" t="s">
        <v>1144</v>
      </c>
      <c r="WV148" s="21">
        <v>7.138575479E9</v>
      </c>
      <c r="WW148" s="21" t="s">
        <v>1754</v>
      </c>
      <c r="WX148" s="21" t="s">
        <v>2059</v>
      </c>
    </row>
    <row r="149">
      <c r="A149" s="21">
        <v>1331.0</v>
      </c>
      <c r="B149" s="22">
        <v>41964.0</v>
      </c>
      <c r="C149" s="21">
        <v>2014.0</v>
      </c>
      <c r="D149" s="21">
        <v>2.0140125E7</v>
      </c>
      <c r="E149" s="21">
        <v>16550.0</v>
      </c>
      <c r="F149" s="21" t="s">
        <v>701</v>
      </c>
      <c r="G149" s="21">
        <v>32099.0</v>
      </c>
      <c r="H149" s="21" t="s">
        <v>651</v>
      </c>
      <c r="I149" s="21" t="s">
        <v>652</v>
      </c>
      <c r="J149" s="21" t="s">
        <v>653</v>
      </c>
      <c r="K149" s="21" t="s">
        <v>654</v>
      </c>
      <c r="L149" s="21">
        <v>77002.0</v>
      </c>
      <c r="M149" s="23">
        <v>41944.41736111111</v>
      </c>
      <c r="P149" s="21">
        <v>32.17802</v>
      </c>
      <c r="Q149" s="21">
        <v>-97.33448</v>
      </c>
      <c r="R149" s="21">
        <v>1099919.0</v>
      </c>
      <c r="S149" s="24">
        <v>41944.45347222222</v>
      </c>
      <c r="U149" s="21" t="s">
        <v>657</v>
      </c>
      <c r="W149" s="21">
        <v>12231.0</v>
      </c>
      <c r="X149" s="21">
        <v>0.0</v>
      </c>
      <c r="Y149" s="21">
        <v>0.0</v>
      </c>
      <c r="Z149" s="21" t="s">
        <v>656</v>
      </c>
      <c r="AF149" s="21">
        <v>0.0</v>
      </c>
      <c r="AG149" s="21" t="s">
        <v>656</v>
      </c>
      <c r="AM149" s="21">
        <v>0.0</v>
      </c>
      <c r="AO149" s="21" t="s">
        <v>656</v>
      </c>
      <c r="AP149" s="21" t="s">
        <v>2060</v>
      </c>
      <c r="AW149" s="21" t="s">
        <v>656</v>
      </c>
      <c r="BB149" s="21" t="s">
        <v>656</v>
      </c>
      <c r="BI149" s="21">
        <v>0.0</v>
      </c>
      <c r="BJ149" s="24">
        <v>41944.25208333333</v>
      </c>
      <c r="BK149" s="24">
        <v>41944.25208333333</v>
      </c>
      <c r="BM149" s="21" t="s">
        <v>662</v>
      </c>
      <c r="BN149" s="21" t="s">
        <v>654</v>
      </c>
      <c r="BO149" s="21">
        <v>76031.0</v>
      </c>
      <c r="BP149" s="21" t="s">
        <v>2061</v>
      </c>
      <c r="BQ149" s="21" t="s">
        <v>797</v>
      </c>
      <c r="BR149" s="21" t="s">
        <v>735</v>
      </c>
      <c r="BS149" s="21" t="s">
        <v>1185</v>
      </c>
      <c r="BT149" s="21" t="s">
        <v>2062</v>
      </c>
      <c r="BU149" s="21" t="s">
        <v>2063</v>
      </c>
      <c r="BV149" s="21" t="s">
        <v>656</v>
      </c>
      <c r="BW149" s="21" t="s">
        <v>668</v>
      </c>
      <c r="BX149" s="21" t="s">
        <v>669</v>
      </c>
      <c r="BY149" s="21" t="s">
        <v>670</v>
      </c>
      <c r="CC149" s="21" t="s">
        <v>656</v>
      </c>
      <c r="CZ149" s="21" t="s">
        <v>671</v>
      </c>
      <c r="DA149" s="21" t="s">
        <v>672</v>
      </c>
      <c r="DB149" s="21" t="s">
        <v>1253</v>
      </c>
      <c r="EO149" s="21">
        <v>2006.0</v>
      </c>
      <c r="EQ149" s="21" t="s">
        <v>674</v>
      </c>
      <c r="ES149" s="21" t="s">
        <v>696</v>
      </c>
      <c r="FB149" s="21" t="s">
        <v>2064</v>
      </c>
      <c r="FC149" s="21" t="s">
        <v>677</v>
      </c>
      <c r="FD149" s="21" t="s">
        <v>656</v>
      </c>
      <c r="FF149" s="21">
        <v>201.0</v>
      </c>
      <c r="FH149" s="21" t="s">
        <v>656</v>
      </c>
      <c r="FI149" s="21" t="s">
        <v>656</v>
      </c>
      <c r="FJ149" s="21" t="s">
        <v>656</v>
      </c>
      <c r="FO149" s="21">
        <v>0.0</v>
      </c>
      <c r="FP149" s="21">
        <v>48312.0</v>
      </c>
      <c r="FQ149" s="21">
        <v>0.0</v>
      </c>
      <c r="FR149" s="21">
        <v>750.0</v>
      </c>
      <c r="FS149" s="21">
        <v>0.0</v>
      </c>
      <c r="FT149" s="21">
        <v>0.0</v>
      </c>
      <c r="FW149" s="21">
        <v>49062.0</v>
      </c>
      <c r="GF149" s="21">
        <v>921.0</v>
      </c>
      <c r="GH149" s="21">
        <v>1180.0</v>
      </c>
      <c r="GI149" s="21" t="s">
        <v>2057</v>
      </c>
      <c r="GM149" s="21" t="s">
        <v>679</v>
      </c>
      <c r="GN149" s="21" t="s">
        <v>656</v>
      </c>
      <c r="HK149" s="21" t="s">
        <v>721</v>
      </c>
      <c r="HL149" s="21" t="s">
        <v>659</v>
      </c>
      <c r="HM149" s="21" t="s">
        <v>659</v>
      </c>
      <c r="HN149" s="21" t="s">
        <v>659</v>
      </c>
      <c r="HO149" s="21" t="s">
        <v>659</v>
      </c>
      <c r="HP149" s="21" t="s">
        <v>659</v>
      </c>
      <c r="HQ149" s="21" t="s">
        <v>806</v>
      </c>
      <c r="HT149" s="21" t="s">
        <v>760</v>
      </c>
      <c r="HY149" s="21" t="s">
        <v>659</v>
      </c>
      <c r="HZ149" s="21" t="s">
        <v>659</v>
      </c>
      <c r="IH149" s="21" t="s">
        <v>656</v>
      </c>
      <c r="II149" s="21" t="s">
        <v>656</v>
      </c>
      <c r="IN149" s="21" t="s">
        <v>761</v>
      </c>
      <c r="IO149" s="21" t="s">
        <v>762</v>
      </c>
      <c r="OU149" s="21" t="s">
        <v>762</v>
      </c>
      <c r="OV149" s="21" t="s">
        <v>659</v>
      </c>
      <c r="PG149" s="21" t="s">
        <v>659</v>
      </c>
      <c r="PH149" s="21" t="s">
        <v>2065</v>
      </c>
      <c r="QE149" s="21" t="s">
        <v>659</v>
      </c>
      <c r="QF149" s="21" t="s">
        <v>2066</v>
      </c>
      <c r="WL149" s="21" t="s">
        <v>1709</v>
      </c>
      <c r="WM149" s="21" t="s">
        <v>984</v>
      </c>
      <c r="WN149" s="21" t="s">
        <v>1712</v>
      </c>
      <c r="WO149" s="21" t="s">
        <v>1711</v>
      </c>
      <c r="WP149" s="21" t="s">
        <v>2067</v>
      </c>
      <c r="WT149" s="21" t="s">
        <v>1709</v>
      </c>
      <c r="WU149" s="21" t="s">
        <v>984</v>
      </c>
      <c r="WV149" s="21" t="s">
        <v>1711</v>
      </c>
      <c r="WW149" s="21" t="s">
        <v>1712</v>
      </c>
      <c r="WX149" s="21" t="s">
        <v>2068</v>
      </c>
    </row>
    <row r="150">
      <c r="A150" s="21">
        <v>1341.0</v>
      </c>
      <c r="B150" s="22">
        <v>41955.0</v>
      </c>
      <c r="C150" s="21">
        <v>2014.0</v>
      </c>
      <c r="D150" s="21">
        <v>2.0140116E7</v>
      </c>
      <c r="E150" s="21">
        <v>17209.0</v>
      </c>
      <c r="F150" s="21" t="s">
        <v>778</v>
      </c>
      <c r="G150" s="21">
        <v>15105.0</v>
      </c>
      <c r="H150" s="21" t="s">
        <v>794</v>
      </c>
      <c r="I150" s="21" t="s">
        <v>652</v>
      </c>
      <c r="J150" s="21" t="s">
        <v>653</v>
      </c>
      <c r="K150" s="21" t="s">
        <v>654</v>
      </c>
      <c r="L150" s="21">
        <v>77002.0</v>
      </c>
      <c r="M150" s="23">
        <v>41925.427083333336</v>
      </c>
      <c r="P150" s="21">
        <v>38.76742</v>
      </c>
      <c r="Q150" s="21">
        <v>-93.8759</v>
      </c>
      <c r="R150" s="21">
        <v>1098139.0</v>
      </c>
      <c r="S150" s="24">
        <v>41925.46319444444</v>
      </c>
      <c r="U150" s="21" t="s">
        <v>657</v>
      </c>
      <c r="W150" s="21">
        <v>28670.0</v>
      </c>
      <c r="X150" s="21">
        <v>0.0</v>
      </c>
      <c r="Y150" s="21">
        <v>0.0</v>
      </c>
      <c r="Z150" s="21" t="s">
        <v>656</v>
      </c>
      <c r="AF150" s="21">
        <v>0.0</v>
      </c>
      <c r="AG150" s="21" t="s">
        <v>656</v>
      </c>
      <c r="AM150" s="21">
        <v>0.0</v>
      </c>
      <c r="AO150" s="21" t="s">
        <v>659</v>
      </c>
      <c r="AQ150" s="24">
        <v>41925.475694444445</v>
      </c>
      <c r="AR150" s="24">
        <v>41950.464583333334</v>
      </c>
      <c r="AW150" s="21" t="s">
        <v>659</v>
      </c>
      <c r="BB150" s="21" t="s">
        <v>656</v>
      </c>
      <c r="BI150" s="21">
        <v>1.0</v>
      </c>
      <c r="BJ150" s="24">
        <v>41925.427083333336</v>
      </c>
      <c r="BK150" s="24">
        <v>41925.47222222222</v>
      </c>
      <c r="BM150" s="21" t="s">
        <v>662</v>
      </c>
      <c r="BN150" s="21" t="s">
        <v>795</v>
      </c>
      <c r="BO150" s="21">
        <v>64019.0</v>
      </c>
      <c r="BP150" s="21" t="s">
        <v>2069</v>
      </c>
      <c r="BQ150" s="21" t="s">
        <v>2070</v>
      </c>
      <c r="BR150" s="21" t="s">
        <v>735</v>
      </c>
      <c r="BS150" s="21" t="s">
        <v>2071</v>
      </c>
      <c r="BT150" s="21" t="s">
        <v>2072</v>
      </c>
      <c r="BU150" s="21" t="s">
        <v>798</v>
      </c>
      <c r="BV150" s="21" t="s">
        <v>656</v>
      </c>
      <c r="BW150" s="21" t="s">
        <v>738</v>
      </c>
      <c r="BX150" s="21" t="s">
        <v>739</v>
      </c>
      <c r="BY150" s="21" t="s">
        <v>740</v>
      </c>
      <c r="CA150" s="21">
        <v>36.0</v>
      </c>
      <c r="CC150" s="21" t="s">
        <v>656</v>
      </c>
      <c r="CZ150" s="21" t="s">
        <v>712</v>
      </c>
      <c r="DA150" s="21" t="s">
        <v>741</v>
      </c>
      <c r="DB150" s="21" t="s">
        <v>714</v>
      </c>
      <c r="DC150" s="21" t="s">
        <v>715</v>
      </c>
      <c r="DD150" s="21">
        <v>22.0</v>
      </c>
      <c r="DF150" s="21">
        <v>0.312</v>
      </c>
      <c r="DG150" s="21">
        <v>30700.0</v>
      </c>
      <c r="DH150" s="21" t="s">
        <v>2073</v>
      </c>
      <c r="DI150" s="21" t="s">
        <v>802</v>
      </c>
      <c r="DK150" s="21" t="s">
        <v>2074</v>
      </c>
      <c r="DL150" s="21" t="s">
        <v>743</v>
      </c>
      <c r="EO150" s="21">
        <v>1931.0</v>
      </c>
      <c r="EP150" s="21">
        <v>1931.0</v>
      </c>
      <c r="EQ150" s="21" t="s">
        <v>674</v>
      </c>
      <c r="ES150" s="21" t="s">
        <v>696</v>
      </c>
      <c r="FB150" s="21" t="s">
        <v>2075</v>
      </c>
      <c r="FC150" s="21" t="s">
        <v>677</v>
      </c>
      <c r="FD150" s="21" t="s">
        <v>656</v>
      </c>
      <c r="FF150" s="21">
        <v>331.0</v>
      </c>
      <c r="FH150" s="21" t="s">
        <v>656</v>
      </c>
      <c r="FI150" s="21" t="s">
        <v>659</v>
      </c>
      <c r="FJ150" s="21" t="s">
        <v>656</v>
      </c>
      <c r="FO150" s="21">
        <v>42000.0</v>
      </c>
      <c r="FP150" s="21">
        <v>103976.0</v>
      </c>
      <c r="FQ150" s="21">
        <v>0.0</v>
      </c>
      <c r="FR150" s="21">
        <v>628509.0</v>
      </c>
      <c r="FS150" s="21">
        <v>2100.0</v>
      </c>
      <c r="FT150" s="21">
        <v>224964.0</v>
      </c>
      <c r="FU150" s="21" t="s">
        <v>2076</v>
      </c>
      <c r="FW150" s="21">
        <v>1001549.0</v>
      </c>
      <c r="GF150" s="21">
        <v>441.0</v>
      </c>
      <c r="GH150" s="21">
        <v>475.0</v>
      </c>
      <c r="GI150" s="21" t="s">
        <v>678</v>
      </c>
      <c r="GM150" s="21" t="s">
        <v>679</v>
      </c>
      <c r="GN150" s="21" t="s">
        <v>656</v>
      </c>
      <c r="GS150" s="21" t="s">
        <v>720</v>
      </c>
      <c r="GT150" s="21" t="s">
        <v>720</v>
      </c>
      <c r="GU150" s="21">
        <v>39444.0</v>
      </c>
      <c r="GV150" s="21" t="s">
        <v>659</v>
      </c>
      <c r="HD150" s="21" t="s">
        <v>656</v>
      </c>
      <c r="HK150" s="21" t="s">
        <v>721</v>
      </c>
      <c r="HL150" s="21" t="s">
        <v>659</v>
      </c>
      <c r="HM150" s="21" t="s">
        <v>659</v>
      </c>
      <c r="HN150" s="21" t="s">
        <v>659</v>
      </c>
      <c r="HO150" s="21" t="s">
        <v>659</v>
      </c>
      <c r="HP150" s="21" t="s">
        <v>659</v>
      </c>
      <c r="HQ150" s="21" t="s">
        <v>681</v>
      </c>
      <c r="HT150" s="21" t="s">
        <v>723</v>
      </c>
      <c r="HU150" s="21" t="s">
        <v>2077</v>
      </c>
      <c r="IH150" s="21" t="s">
        <v>659</v>
      </c>
      <c r="II150" s="21" t="s">
        <v>656</v>
      </c>
      <c r="IJ150" s="21">
        <v>3.0</v>
      </c>
      <c r="IK150" s="21">
        <v>0.0</v>
      </c>
      <c r="IN150" s="21" t="s">
        <v>808</v>
      </c>
      <c r="IO150" s="21" t="s">
        <v>809</v>
      </c>
      <c r="NS150" s="21" t="s">
        <v>809</v>
      </c>
      <c r="NT150" s="21" t="s">
        <v>659</v>
      </c>
      <c r="NU150" s="21" t="s">
        <v>659</v>
      </c>
      <c r="OC150" s="21" t="s">
        <v>659</v>
      </c>
      <c r="OD150" s="21" t="s">
        <v>2078</v>
      </c>
      <c r="OI150" s="21" t="s">
        <v>659</v>
      </c>
      <c r="OP150" s="21" t="s">
        <v>659</v>
      </c>
      <c r="QW150" s="21" t="s">
        <v>659</v>
      </c>
      <c r="QX150" s="21" t="s">
        <v>659</v>
      </c>
      <c r="RA150" s="21" t="s">
        <v>659</v>
      </c>
      <c r="RE150" s="21">
        <v>2009.0</v>
      </c>
      <c r="SK150" s="21">
        <v>2009.0</v>
      </c>
      <c r="TI150" s="21" t="s">
        <v>659</v>
      </c>
      <c r="TJ150" s="21">
        <v>1953.0</v>
      </c>
      <c r="TK150" s="21">
        <v>736.0</v>
      </c>
      <c r="TL150" s="21" t="s">
        <v>656</v>
      </c>
      <c r="TZ150" s="21" t="s">
        <v>656</v>
      </c>
      <c r="WL150" s="21" t="s">
        <v>1752</v>
      </c>
      <c r="WM150" s="21" t="s">
        <v>984</v>
      </c>
      <c r="WN150" s="21" t="s">
        <v>1754</v>
      </c>
      <c r="WO150" s="21">
        <v>7.138575479E9</v>
      </c>
      <c r="WT150" s="21" t="s">
        <v>1752</v>
      </c>
      <c r="WU150" s="21" t="s">
        <v>984</v>
      </c>
      <c r="WV150" s="21">
        <v>7.138575479E9</v>
      </c>
      <c r="WW150" s="21" t="s">
        <v>1754</v>
      </c>
      <c r="WX150" s="21" t="s">
        <v>2079</v>
      </c>
    </row>
    <row r="151">
      <c r="A151" s="21">
        <v>1346.0</v>
      </c>
      <c r="B151" s="22">
        <v>41946.0</v>
      </c>
      <c r="C151" s="21">
        <v>2014.0</v>
      </c>
      <c r="D151" s="21">
        <v>2.014011E7</v>
      </c>
      <c r="E151" s="21">
        <v>16634.0</v>
      </c>
      <c r="F151" s="21" t="s">
        <v>778</v>
      </c>
      <c r="G151" s="21">
        <v>32099.0</v>
      </c>
      <c r="H151" s="21" t="s">
        <v>651</v>
      </c>
      <c r="I151" s="21" t="s">
        <v>652</v>
      </c>
      <c r="J151" s="21" t="s">
        <v>653</v>
      </c>
      <c r="K151" s="21" t="s">
        <v>654</v>
      </c>
      <c r="L151" s="21">
        <v>77002.0</v>
      </c>
      <c r="M151" s="23">
        <v>41918.70694444444</v>
      </c>
      <c r="P151" s="21">
        <v>33.30815</v>
      </c>
      <c r="Q151" s="21">
        <v>-97.88025</v>
      </c>
      <c r="R151" s="21">
        <v>1097551.0</v>
      </c>
      <c r="S151" s="24">
        <v>41918.75</v>
      </c>
      <c r="U151" s="21" t="s">
        <v>657</v>
      </c>
      <c r="W151" s="21">
        <v>35648.0</v>
      </c>
      <c r="X151" s="21">
        <v>0.0</v>
      </c>
      <c r="Y151" s="21">
        <v>0.0</v>
      </c>
      <c r="Z151" s="21" t="s">
        <v>656</v>
      </c>
      <c r="AF151" s="21">
        <v>0.0</v>
      </c>
      <c r="AG151" s="21" t="s">
        <v>656</v>
      </c>
      <c r="AM151" s="21">
        <v>0.0</v>
      </c>
      <c r="AO151" s="21" t="s">
        <v>659</v>
      </c>
      <c r="AQ151" s="24">
        <v>41918.708333333336</v>
      </c>
      <c r="AR151" s="24">
        <v>41921.45138888889</v>
      </c>
      <c r="AW151" s="21" t="s">
        <v>656</v>
      </c>
      <c r="BB151" s="21" t="s">
        <v>656</v>
      </c>
      <c r="BI151" s="21">
        <v>0.0</v>
      </c>
      <c r="BJ151" s="24">
        <v>41918.70694444444</v>
      </c>
      <c r="BK151" s="24">
        <v>41918.70694444444</v>
      </c>
      <c r="BM151" s="21" t="s">
        <v>662</v>
      </c>
      <c r="BN151" s="21" t="s">
        <v>654</v>
      </c>
      <c r="BO151" s="21">
        <v>76431.0</v>
      </c>
      <c r="BP151" s="21" t="s">
        <v>2080</v>
      </c>
      <c r="BQ151" s="21" t="s">
        <v>2081</v>
      </c>
      <c r="BR151" s="21" t="s">
        <v>735</v>
      </c>
      <c r="BS151" s="21" t="s">
        <v>2082</v>
      </c>
      <c r="BT151" s="21" t="s">
        <v>2083</v>
      </c>
      <c r="BU151" s="21" t="s">
        <v>2084</v>
      </c>
      <c r="BV151" s="21" t="s">
        <v>656</v>
      </c>
      <c r="BW151" s="21" t="s">
        <v>738</v>
      </c>
      <c r="BX151" s="21" t="s">
        <v>739</v>
      </c>
      <c r="BY151" s="21" t="s">
        <v>740</v>
      </c>
      <c r="CA151" s="21">
        <v>24.0</v>
      </c>
      <c r="CC151" s="21" t="s">
        <v>656</v>
      </c>
      <c r="CZ151" s="21" t="s">
        <v>671</v>
      </c>
      <c r="DA151" s="21" t="s">
        <v>741</v>
      </c>
      <c r="DB151" s="21" t="s">
        <v>714</v>
      </c>
      <c r="DC151" s="21" t="s">
        <v>715</v>
      </c>
      <c r="DD151" s="21">
        <v>8.625</v>
      </c>
      <c r="DF151" s="21">
        <v>0.188</v>
      </c>
      <c r="DG151" s="21">
        <v>42000.0</v>
      </c>
      <c r="DH151" s="21" t="s">
        <v>964</v>
      </c>
      <c r="DI151" s="21" t="s">
        <v>742</v>
      </c>
      <c r="DK151" s="21" t="s">
        <v>2085</v>
      </c>
      <c r="DL151" s="21" t="s">
        <v>743</v>
      </c>
      <c r="EO151" s="21">
        <v>1974.0</v>
      </c>
      <c r="EP151" s="21">
        <v>1974.0</v>
      </c>
      <c r="EQ151" s="21" t="s">
        <v>674</v>
      </c>
      <c r="ES151" s="21" t="s">
        <v>744</v>
      </c>
      <c r="EX151" s="21" t="s">
        <v>773</v>
      </c>
      <c r="EZ151" s="21">
        <v>8.0</v>
      </c>
      <c r="FA151" s="21">
        <v>8.0</v>
      </c>
      <c r="FC151" s="21" t="s">
        <v>677</v>
      </c>
      <c r="FD151" s="21" t="s">
        <v>656</v>
      </c>
      <c r="FF151" s="21">
        <v>194.0</v>
      </c>
      <c r="FH151" s="21" t="s">
        <v>656</v>
      </c>
      <c r="FI151" s="21" t="s">
        <v>656</v>
      </c>
      <c r="FJ151" s="21" t="s">
        <v>656</v>
      </c>
      <c r="FO151" s="21">
        <v>500.0</v>
      </c>
      <c r="FP151" s="21">
        <v>143385.0</v>
      </c>
      <c r="FQ151" s="21">
        <v>0.0</v>
      </c>
      <c r="FR151" s="21">
        <v>35000.0</v>
      </c>
      <c r="FS151" s="21">
        <v>500.0</v>
      </c>
      <c r="FT151" s="21">
        <v>0.0</v>
      </c>
      <c r="FW151" s="21">
        <v>179385.0</v>
      </c>
      <c r="GF151" s="21">
        <v>870.0</v>
      </c>
      <c r="GH151" s="21">
        <v>945.0</v>
      </c>
      <c r="GI151" s="21" t="s">
        <v>719</v>
      </c>
      <c r="GM151" s="21" t="s">
        <v>679</v>
      </c>
      <c r="GN151" s="21" t="s">
        <v>656</v>
      </c>
      <c r="GS151" s="21" t="s">
        <v>1228</v>
      </c>
      <c r="GT151" s="21" t="s">
        <v>720</v>
      </c>
      <c r="GU151" s="21">
        <v>46092.0</v>
      </c>
      <c r="GV151" s="21" t="s">
        <v>656</v>
      </c>
      <c r="HB151" s="21" t="s">
        <v>659</v>
      </c>
      <c r="HC151" s="21" t="s">
        <v>2086</v>
      </c>
      <c r="HD151" s="21" t="s">
        <v>656</v>
      </c>
      <c r="HK151" s="21" t="s">
        <v>721</v>
      </c>
      <c r="HL151" s="21" t="s">
        <v>659</v>
      </c>
      <c r="HM151" s="21" t="s">
        <v>659</v>
      </c>
      <c r="HN151" s="21" t="s">
        <v>659</v>
      </c>
      <c r="HO151" s="21" t="s">
        <v>659</v>
      </c>
      <c r="HP151" s="21" t="s">
        <v>659</v>
      </c>
      <c r="HQ151" s="21" t="s">
        <v>696</v>
      </c>
      <c r="HR151" s="21" t="s">
        <v>2087</v>
      </c>
      <c r="HT151" s="21" t="s">
        <v>760</v>
      </c>
      <c r="HY151" s="21" t="s">
        <v>659</v>
      </c>
      <c r="HZ151" s="21" t="s">
        <v>659</v>
      </c>
      <c r="IH151" s="21" t="s">
        <v>656</v>
      </c>
      <c r="II151" s="21" t="s">
        <v>656</v>
      </c>
      <c r="IN151" s="21" t="s">
        <v>725</v>
      </c>
      <c r="IO151" s="21" t="s">
        <v>900</v>
      </c>
      <c r="IP151" s="21" t="s">
        <v>900</v>
      </c>
      <c r="IQ151" s="21" t="s">
        <v>1014</v>
      </c>
      <c r="IX151" s="21" t="s">
        <v>659</v>
      </c>
      <c r="IY151" s="21" t="s">
        <v>2088</v>
      </c>
      <c r="JB151" s="21" t="s">
        <v>659</v>
      </c>
      <c r="JF151" s="21" t="s">
        <v>659</v>
      </c>
      <c r="JG151" s="21" t="s">
        <v>659</v>
      </c>
      <c r="JH151" s="21">
        <v>1974.0</v>
      </c>
      <c r="JI151" s="21" t="s">
        <v>656</v>
      </c>
      <c r="JJ151" s="21" t="s">
        <v>659</v>
      </c>
      <c r="JK151" s="21" t="s">
        <v>659</v>
      </c>
      <c r="JO151" s="21">
        <v>2014.0</v>
      </c>
      <c r="JS151" s="21" t="s">
        <v>659</v>
      </c>
      <c r="QW151" s="21" t="s">
        <v>656</v>
      </c>
      <c r="TI151" s="21" t="s">
        <v>656</v>
      </c>
      <c r="TL151" s="21" t="s">
        <v>656</v>
      </c>
      <c r="TZ151" s="21" t="s">
        <v>656</v>
      </c>
      <c r="WL151" s="21" t="s">
        <v>1709</v>
      </c>
      <c r="WM151" s="21" t="s">
        <v>984</v>
      </c>
      <c r="WN151" s="21" t="s">
        <v>1712</v>
      </c>
      <c r="WO151" s="21" t="s">
        <v>1711</v>
      </c>
      <c r="WP151" s="21" t="s">
        <v>2067</v>
      </c>
      <c r="WT151" s="21" t="s">
        <v>1709</v>
      </c>
      <c r="WU151" s="21" t="s">
        <v>984</v>
      </c>
      <c r="WV151" s="21" t="s">
        <v>1711</v>
      </c>
      <c r="WW151" s="21" t="s">
        <v>1712</v>
      </c>
      <c r="WX151" s="21" t="s">
        <v>2089</v>
      </c>
    </row>
    <row r="152">
      <c r="A152" s="21">
        <v>1348.0</v>
      </c>
      <c r="B152" s="22">
        <v>41933.0</v>
      </c>
      <c r="C152" s="21">
        <v>2014.0</v>
      </c>
      <c r="D152" s="21">
        <v>2.0140108E7</v>
      </c>
      <c r="E152" s="21">
        <v>16613.0</v>
      </c>
      <c r="F152" s="21" t="s">
        <v>778</v>
      </c>
      <c r="G152" s="21">
        <v>15105.0</v>
      </c>
      <c r="H152" s="21" t="s">
        <v>794</v>
      </c>
      <c r="I152" s="21" t="s">
        <v>652</v>
      </c>
      <c r="J152" s="21" t="s">
        <v>653</v>
      </c>
      <c r="K152" s="21" t="s">
        <v>654</v>
      </c>
      <c r="L152" s="21">
        <v>77002.0</v>
      </c>
      <c r="M152" s="23">
        <v>41905.03125</v>
      </c>
      <c r="P152" s="21">
        <v>40.2258</v>
      </c>
      <c r="Q152" s="21">
        <v>-85.8425</v>
      </c>
      <c r="R152" s="21">
        <v>1096161.0</v>
      </c>
      <c r="S152" s="24">
        <v>41905.11319444444</v>
      </c>
      <c r="U152" s="21" t="s">
        <v>657</v>
      </c>
      <c r="W152" s="21">
        <v>3164.0</v>
      </c>
      <c r="X152" s="21">
        <v>13490.0</v>
      </c>
      <c r="Y152" s="21">
        <v>0.0</v>
      </c>
      <c r="Z152" s="21" t="s">
        <v>656</v>
      </c>
      <c r="AF152" s="21">
        <v>0.0</v>
      </c>
      <c r="AG152" s="21" t="s">
        <v>656</v>
      </c>
      <c r="AM152" s="21">
        <v>0.0</v>
      </c>
      <c r="AO152" s="21" t="s">
        <v>659</v>
      </c>
      <c r="AQ152" s="24">
        <v>41905.15625</v>
      </c>
      <c r="AR152" s="24">
        <v>41907.60902777778</v>
      </c>
      <c r="AW152" s="21" t="s">
        <v>659</v>
      </c>
      <c r="BB152" s="21" t="s">
        <v>656</v>
      </c>
      <c r="BI152" s="21">
        <v>2.0</v>
      </c>
      <c r="BJ152" s="24">
        <v>41905.08472222222</v>
      </c>
      <c r="BK152" s="24">
        <v>41905.08472222222</v>
      </c>
      <c r="BM152" s="21" t="s">
        <v>662</v>
      </c>
      <c r="BN152" s="21" t="s">
        <v>1958</v>
      </c>
      <c r="BO152" s="21">
        <v>46036.0</v>
      </c>
      <c r="BP152" s="21" t="s">
        <v>2090</v>
      </c>
      <c r="BQ152" s="21" t="s">
        <v>2091</v>
      </c>
      <c r="BR152" s="21" t="s">
        <v>735</v>
      </c>
      <c r="BS152" s="21" t="s">
        <v>2092</v>
      </c>
      <c r="BT152" s="21" t="s">
        <v>2093</v>
      </c>
      <c r="BU152" s="21" t="s">
        <v>2094</v>
      </c>
      <c r="BV152" s="21" t="s">
        <v>656</v>
      </c>
      <c r="BW152" s="21" t="s">
        <v>738</v>
      </c>
      <c r="BX152" s="21" t="s">
        <v>669</v>
      </c>
      <c r="BY152" s="21" t="s">
        <v>670</v>
      </c>
      <c r="CC152" s="21" t="s">
        <v>656</v>
      </c>
      <c r="CZ152" s="21" t="s">
        <v>712</v>
      </c>
      <c r="DA152" s="21" t="s">
        <v>741</v>
      </c>
      <c r="DB152" s="21" t="s">
        <v>696</v>
      </c>
      <c r="EN152" s="21" t="s">
        <v>2095</v>
      </c>
      <c r="EO152" s="21">
        <v>1936.0</v>
      </c>
      <c r="EQ152" s="21" t="s">
        <v>674</v>
      </c>
      <c r="ES152" s="21" t="s">
        <v>696</v>
      </c>
      <c r="FB152" s="21" t="s">
        <v>2096</v>
      </c>
      <c r="FC152" s="21" t="s">
        <v>677</v>
      </c>
      <c r="FD152" s="21" t="s">
        <v>656</v>
      </c>
      <c r="FF152" s="21">
        <v>418.0</v>
      </c>
      <c r="FH152" s="21" t="s">
        <v>656</v>
      </c>
      <c r="FI152" s="21" t="s">
        <v>656</v>
      </c>
      <c r="FJ152" s="21" t="s">
        <v>656</v>
      </c>
      <c r="FO152" s="21">
        <v>3200.0</v>
      </c>
      <c r="FP152" s="21">
        <v>12370.0</v>
      </c>
      <c r="FQ152" s="21">
        <v>41324.0</v>
      </c>
      <c r="FR152" s="21">
        <v>5525.0</v>
      </c>
      <c r="FS152" s="21">
        <v>3953.0</v>
      </c>
      <c r="FT152" s="21">
        <v>11417.0</v>
      </c>
      <c r="FU152" s="21" t="s">
        <v>2097</v>
      </c>
      <c r="FW152" s="21">
        <v>77789.0</v>
      </c>
      <c r="GF152" s="21">
        <v>578.0</v>
      </c>
      <c r="GH152" s="21">
        <v>760.0</v>
      </c>
      <c r="GI152" s="21" t="s">
        <v>719</v>
      </c>
      <c r="GM152" s="21" t="s">
        <v>679</v>
      </c>
      <c r="GN152" s="21" t="s">
        <v>656</v>
      </c>
      <c r="GS152" s="21" t="s">
        <v>720</v>
      </c>
      <c r="GT152" s="21" t="s">
        <v>720</v>
      </c>
      <c r="GU152" s="21">
        <v>98155.0</v>
      </c>
      <c r="GV152" s="21" t="s">
        <v>659</v>
      </c>
      <c r="HD152" s="21" t="s">
        <v>656</v>
      </c>
      <c r="HK152" s="21" t="s">
        <v>721</v>
      </c>
      <c r="HL152" s="21" t="s">
        <v>659</v>
      </c>
      <c r="HM152" s="21" t="s">
        <v>659</v>
      </c>
      <c r="HN152" s="21" t="s">
        <v>659</v>
      </c>
      <c r="HO152" s="21" t="s">
        <v>656</v>
      </c>
      <c r="HP152" s="21" t="s">
        <v>656</v>
      </c>
      <c r="HQ152" s="21" t="s">
        <v>941</v>
      </c>
      <c r="HT152" s="21" t="s">
        <v>723</v>
      </c>
      <c r="HU152" s="21" t="s">
        <v>2098</v>
      </c>
      <c r="IH152" s="21" t="s">
        <v>656</v>
      </c>
      <c r="II152" s="21" t="s">
        <v>656</v>
      </c>
      <c r="IN152" s="21" t="s">
        <v>925</v>
      </c>
      <c r="IO152" s="21" t="s">
        <v>926</v>
      </c>
      <c r="MP152" s="21" t="s">
        <v>926</v>
      </c>
      <c r="MQ152" s="21" t="s">
        <v>927</v>
      </c>
      <c r="WL152" s="21" t="s">
        <v>1752</v>
      </c>
      <c r="WM152" s="21" t="s">
        <v>1753</v>
      </c>
      <c r="WN152" s="21" t="s">
        <v>1754</v>
      </c>
      <c r="WO152" s="21" t="s">
        <v>1935</v>
      </c>
      <c r="WT152" s="21" t="s">
        <v>1752</v>
      </c>
      <c r="WU152" s="21" t="s">
        <v>1753</v>
      </c>
      <c r="WV152" s="21" t="s">
        <v>1935</v>
      </c>
      <c r="WW152" s="21" t="s">
        <v>1754</v>
      </c>
      <c r="WX152" s="21" t="s">
        <v>2099</v>
      </c>
    </row>
    <row r="153">
      <c r="A153" s="21">
        <v>1391.0</v>
      </c>
      <c r="B153" s="22">
        <v>41803.0</v>
      </c>
      <c r="C153" s="21">
        <v>2014.0</v>
      </c>
      <c r="D153" s="21">
        <v>2.0140066E7</v>
      </c>
      <c r="E153" s="21">
        <v>16524.0</v>
      </c>
      <c r="F153" s="21" t="s">
        <v>778</v>
      </c>
      <c r="G153" s="21">
        <v>5304.0</v>
      </c>
      <c r="H153" s="21" t="s">
        <v>932</v>
      </c>
      <c r="I153" s="21" t="s">
        <v>652</v>
      </c>
      <c r="J153" s="21" t="s">
        <v>653</v>
      </c>
      <c r="K153" s="21" t="s">
        <v>654</v>
      </c>
      <c r="L153" s="21">
        <v>77002.0</v>
      </c>
      <c r="M153" s="23">
        <v>41776.25486111111</v>
      </c>
      <c r="P153" s="21">
        <v>28.46301</v>
      </c>
      <c r="Q153" s="21">
        <v>-80.77735</v>
      </c>
      <c r="R153" s="21">
        <v>1083061.0</v>
      </c>
      <c r="S153" s="24">
        <v>41776.333333333336</v>
      </c>
      <c r="U153" s="21" t="s">
        <v>657</v>
      </c>
      <c r="W153" s="21">
        <v>39797.0</v>
      </c>
      <c r="X153" s="21">
        <v>3268.0</v>
      </c>
      <c r="Y153" s="21">
        <v>0.0</v>
      </c>
      <c r="Z153" s="21" t="s">
        <v>656</v>
      </c>
      <c r="AF153" s="21">
        <v>0.0</v>
      </c>
      <c r="AG153" s="21" t="s">
        <v>656</v>
      </c>
      <c r="AM153" s="21">
        <v>0.0</v>
      </c>
      <c r="AO153" s="21" t="s">
        <v>659</v>
      </c>
      <c r="AQ153" s="24">
        <v>41776.29861111111</v>
      </c>
      <c r="AR153" s="24">
        <v>41933.5625</v>
      </c>
      <c r="AW153" s="21" t="s">
        <v>656</v>
      </c>
      <c r="BB153" s="21" t="s">
        <v>656</v>
      </c>
      <c r="BI153" s="21">
        <v>6.0</v>
      </c>
      <c r="BJ153" s="24">
        <v>41776.270833333336</v>
      </c>
      <c r="BK153" s="24">
        <v>41776.288194444445</v>
      </c>
      <c r="BM153" s="21" t="s">
        <v>662</v>
      </c>
      <c r="BN153" s="21" t="s">
        <v>934</v>
      </c>
      <c r="BO153" s="21">
        <v>32927.0</v>
      </c>
      <c r="BP153" s="21" t="s">
        <v>2100</v>
      </c>
      <c r="BQ153" s="21" t="s">
        <v>2101</v>
      </c>
      <c r="BR153" s="21" t="s">
        <v>892</v>
      </c>
      <c r="BS153" s="21">
        <v>30.7</v>
      </c>
      <c r="BT153" s="21" t="s">
        <v>2102</v>
      </c>
      <c r="BU153" s="21" t="s">
        <v>2103</v>
      </c>
      <c r="BV153" s="21" t="s">
        <v>656</v>
      </c>
      <c r="BW153" s="21" t="s">
        <v>738</v>
      </c>
      <c r="BX153" s="21" t="s">
        <v>739</v>
      </c>
      <c r="BY153" s="21" t="s">
        <v>740</v>
      </c>
      <c r="CA153" s="21">
        <v>48.0</v>
      </c>
      <c r="CC153" s="21" t="s">
        <v>656</v>
      </c>
      <c r="CZ153" s="21" t="s">
        <v>712</v>
      </c>
      <c r="DA153" s="21" t="s">
        <v>741</v>
      </c>
      <c r="DB153" s="21" t="s">
        <v>714</v>
      </c>
      <c r="DC153" s="21" t="s">
        <v>769</v>
      </c>
      <c r="DD153" s="21">
        <v>8.625</v>
      </c>
      <c r="DF153" s="21">
        <v>0.203</v>
      </c>
      <c r="DG153" s="21">
        <v>52000.0</v>
      </c>
      <c r="DH153" s="21" t="s">
        <v>1533</v>
      </c>
      <c r="DI153" s="21" t="s">
        <v>1645</v>
      </c>
      <c r="DK153" s="21" t="s">
        <v>2104</v>
      </c>
      <c r="DL153" s="21" t="s">
        <v>743</v>
      </c>
      <c r="EO153" s="21">
        <v>1962.0</v>
      </c>
      <c r="EP153" s="21">
        <v>1962.0</v>
      </c>
      <c r="EQ153" s="21" t="s">
        <v>674</v>
      </c>
      <c r="ES153" s="21" t="s">
        <v>744</v>
      </c>
      <c r="EX153" s="21" t="s">
        <v>773</v>
      </c>
      <c r="EZ153" s="21">
        <v>118.0</v>
      </c>
      <c r="FA153" s="21">
        <v>21.0</v>
      </c>
      <c r="FC153" s="21" t="s">
        <v>677</v>
      </c>
      <c r="FD153" s="21" t="s">
        <v>656</v>
      </c>
      <c r="FF153" s="21">
        <v>186.0</v>
      </c>
      <c r="FH153" s="21" t="s">
        <v>656</v>
      </c>
      <c r="FI153" s="21" t="s">
        <v>656</v>
      </c>
      <c r="FJ153" s="21" t="s">
        <v>656</v>
      </c>
      <c r="FO153" s="21">
        <v>0.0</v>
      </c>
      <c r="FP153" s="21">
        <v>179285.0</v>
      </c>
      <c r="FQ153" s="21">
        <v>14722.0</v>
      </c>
      <c r="FR153" s="21">
        <v>8000.0</v>
      </c>
      <c r="FS153" s="21">
        <v>12000.0</v>
      </c>
      <c r="FT153" s="21">
        <v>1280000.0</v>
      </c>
      <c r="FU153" s="21" t="s">
        <v>2105</v>
      </c>
      <c r="FW153" s="21">
        <v>1494007.0</v>
      </c>
      <c r="GF153" s="21">
        <v>938.0</v>
      </c>
      <c r="GH153" s="21">
        <v>975.0</v>
      </c>
      <c r="GI153" s="21" t="s">
        <v>2057</v>
      </c>
      <c r="GM153" s="21" t="s">
        <v>679</v>
      </c>
      <c r="GN153" s="21" t="s">
        <v>656</v>
      </c>
      <c r="GS153" s="21" t="s">
        <v>720</v>
      </c>
      <c r="GT153" s="21" t="s">
        <v>720</v>
      </c>
      <c r="GU153" s="21">
        <v>17533.0</v>
      </c>
      <c r="GV153" s="21" t="s">
        <v>659</v>
      </c>
      <c r="HD153" s="21" t="s">
        <v>656</v>
      </c>
      <c r="HK153" s="21" t="s">
        <v>721</v>
      </c>
      <c r="HL153" s="21" t="s">
        <v>659</v>
      </c>
      <c r="HM153" s="21" t="s">
        <v>659</v>
      </c>
      <c r="HN153" s="21" t="s">
        <v>659</v>
      </c>
      <c r="HO153" s="21" t="s">
        <v>659</v>
      </c>
      <c r="HP153" s="21" t="s">
        <v>659</v>
      </c>
      <c r="HQ153" s="21" t="s">
        <v>681</v>
      </c>
      <c r="HT153" s="21" t="s">
        <v>723</v>
      </c>
      <c r="HU153" s="21" t="s">
        <v>2106</v>
      </c>
      <c r="IH153" s="21" t="s">
        <v>659</v>
      </c>
      <c r="II153" s="21" t="s">
        <v>656</v>
      </c>
      <c r="IJ153" s="21">
        <v>1.0</v>
      </c>
      <c r="IK153" s="21">
        <v>0.0</v>
      </c>
      <c r="IN153" s="21" t="s">
        <v>808</v>
      </c>
      <c r="IO153" s="21" t="s">
        <v>1773</v>
      </c>
      <c r="NS153" s="21" t="s">
        <v>1773</v>
      </c>
      <c r="NU153" s="21" t="s">
        <v>659</v>
      </c>
      <c r="OC153" s="21" t="s">
        <v>659</v>
      </c>
      <c r="OD153" s="21" t="s">
        <v>2107</v>
      </c>
      <c r="OR153" s="21" t="s">
        <v>659</v>
      </c>
      <c r="OS153" s="21" t="s">
        <v>2107</v>
      </c>
      <c r="QW153" s="21" t="s">
        <v>659</v>
      </c>
      <c r="QX153" s="21" t="s">
        <v>659</v>
      </c>
      <c r="RA153" s="21" t="s">
        <v>659</v>
      </c>
      <c r="RE153" s="21">
        <v>2012.0</v>
      </c>
      <c r="SK153" s="21">
        <v>2012.0</v>
      </c>
      <c r="TI153" s="21" t="s">
        <v>656</v>
      </c>
      <c r="TL153" s="21" t="s">
        <v>656</v>
      </c>
      <c r="TZ153" s="21" t="s">
        <v>656</v>
      </c>
      <c r="WL153" s="21" t="s">
        <v>1752</v>
      </c>
      <c r="WM153" s="21" t="s">
        <v>1144</v>
      </c>
      <c r="WN153" s="21" t="s">
        <v>1754</v>
      </c>
      <c r="WO153" s="21">
        <v>7.138575479E9</v>
      </c>
      <c r="WT153" s="21" t="s">
        <v>1752</v>
      </c>
      <c r="WU153" s="21" t="s">
        <v>1144</v>
      </c>
      <c r="WV153" s="21">
        <v>7.138575479E9</v>
      </c>
      <c r="WW153" s="21" t="s">
        <v>1754</v>
      </c>
      <c r="WX153" s="21" t="s">
        <v>2108</v>
      </c>
    </row>
    <row r="154">
      <c r="A154" s="21">
        <v>1394.0</v>
      </c>
      <c r="B154" s="22">
        <v>41794.0</v>
      </c>
      <c r="C154" s="21">
        <v>2014.0</v>
      </c>
      <c r="D154" s="21">
        <v>2.0140061E7</v>
      </c>
      <c r="E154" s="21">
        <v>16597.0</v>
      </c>
      <c r="F154" s="21" t="s">
        <v>778</v>
      </c>
      <c r="G154" s="21">
        <v>32099.0</v>
      </c>
      <c r="H154" s="21" t="s">
        <v>651</v>
      </c>
      <c r="I154" s="21" t="s">
        <v>652</v>
      </c>
      <c r="J154" s="21" t="s">
        <v>653</v>
      </c>
      <c r="K154" s="21" t="s">
        <v>654</v>
      </c>
      <c r="L154" s="21">
        <v>77002.0</v>
      </c>
      <c r="M154" s="23">
        <v>41766.48263888889</v>
      </c>
      <c r="P154" s="21">
        <v>29.99503</v>
      </c>
      <c r="Q154" s="21">
        <v>-93.98956</v>
      </c>
      <c r="R154" s="21">
        <v>1082036.0</v>
      </c>
      <c r="S154" s="24">
        <v>41766.59722222222</v>
      </c>
      <c r="U154" s="21" t="s">
        <v>657</v>
      </c>
      <c r="W154" s="21">
        <v>1890.0</v>
      </c>
      <c r="X154" s="21">
        <v>3780.0</v>
      </c>
      <c r="Y154" s="21">
        <v>7.0</v>
      </c>
      <c r="Z154" s="21" t="s">
        <v>656</v>
      </c>
      <c r="AF154" s="21">
        <v>0.0</v>
      </c>
      <c r="AG154" s="21" t="s">
        <v>656</v>
      </c>
      <c r="AM154" s="21">
        <v>0.0</v>
      </c>
      <c r="AO154" s="21" t="s">
        <v>659</v>
      </c>
      <c r="AQ154" s="24">
        <v>41766.506944444445</v>
      </c>
      <c r="AR154" s="24">
        <v>41766.697916666664</v>
      </c>
      <c r="AW154" s="21" t="s">
        <v>656</v>
      </c>
      <c r="BB154" s="21" t="s">
        <v>656</v>
      </c>
      <c r="BI154" s="21">
        <v>0.0</v>
      </c>
      <c r="BJ154" s="24">
        <v>41766.583333333336</v>
      </c>
      <c r="BK154" s="24">
        <v>41766.583333333336</v>
      </c>
      <c r="BM154" s="21" t="s">
        <v>662</v>
      </c>
      <c r="BN154" s="21" t="s">
        <v>654</v>
      </c>
      <c r="BO154" s="21">
        <v>77627.0</v>
      </c>
      <c r="BP154" s="21" t="s">
        <v>2109</v>
      </c>
      <c r="BQ154" s="21" t="s">
        <v>2110</v>
      </c>
      <c r="BR154" s="21" t="s">
        <v>892</v>
      </c>
      <c r="BS154" s="21" t="s">
        <v>2111</v>
      </c>
      <c r="BT154" s="21" t="s">
        <v>2112</v>
      </c>
      <c r="BU154" s="21" t="s">
        <v>2113</v>
      </c>
      <c r="BV154" s="21" t="s">
        <v>656</v>
      </c>
      <c r="BW154" s="21" t="s">
        <v>738</v>
      </c>
      <c r="BX154" s="21" t="s">
        <v>669</v>
      </c>
      <c r="BY154" s="21" t="s">
        <v>696</v>
      </c>
      <c r="BZ154" s="21" t="s">
        <v>2114</v>
      </c>
      <c r="CC154" s="21" t="s">
        <v>656</v>
      </c>
      <c r="CZ154" s="21" t="s">
        <v>671</v>
      </c>
      <c r="DA154" s="21" t="s">
        <v>741</v>
      </c>
      <c r="DB154" s="21" t="s">
        <v>696</v>
      </c>
      <c r="EN154" s="21" t="s">
        <v>2115</v>
      </c>
      <c r="EO154" s="21">
        <v>2014.0</v>
      </c>
      <c r="EQ154" s="21" t="s">
        <v>674</v>
      </c>
      <c r="ES154" s="21" t="s">
        <v>675</v>
      </c>
      <c r="EV154" s="21" t="s">
        <v>696</v>
      </c>
      <c r="EW154" s="21" t="s">
        <v>2116</v>
      </c>
      <c r="FC154" s="21" t="s">
        <v>677</v>
      </c>
      <c r="FD154" s="21" t="s">
        <v>656</v>
      </c>
      <c r="FF154" s="21">
        <v>594.0</v>
      </c>
      <c r="FH154" s="21" t="s">
        <v>656</v>
      </c>
      <c r="FI154" s="21" t="s">
        <v>656</v>
      </c>
      <c r="FJ154" s="21" t="s">
        <v>656</v>
      </c>
      <c r="FO154" s="21">
        <v>0.0</v>
      </c>
      <c r="FP154" s="21">
        <v>8469.0</v>
      </c>
      <c r="FQ154" s="21">
        <v>17877.0</v>
      </c>
      <c r="FR154" s="21">
        <v>0.0</v>
      </c>
      <c r="FS154" s="21">
        <v>7500.0</v>
      </c>
      <c r="FT154" s="21">
        <v>75000.0</v>
      </c>
      <c r="FU154" s="21" t="s">
        <v>2117</v>
      </c>
      <c r="FW154" s="21">
        <v>108846.0</v>
      </c>
      <c r="GF154" s="21">
        <v>824.0</v>
      </c>
      <c r="GH154" s="21">
        <v>973.0</v>
      </c>
      <c r="GI154" s="21" t="s">
        <v>2057</v>
      </c>
      <c r="GM154" s="21" t="s">
        <v>679</v>
      </c>
      <c r="GN154" s="21" t="s">
        <v>656</v>
      </c>
      <c r="GS154" s="21" t="s">
        <v>720</v>
      </c>
      <c r="GT154" s="21" t="s">
        <v>720</v>
      </c>
      <c r="GU154" s="21">
        <v>42976.0</v>
      </c>
      <c r="GV154" s="21" t="s">
        <v>659</v>
      </c>
      <c r="HD154" s="21" t="s">
        <v>656</v>
      </c>
      <c r="HK154" s="21" t="s">
        <v>721</v>
      </c>
      <c r="HL154" s="21" t="s">
        <v>659</v>
      </c>
      <c r="HM154" s="21" t="s">
        <v>659</v>
      </c>
      <c r="HN154" s="21" t="s">
        <v>659</v>
      </c>
      <c r="HO154" s="21" t="s">
        <v>656</v>
      </c>
      <c r="HP154" s="21" t="s">
        <v>659</v>
      </c>
      <c r="HQ154" s="21" t="s">
        <v>698</v>
      </c>
      <c r="HS154" s="21" t="s">
        <v>699</v>
      </c>
      <c r="HT154" s="21" t="s">
        <v>723</v>
      </c>
      <c r="HU154" s="21" t="s">
        <v>2118</v>
      </c>
      <c r="IH154" s="21" t="s">
        <v>656</v>
      </c>
      <c r="II154" s="21" t="s">
        <v>656</v>
      </c>
      <c r="IN154" s="21" t="s">
        <v>786</v>
      </c>
      <c r="IO154" s="21" t="s">
        <v>2119</v>
      </c>
      <c r="QG154" s="21" t="s">
        <v>2119</v>
      </c>
      <c r="QN154" s="21" t="s">
        <v>659</v>
      </c>
      <c r="QO154" s="21" t="s">
        <v>2120</v>
      </c>
      <c r="QP154" s="21" t="s">
        <v>2121</v>
      </c>
      <c r="QQ154" s="21" t="s">
        <v>656</v>
      </c>
      <c r="WL154" s="21" t="s">
        <v>1709</v>
      </c>
      <c r="WM154" s="21" t="s">
        <v>2122</v>
      </c>
      <c r="WN154" s="21" t="s">
        <v>1712</v>
      </c>
      <c r="WO154" s="21">
        <v>7.139897232E9</v>
      </c>
      <c r="WP154" s="21">
        <v>7.139891188E9</v>
      </c>
      <c r="WT154" s="21" t="s">
        <v>1709</v>
      </c>
      <c r="WU154" s="21" t="s">
        <v>2122</v>
      </c>
      <c r="WV154" s="21">
        <v>7.139897232E9</v>
      </c>
      <c r="WW154" s="21" t="s">
        <v>1712</v>
      </c>
      <c r="WX154" s="21" t="s">
        <v>2123</v>
      </c>
    </row>
    <row r="155">
      <c r="A155" s="21">
        <v>1427.0</v>
      </c>
      <c r="B155" s="22">
        <v>41704.0</v>
      </c>
      <c r="C155" s="21">
        <v>2014.0</v>
      </c>
      <c r="D155" s="21">
        <v>2.0140026E7</v>
      </c>
      <c r="E155" s="21">
        <v>16377.0</v>
      </c>
      <c r="F155" s="21" t="s">
        <v>778</v>
      </c>
      <c r="G155" s="21">
        <v>15105.0</v>
      </c>
      <c r="H155" s="21" t="s">
        <v>794</v>
      </c>
      <c r="I155" s="21" t="s">
        <v>652</v>
      </c>
      <c r="J155" s="21" t="s">
        <v>653</v>
      </c>
      <c r="K155" s="21" t="s">
        <v>654</v>
      </c>
      <c r="L155" s="21">
        <v>77002.0</v>
      </c>
      <c r="M155" s="23">
        <v>41680.989583333336</v>
      </c>
      <c r="P155" s="21">
        <v>39.7897</v>
      </c>
      <c r="Q155" s="21">
        <v>-88.3581</v>
      </c>
      <c r="R155" s="21">
        <v>1073610.0</v>
      </c>
      <c r="S155" s="24">
        <v>41681.38263888889</v>
      </c>
      <c r="U155" s="21" t="s">
        <v>657</v>
      </c>
      <c r="W155" s="21">
        <v>11852.0</v>
      </c>
      <c r="X155" s="21">
        <v>0.0</v>
      </c>
      <c r="Z155" s="21" t="s">
        <v>656</v>
      </c>
      <c r="AF155" s="21">
        <v>0.0</v>
      </c>
      <c r="AG155" s="21" t="s">
        <v>656</v>
      </c>
      <c r="AM155" s="21">
        <v>0.0</v>
      </c>
      <c r="AO155" s="21" t="s">
        <v>656</v>
      </c>
      <c r="AW155" s="21" t="s">
        <v>656</v>
      </c>
      <c r="BB155" s="21" t="s">
        <v>656</v>
      </c>
      <c r="BJ155" s="24">
        <v>41680.993055555555</v>
      </c>
      <c r="BK155" s="24">
        <v>41681.00347222222</v>
      </c>
      <c r="BM155" s="21" t="s">
        <v>662</v>
      </c>
      <c r="BN155" s="21" t="s">
        <v>1291</v>
      </c>
      <c r="BO155" s="21" t="s">
        <v>2124</v>
      </c>
      <c r="BP155" s="21" t="s">
        <v>1816</v>
      </c>
      <c r="BQ155" s="21" t="s">
        <v>1817</v>
      </c>
      <c r="BR155" s="21" t="s">
        <v>892</v>
      </c>
      <c r="BS155" s="21" t="s">
        <v>2125</v>
      </c>
      <c r="BT155" s="21" t="s">
        <v>2126</v>
      </c>
      <c r="BV155" s="21" t="s">
        <v>656</v>
      </c>
      <c r="BW155" s="21" t="s">
        <v>668</v>
      </c>
      <c r="BX155" s="21" t="s">
        <v>669</v>
      </c>
      <c r="BY155" s="21" t="s">
        <v>670</v>
      </c>
      <c r="CC155" s="21" t="s">
        <v>656</v>
      </c>
      <c r="CZ155" s="21" t="s">
        <v>712</v>
      </c>
      <c r="DA155" s="21" t="s">
        <v>672</v>
      </c>
      <c r="DB155" s="21" t="s">
        <v>696</v>
      </c>
      <c r="EN155" s="21" t="s">
        <v>2127</v>
      </c>
      <c r="EQ155" s="21" t="s">
        <v>674</v>
      </c>
      <c r="ES155" s="21" t="s">
        <v>696</v>
      </c>
      <c r="FB155" s="21" t="s">
        <v>2128</v>
      </c>
      <c r="FC155" s="21" t="s">
        <v>677</v>
      </c>
      <c r="FD155" s="21" t="s">
        <v>656</v>
      </c>
      <c r="FF155" s="21">
        <v>745.0</v>
      </c>
      <c r="FH155" s="21" t="s">
        <v>656</v>
      </c>
      <c r="FI155" s="21" t="s">
        <v>656</v>
      </c>
      <c r="FJ155" s="21" t="s">
        <v>656</v>
      </c>
      <c r="FO155" s="21">
        <v>0.0</v>
      </c>
      <c r="FP155" s="21">
        <v>45567.0</v>
      </c>
      <c r="FQ155" s="21">
        <v>0.0</v>
      </c>
      <c r="FR155" s="21">
        <v>0.0</v>
      </c>
      <c r="FS155" s="21">
        <v>300.0</v>
      </c>
      <c r="FT155" s="21">
        <v>0.0</v>
      </c>
      <c r="FW155" s="21">
        <v>45867.0</v>
      </c>
      <c r="GF155" s="21">
        <v>803.0</v>
      </c>
      <c r="GH155" s="21">
        <v>900.0</v>
      </c>
      <c r="GI155" s="21" t="s">
        <v>2057</v>
      </c>
      <c r="GM155" s="21" t="s">
        <v>679</v>
      </c>
      <c r="GN155" s="21" t="s">
        <v>656</v>
      </c>
      <c r="HK155" s="21" t="s">
        <v>721</v>
      </c>
      <c r="HL155" s="21" t="s">
        <v>659</v>
      </c>
      <c r="HM155" s="21" t="s">
        <v>659</v>
      </c>
      <c r="HN155" s="21" t="s">
        <v>659</v>
      </c>
      <c r="HO155" s="21" t="s">
        <v>656</v>
      </c>
      <c r="HP155" s="21" t="s">
        <v>659</v>
      </c>
      <c r="HQ155" s="21" t="s">
        <v>806</v>
      </c>
      <c r="HT155" s="21" t="s">
        <v>723</v>
      </c>
      <c r="HU155" s="21" t="s">
        <v>2129</v>
      </c>
      <c r="IH155" s="21" t="s">
        <v>656</v>
      </c>
      <c r="II155" s="21" t="s">
        <v>656</v>
      </c>
      <c r="IN155" s="21" t="s">
        <v>867</v>
      </c>
      <c r="IO155" s="21" t="s">
        <v>868</v>
      </c>
      <c r="KP155" s="21" t="s">
        <v>868</v>
      </c>
      <c r="KT155" s="21" t="s">
        <v>869</v>
      </c>
      <c r="KV155" s="21" t="s">
        <v>659</v>
      </c>
      <c r="KZ155" s="21" t="s">
        <v>659</v>
      </c>
      <c r="LA155" s="21" t="s">
        <v>2053</v>
      </c>
      <c r="WL155" s="21" t="s">
        <v>1752</v>
      </c>
      <c r="WM155" s="21" t="s">
        <v>984</v>
      </c>
      <c r="WN155" s="21" t="s">
        <v>1754</v>
      </c>
      <c r="WO155" s="21">
        <v>7.138575479E9</v>
      </c>
      <c r="WT155" s="21" t="s">
        <v>1752</v>
      </c>
      <c r="WU155" s="21" t="s">
        <v>984</v>
      </c>
      <c r="WV155" s="21">
        <v>7.138575479E9</v>
      </c>
      <c r="WW155" s="21" t="s">
        <v>1754</v>
      </c>
      <c r="WX155" s="21" t="s">
        <v>2130</v>
      </c>
    </row>
    <row r="156">
      <c r="A156" s="21">
        <v>1456.0</v>
      </c>
      <c r="B156" s="22">
        <v>41635.0</v>
      </c>
      <c r="C156" s="21">
        <v>2013.0</v>
      </c>
      <c r="D156" s="21">
        <v>2.013012E7</v>
      </c>
      <c r="E156" s="21">
        <v>16394.0</v>
      </c>
      <c r="F156" s="21" t="s">
        <v>778</v>
      </c>
      <c r="G156" s="21">
        <v>15105.0</v>
      </c>
      <c r="H156" s="21" t="s">
        <v>794</v>
      </c>
      <c r="I156" s="21" t="s">
        <v>652</v>
      </c>
      <c r="J156" s="21" t="s">
        <v>653</v>
      </c>
      <c r="K156" s="21" t="s">
        <v>654</v>
      </c>
      <c r="L156" s="21">
        <v>77002.0</v>
      </c>
      <c r="M156" s="23">
        <v>41606.99791666667</v>
      </c>
      <c r="P156" s="21">
        <v>38.86342</v>
      </c>
      <c r="Q156" s="21">
        <v>-93.28116</v>
      </c>
      <c r="R156" s="21">
        <v>1067081.0</v>
      </c>
      <c r="S156" s="24">
        <v>41607.04027777778</v>
      </c>
      <c r="U156" s="21" t="s">
        <v>657</v>
      </c>
      <c r="W156" s="21">
        <v>150000.0</v>
      </c>
      <c r="X156" s="21">
        <v>0.0</v>
      </c>
      <c r="Y156" s="21">
        <v>0.0</v>
      </c>
      <c r="Z156" s="21" t="s">
        <v>656</v>
      </c>
      <c r="AF156" s="21">
        <v>0.0</v>
      </c>
      <c r="AG156" s="21" t="s">
        <v>656</v>
      </c>
      <c r="AM156" s="21">
        <v>0.0</v>
      </c>
      <c r="AO156" s="21" t="s">
        <v>659</v>
      </c>
      <c r="AQ156" s="24">
        <v>41607.05902777778</v>
      </c>
      <c r="AR156" s="24">
        <v>41641.57986111111</v>
      </c>
      <c r="AW156" s="21" t="s">
        <v>659</v>
      </c>
      <c r="BB156" s="21" t="s">
        <v>656</v>
      </c>
      <c r="BI156" s="21">
        <v>9.0</v>
      </c>
      <c r="BJ156" s="24">
        <v>41607.001388888886</v>
      </c>
      <c r="BK156" s="24">
        <v>41607.006944444445</v>
      </c>
      <c r="BM156" s="21" t="s">
        <v>662</v>
      </c>
      <c r="BN156" s="21" t="s">
        <v>795</v>
      </c>
      <c r="BO156" s="21">
        <v>65334.0</v>
      </c>
      <c r="BP156" s="21" t="s">
        <v>2131</v>
      </c>
      <c r="BQ156" s="21" t="s">
        <v>1758</v>
      </c>
      <c r="BR156" s="21" t="s">
        <v>735</v>
      </c>
      <c r="BS156" s="21" t="s">
        <v>2132</v>
      </c>
      <c r="BT156" s="21" t="s">
        <v>2072</v>
      </c>
      <c r="BU156" s="21" t="s">
        <v>2133</v>
      </c>
      <c r="BV156" s="21" t="s">
        <v>656</v>
      </c>
      <c r="BW156" s="21" t="s">
        <v>738</v>
      </c>
      <c r="BX156" s="21" t="s">
        <v>739</v>
      </c>
      <c r="BY156" s="21" t="s">
        <v>740</v>
      </c>
      <c r="CC156" s="21" t="s">
        <v>656</v>
      </c>
      <c r="CZ156" s="21" t="s">
        <v>712</v>
      </c>
      <c r="DA156" s="21" t="s">
        <v>741</v>
      </c>
      <c r="DB156" s="21" t="s">
        <v>714</v>
      </c>
      <c r="DC156" s="21" t="s">
        <v>715</v>
      </c>
      <c r="DD156" s="21">
        <v>30.0</v>
      </c>
      <c r="DF156" s="21">
        <v>0.312</v>
      </c>
      <c r="DG156" s="21">
        <v>60000.0</v>
      </c>
      <c r="DH156" s="21" t="s">
        <v>1533</v>
      </c>
      <c r="DI156" s="21" t="s">
        <v>848</v>
      </c>
      <c r="DK156" s="21" t="s">
        <v>1473</v>
      </c>
      <c r="DL156" s="21" t="s">
        <v>743</v>
      </c>
      <c r="EO156" s="21">
        <v>1962.0</v>
      </c>
      <c r="EP156" s="21">
        <v>1962.0</v>
      </c>
      <c r="EQ156" s="21" t="s">
        <v>674</v>
      </c>
      <c r="ES156" s="21" t="s">
        <v>744</v>
      </c>
      <c r="EX156" s="21" t="s">
        <v>773</v>
      </c>
      <c r="EZ156" s="21">
        <v>43.0</v>
      </c>
      <c r="FA156" s="21">
        <v>16.0</v>
      </c>
      <c r="FC156" s="21" t="s">
        <v>677</v>
      </c>
      <c r="FD156" s="21" t="s">
        <v>656</v>
      </c>
      <c r="FF156" s="21">
        <v>621.0</v>
      </c>
      <c r="FH156" s="21" t="s">
        <v>656</v>
      </c>
      <c r="FI156" s="21" t="s">
        <v>656</v>
      </c>
      <c r="FJ156" s="21" t="s">
        <v>656</v>
      </c>
      <c r="FO156" s="21">
        <v>450000.0</v>
      </c>
      <c r="FP156" s="21">
        <v>544000.0</v>
      </c>
      <c r="FQ156" s="21">
        <v>0.0</v>
      </c>
      <c r="FR156" s="21">
        <v>929500.0</v>
      </c>
      <c r="FS156" s="21">
        <v>8740.0</v>
      </c>
      <c r="FT156" s="21">
        <v>73535.0</v>
      </c>
      <c r="FU156" s="21" t="s">
        <v>2134</v>
      </c>
      <c r="FW156" s="21">
        <v>2005775.0</v>
      </c>
      <c r="GF156" s="21">
        <v>894.0</v>
      </c>
      <c r="GH156" s="21">
        <v>900.0</v>
      </c>
      <c r="GI156" s="21" t="s">
        <v>2057</v>
      </c>
      <c r="GM156" s="21" t="s">
        <v>679</v>
      </c>
      <c r="GN156" s="21" t="s">
        <v>656</v>
      </c>
      <c r="GS156" s="21" t="s">
        <v>720</v>
      </c>
      <c r="GT156" s="21" t="s">
        <v>720</v>
      </c>
      <c r="GU156" s="21">
        <v>69447.0</v>
      </c>
      <c r="GV156" s="21" t="s">
        <v>659</v>
      </c>
      <c r="HD156" s="21" t="s">
        <v>656</v>
      </c>
      <c r="HK156" s="21" t="s">
        <v>721</v>
      </c>
      <c r="HL156" s="21" t="s">
        <v>659</v>
      </c>
      <c r="HM156" s="21" t="s">
        <v>659</v>
      </c>
      <c r="HN156" s="21" t="s">
        <v>659</v>
      </c>
      <c r="HO156" s="21" t="s">
        <v>659</v>
      </c>
      <c r="HP156" s="21" t="s">
        <v>659</v>
      </c>
      <c r="HQ156" s="21" t="s">
        <v>698</v>
      </c>
      <c r="HS156" s="21" t="s">
        <v>699</v>
      </c>
      <c r="HT156" s="21" t="s">
        <v>723</v>
      </c>
      <c r="HU156" s="21" t="s">
        <v>2135</v>
      </c>
      <c r="IH156" s="21" t="s">
        <v>659</v>
      </c>
      <c r="II156" s="21" t="s">
        <v>656</v>
      </c>
      <c r="IJ156" s="21">
        <v>3.0</v>
      </c>
      <c r="IK156" s="21">
        <v>0.0</v>
      </c>
      <c r="IN156" s="21" t="s">
        <v>725</v>
      </c>
      <c r="IO156" s="21" t="s">
        <v>900</v>
      </c>
      <c r="IP156" s="21" t="s">
        <v>900</v>
      </c>
      <c r="IQ156" s="21" t="s">
        <v>901</v>
      </c>
      <c r="IS156" s="21" t="s">
        <v>659</v>
      </c>
      <c r="JC156" s="21" t="s">
        <v>659</v>
      </c>
      <c r="JF156" s="21" t="s">
        <v>659</v>
      </c>
      <c r="JG156" s="21" t="s">
        <v>659</v>
      </c>
      <c r="JH156" s="21">
        <v>1962.0</v>
      </c>
      <c r="JI156" s="21" t="s">
        <v>656</v>
      </c>
      <c r="JJ156" s="21" t="s">
        <v>659</v>
      </c>
      <c r="JK156" s="21" t="s">
        <v>659</v>
      </c>
      <c r="JL156" s="21" t="s">
        <v>659</v>
      </c>
      <c r="JO156" s="21">
        <v>2013.0</v>
      </c>
      <c r="JP156" s="21">
        <v>2013.0</v>
      </c>
      <c r="JS156" s="21" t="s">
        <v>659</v>
      </c>
      <c r="QW156" s="21" t="s">
        <v>659</v>
      </c>
      <c r="QX156" s="21" t="s">
        <v>659</v>
      </c>
      <c r="RA156" s="21" t="s">
        <v>659</v>
      </c>
      <c r="RD156" s="21" t="s">
        <v>659</v>
      </c>
      <c r="RE156" s="21">
        <v>2005.0</v>
      </c>
      <c r="SK156" s="21">
        <v>2000.0</v>
      </c>
      <c r="TC156" s="21" t="s">
        <v>1855</v>
      </c>
      <c r="TD156" s="21">
        <v>2012.0</v>
      </c>
      <c r="TI156" s="21" t="s">
        <v>656</v>
      </c>
      <c r="TL156" s="21" t="s">
        <v>656</v>
      </c>
      <c r="TZ156" s="21" t="s">
        <v>656</v>
      </c>
      <c r="WL156" s="21" t="s">
        <v>1752</v>
      </c>
      <c r="WM156" s="21" t="s">
        <v>984</v>
      </c>
      <c r="WN156" s="21" t="s">
        <v>1754</v>
      </c>
      <c r="WO156" s="21">
        <v>7.138575479E9</v>
      </c>
      <c r="WT156" s="21" t="s">
        <v>1752</v>
      </c>
      <c r="WU156" s="21" t="s">
        <v>984</v>
      </c>
      <c r="WV156" s="21">
        <v>7.138575479E9</v>
      </c>
      <c r="WW156" s="21" t="s">
        <v>1754</v>
      </c>
      <c r="WX156" s="21" t="s">
        <v>2136</v>
      </c>
    </row>
    <row r="157">
      <c r="A157" s="21">
        <v>1482.0</v>
      </c>
      <c r="B157" s="22">
        <v>41528.0</v>
      </c>
      <c r="C157" s="21">
        <v>2013.0</v>
      </c>
      <c r="D157" s="21">
        <v>2.0130084E7</v>
      </c>
      <c r="E157" s="21">
        <v>16191.0</v>
      </c>
      <c r="F157" s="21" t="s">
        <v>778</v>
      </c>
      <c r="G157" s="21">
        <v>32099.0</v>
      </c>
      <c r="H157" s="21" t="s">
        <v>651</v>
      </c>
      <c r="I157" s="21" t="s">
        <v>652</v>
      </c>
      <c r="J157" s="21" t="s">
        <v>653</v>
      </c>
      <c r="K157" s="21" t="s">
        <v>654</v>
      </c>
      <c r="L157" s="21">
        <v>77002.0</v>
      </c>
      <c r="M157" s="23">
        <v>41505.211805555555</v>
      </c>
      <c r="P157" s="21">
        <v>33.11163</v>
      </c>
      <c r="Q157" s="21">
        <v>-98.4053</v>
      </c>
      <c r="R157" s="21">
        <v>1057525.0</v>
      </c>
      <c r="S157" s="24">
        <v>41505.305555555555</v>
      </c>
      <c r="U157" s="21" t="s">
        <v>657</v>
      </c>
      <c r="W157" s="21">
        <v>26765.0</v>
      </c>
      <c r="Z157" s="21" t="s">
        <v>656</v>
      </c>
      <c r="AF157" s="21">
        <v>0.0</v>
      </c>
      <c r="AG157" s="21" t="s">
        <v>656</v>
      </c>
      <c r="AM157" s="21">
        <v>0.0</v>
      </c>
      <c r="AO157" s="21" t="s">
        <v>659</v>
      </c>
      <c r="AQ157" s="24">
        <v>41505.21388888889</v>
      </c>
      <c r="AR157" s="24">
        <v>41509.645833333336</v>
      </c>
      <c r="AW157" s="21" t="s">
        <v>656</v>
      </c>
      <c r="BB157" s="21" t="s">
        <v>656</v>
      </c>
      <c r="BI157" s="21">
        <v>0.0</v>
      </c>
      <c r="BJ157" s="24">
        <v>41505.211805555555</v>
      </c>
      <c r="BK157" s="24">
        <v>41505.211805555555</v>
      </c>
      <c r="BM157" s="21" t="s">
        <v>662</v>
      </c>
      <c r="BN157" s="21" t="s">
        <v>654</v>
      </c>
      <c r="BO157" s="21">
        <v>76427.0</v>
      </c>
      <c r="BP157" s="21" t="s">
        <v>1446</v>
      </c>
      <c r="BQ157" s="21" t="s">
        <v>1447</v>
      </c>
      <c r="BR157" s="21" t="s">
        <v>735</v>
      </c>
      <c r="BS157" s="21" t="s">
        <v>2137</v>
      </c>
      <c r="BT157" s="21" t="s">
        <v>2138</v>
      </c>
      <c r="BU157" s="21" t="s">
        <v>2139</v>
      </c>
      <c r="BV157" s="21" t="s">
        <v>656</v>
      </c>
      <c r="BW157" s="21" t="s">
        <v>738</v>
      </c>
      <c r="BX157" s="21" t="s">
        <v>739</v>
      </c>
      <c r="BY157" s="21" t="s">
        <v>740</v>
      </c>
      <c r="CA157" s="21">
        <v>48.0</v>
      </c>
      <c r="CC157" s="21" t="s">
        <v>656</v>
      </c>
      <c r="CZ157" s="21" t="s">
        <v>671</v>
      </c>
      <c r="DA157" s="21" t="s">
        <v>741</v>
      </c>
      <c r="DB157" s="21" t="s">
        <v>714</v>
      </c>
      <c r="DC157" s="21" t="s">
        <v>715</v>
      </c>
      <c r="DD157" s="21">
        <v>8.625</v>
      </c>
      <c r="DF157" s="21">
        <v>0.188</v>
      </c>
      <c r="DG157" s="21">
        <v>42000.0</v>
      </c>
      <c r="DH157" s="21" t="s">
        <v>964</v>
      </c>
      <c r="DI157" s="21" t="s">
        <v>742</v>
      </c>
      <c r="DK157" s="21" t="s">
        <v>2140</v>
      </c>
      <c r="DL157" s="21" t="s">
        <v>743</v>
      </c>
      <c r="EO157" s="21">
        <v>1973.0</v>
      </c>
      <c r="EP157" s="21">
        <v>1973.0</v>
      </c>
      <c r="EQ157" s="21" t="s">
        <v>674</v>
      </c>
      <c r="ES157" s="21" t="s">
        <v>744</v>
      </c>
      <c r="EX157" s="21" t="s">
        <v>773</v>
      </c>
      <c r="EZ157" s="21">
        <v>8.0</v>
      </c>
      <c r="FA157" s="21">
        <v>32.0</v>
      </c>
      <c r="FC157" s="21" t="s">
        <v>677</v>
      </c>
      <c r="FD157" s="21" t="s">
        <v>656</v>
      </c>
      <c r="FF157" s="21">
        <v>179.0</v>
      </c>
      <c r="FH157" s="21" t="s">
        <v>656</v>
      </c>
      <c r="FI157" s="21" t="s">
        <v>656</v>
      </c>
      <c r="FJ157" s="21" t="s">
        <v>656</v>
      </c>
      <c r="FO157" s="21">
        <v>0.0</v>
      </c>
      <c r="FP157" s="21">
        <v>95010.0</v>
      </c>
      <c r="FQ157" s="21">
        <v>0.0</v>
      </c>
      <c r="FR157" s="21">
        <v>49000.0</v>
      </c>
      <c r="FS157" s="21">
        <v>0.0</v>
      </c>
      <c r="FT157" s="21">
        <v>0.0</v>
      </c>
      <c r="FW157" s="21">
        <v>144010.0</v>
      </c>
      <c r="GF157" s="21">
        <v>802.0</v>
      </c>
      <c r="GH157" s="21">
        <v>944.0</v>
      </c>
      <c r="GI157" s="21" t="s">
        <v>2057</v>
      </c>
      <c r="GM157" s="21" t="s">
        <v>679</v>
      </c>
      <c r="GN157" s="21" t="s">
        <v>656</v>
      </c>
      <c r="GS157" s="21" t="s">
        <v>720</v>
      </c>
      <c r="GT157" s="21" t="s">
        <v>720</v>
      </c>
      <c r="GU157" s="21">
        <v>2563.0</v>
      </c>
      <c r="GV157" s="21" t="s">
        <v>656</v>
      </c>
      <c r="GW157" s="21" t="s">
        <v>659</v>
      </c>
      <c r="HD157" s="21" t="s">
        <v>656</v>
      </c>
      <c r="HK157" s="21" t="s">
        <v>721</v>
      </c>
      <c r="HL157" s="21" t="s">
        <v>656</v>
      </c>
      <c r="HQ157" s="21" t="s">
        <v>806</v>
      </c>
      <c r="HT157" s="21" t="s">
        <v>682</v>
      </c>
      <c r="IH157" s="21" t="s">
        <v>656</v>
      </c>
      <c r="II157" s="21" t="s">
        <v>656</v>
      </c>
      <c r="IN157" s="21" t="s">
        <v>725</v>
      </c>
      <c r="IO157" s="21" t="s">
        <v>726</v>
      </c>
      <c r="IP157" s="21" t="s">
        <v>726</v>
      </c>
      <c r="JT157" s="21" t="s">
        <v>901</v>
      </c>
      <c r="JX157" s="21" t="s">
        <v>659</v>
      </c>
      <c r="KB157" s="21" t="s">
        <v>659</v>
      </c>
      <c r="KC157" s="21" t="s">
        <v>659</v>
      </c>
      <c r="KF157" s="21" t="s">
        <v>659</v>
      </c>
      <c r="KL157" s="21" t="s">
        <v>659</v>
      </c>
      <c r="KM157" s="21" t="s">
        <v>656</v>
      </c>
      <c r="KN157" s="21" t="s">
        <v>656</v>
      </c>
      <c r="KO157" s="21" t="s">
        <v>659</v>
      </c>
      <c r="QW157" s="21" t="s">
        <v>656</v>
      </c>
      <c r="TI157" s="21" t="s">
        <v>656</v>
      </c>
      <c r="TL157" s="21" t="s">
        <v>656</v>
      </c>
      <c r="TZ157" s="21" t="s">
        <v>656</v>
      </c>
      <c r="WL157" s="21" t="s">
        <v>1709</v>
      </c>
      <c r="WM157" s="21" t="s">
        <v>984</v>
      </c>
      <c r="WN157" s="21" t="s">
        <v>1712</v>
      </c>
      <c r="WO157" s="21" t="s">
        <v>1711</v>
      </c>
      <c r="WP157" s="21" t="s">
        <v>2067</v>
      </c>
      <c r="WT157" s="21" t="s">
        <v>1709</v>
      </c>
      <c r="WU157" s="21" t="s">
        <v>984</v>
      </c>
      <c r="WV157" s="21" t="s">
        <v>1711</v>
      </c>
      <c r="WW157" s="21" t="s">
        <v>1712</v>
      </c>
      <c r="WX157" s="21" t="s">
        <v>2141</v>
      </c>
    </row>
    <row r="158">
      <c r="A158" s="21">
        <v>1503.0</v>
      </c>
      <c r="B158" s="22">
        <v>41472.0</v>
      </c>
      <c r="C158" s="21">
        <v>2013.0</v>
      </c>
      <c r="D158" s="21">
        <v>2.0130066E7</v>
      </c>
      <c r="E158" s="21">
        <v>16345.0</v>
      </c>
      <c r="F158" s="21" t="s">
        <v>778</v>
      </c>
      <c r="G158" s="21">
        <v>5304.0</v>
      </c>
      <c r="H158" s="21" t="s">
        <v>932</v>
      </c>
      <c r="I158" s="21" t="s">
        <v>652</v>
      </c>
      <c r="J158" s="21" t="s">
        <v>653</v>
      </c>
      <c r="K158" s="21" t="s">
        <v>654</v>
      </c>
      <c r="L158" s="21">
        <v>77002.0</v>
      </c>
      <c r="M158" s="23">
        <v>41443.22222222222</v>
      </c>
      <c r="P158" s="21">
        <v>30.782364</v>
      </c>
      <c r="Q158" s="21">
        <v>-90.0515</v>
      </c>
      <c r="R158" s="21">
        <v>1050774.0</v>
      </c>
      <c r="S158" s="24">
        <v>41443.270833333336</v>
      </c>
      <c r="U158" s="21" t="s">
        <v>657</v>
      </c>
      <c r="W158" s="21">
        <v>86000.0</v>
      </c>
      <c r="X158" s="21">
        <v>0.0</v>
      </c>
      <c r="Y158" s="21">
        <v>0.0</v>
      </c>
      <c r="Z158" s="21" t="s">
        <v>656</v>
      </c>
      <c r="AF158" s="21">
        <v>0.0</v>
      </c>
      <c r="AG158" s="21" t="s">
        <v>659</v>
      </c>
      <c r="AH158" s="21">
        <v>0.0</v>
      </c>
      <c r="AI158" s="21">
        <v>0.0</v>
      </c>
      <c r="AJ158" s="21">
        <v>0.0</v>
      </c>
      <c r="AK158" s="21">
        <v>0.0</v>
      </c>
      <c r="AL158" s="21">
        <v>2.0</v>
      </c>
      <c r="AM158" s="21">
        <v>2.0</v>
      </c>
      <c r="AO158" s="21" t="s">
        <v>659</v>
      </c>
      <c r="AQ158" s="24">
        <v>41443.256944444445</v>
      </c>
      <c r="AR158" s="24">
        <v>41474.81180555555</v>
      </c>
      <c r="AW158" s="21" t="s">
        <v>659</v>
      </c>
      <c r="BB158" s="21" t="s">
        <v>659</v>
      </c>
      <c r="BI158" s="21">
        <v>55.0</v>
      </c>
      <c r="BJ158" s="24">
        <v>41443.22430555556</v>
      </c>
      <c r="BK158" s="24">
        <v>41443.256944444445</v>
      </c>
      <c r="BM158" s="21" t="s">
        <v>662</v>
      </c>
      <c r="BN158" s="21" t="s">
        <v>751</v>
      </c>
      <c r="BO158" s="21">
        <v>70438.0</v>
      </c>
      <c r="BP158" s="21" t="s">
        <v>2142</v>
      </c>
      <c r="BQ158" s="21" t="s">
        <v>1867</v>
      </c>
      <c r="BR158" s="21" t="s">
        <v>735</v>
      </c>
      <c r="BS158" s="21" t="s">
        <v>2143</v>
      </c>
      <c r="BT158" s="21" t="s">
        <v>1251</v>
      </c>
      <c r="BU158" s="21" t="s">
        <v>2144</v>
      </c>
      <c r="BV158" s="21" t="s">
        <v>656</v>
      </c>
      <c r="BW158" s="21" t="s">
        <v>738</v>
      </c>
      <c r="BX158" s="21" t="s">
        <v>739</v>
      </c>
      <c r="BY158" s="21" t="s">
        <v>740</v>
      </c>
      <c r="CA158" s="21">
        <v>36.0</v>
      </c>
      <c r="CC158" s="21" t="s">
        <v>656</v>
      </c>
      <c r="CZ158" s="21" t="s">
        <v>712</v>
      </c>
      <c r="DA158" s="21" t="s">
        <v>741</v>
      </c>
      <c r="DB158" s="21" t="s">
        <v>714</v>
      </c>
      <c r="DC158" s="21" t="s">
        <v>715</v>
      </c>
      <c r="DD158" s="21">
        <v>30.0</v>
      </c>
      <c r="DF158" s="21">
        <v>0.344</v>
      </c>
      <c r="DG158" s="21">
        <v>60000.0</v>
      </c>
      <c r="DH158" s="21" t="s">
        <v>964</v>
      </c>
      <c r="DI158" s="21" t="s">
        <v>848</v>
      </c>
      <c r="DK158" s="21" t="s">
        <v>1473</v>
      </c>
      <c r="DL158" s="21" t="s">
        <v>696</v>
      </c>
      <c r="DM158" s="21" t="s">
        <v>2145</v>
      </c>
      <c r="EO158" s="21">
        <v>1966.0</v>
      </c>
      <c r="EP158" s="21">
        <v>1966.0</v>
      </c>
      <c r="EQ158" s="21" t="s">
        <v>674</v>
      </c>
      <c r="ES158" s="21" t="s">
        <v>744</v>
      </c>
      <c r="EX158" s="21" t="s">
        <v>773</v>
      </c>
      <c r="EZ158" s="21">
        <v>897.0</v>
      </c>
      <c r="FA158" s="21">
        <v>94.0</v>
      </c>
      <c r="FC158" s="21" t="s">
        <v>677</v>
      </c>
      <c r="FD158" s="21" t="s">
        <v>656</v>
      </c>
      <c r="FF158" s="21">
        <v>646.0</v>
      </c>
      <c r="FH158" s="21" t="s">
        <v>659</v>
      </c>
      <c r="FI158" s="21" t="s">
        <v>656</v>
      </c>
      <c r="FJ158" s="21" t="s">
        <v>659</v>
      </c>
      <c r="FO158" s="21">
        <v>246481.0</v>
      </c>
      <c r="FP158" s="21">
        <v>354000.0</v>
      </c>
      <c r="FQ158" s="21">
        <v>0.0</v>
      </c>
      <c r="FR158" s="21">
        <v>2199000.0</v>
      </c>
      <c r="FS158" s="21">
        <v>263000.0</v>
      </c>
      <c r="FT158" s="21">
        <v>0.0</v>
      </c>
      <c r="FW158" s="21">
        <v>3062481.0</v>
      </c>
      <c r="GF158" s="21">
        <v>952.0</v>
      </c>
      <c r="GH158" s="21">
        <v>975.0</v>
      </c>
      <c r="GI158" s="21" t="s">
        <v>2057</v>
      </c>
      <c r="GM158" s="21" t="s">
        <v>679</v>
      </c>
      <c r="GN158" s="21" t="s">
        <v>656</v>
      </c>
      <c r="GS158" s="21" t="s">
        <v>720</v>
      </c>
      <c r="GT158" s="21" t="s">
        <v>720</v>
      </c>
      <c r="GU158" s="21">
        <v>63360.0</v>
      </c>
      <c r="GV158" s="21" t="s">
        <v>659</v>
      </c>
      <c r="HD158" s="21" t="s">
        <v>656</v>
      </c>
      <c r="HK158" s="21" t="s">
        <v>721</v>
      </c>
      <c r="HL158" s="21" t="s">
        <v>659</v>
      </c>
      <c r="HM158" s="21" t="s">
        <v>659</v>
      </c>
      <c r="HN158" s="21" t="s">
        <v>659</v>
      </c>
      <c r="HO158" s="21" t="s">
        <v>659</v>
      </c>
      <c r="HP158" s="21" t="s">
        <v>659</v>
      </c>
      <c r="HQ158" s="21" t="s">
        <v>698</v>
      </c>
      <c r="HS158" s="21" t="s">
        <v>699</v>
      </c>
      <c r="HT158" s="21" t="s">
        <v>723</v>
      </c>
      <c r="HU158" s="21" t="s">
        <v>2135</v>
      </c>
      <c r="IH158" s="21" t="s">
        <v>659</v>
      </c>
      <c r="II158" s="21" t="s">
        <v>656</v>
      </c>
      <c r="IJ158" s="21">
        <v>3.0</v>
      </c>
      <c r="IK158" s="21">
        <v>0.0</v>
      </c>
      <c r="IN158" s="21" t="s">
        <v>725</v>
      </c>
      <c r="IO158" s="21" t="s">
        <v>900</v>
      </c>
      <c r="IP158" s="21" t="s">
        <v>900</v>
      </c>
      <c r="IQ158" s="21" t="s">
        <v>901</v>
      </c>
      <c r="IV158" s="21" t="s">
        <v>659</v>
      </c>
      <c r="JC158" s="21" t="s">
        <v>659</v>
      </c>
      <c r="JF158" s="21" t="s">
        <v>659</v>
      </c>
      <c r="JG158" s="21" t="s">
        <v>659</v>
      </c>
      <c r="JH158" s="21">
        <v>1966.0</v>
      </c>
      <c r="JI158" s="21" t="s">
        <v>656</v>
      </c>
      <c r="JJ158" s="21" t="s">
        <v>659</v>
      </c>
      <c r="JK158" s="21" t="s">
        <v>659</v>
      </c>
      <c r="JL158" s="21" t="s">
        <v>659</v>
      </c>
      <c r="JO158" s="21">
        <v>2013.0</v>
      </c>
      <c r="JP158" s="21">
        <v>2009.0</v>
      </c>
      <c r="JS158" s="21" t="s">
        <v>659</v>
      </c>
      <c r="QW158" s="21" t="s">
        <v>659</v>
      </c>
      <c r="RD158" s="21" t="s">
        <v>659</v>
      </c>
      <c r="TC158" s="21" t="s">
        <v>1855</v>
      </c>
      <c r="TD158" s="21">
        <v>2010.0</v>
      </c>
      <c r="TI158" s="21" t="s">
        <v>656</v>
      </c>
      <c r="TL158" s="21" t="s">
        <v>656</v>
      </c>
      <c r="TZ158" s="21" t="s">
        <v>656</v>
      </c>
      <c r="WL158" s="21" t="s">
        <v>1752</v>
      </c>
      <c r="WM158" s="21" t="s">
        <v>2146</v>
      </c>
      <c r="WN158" s="21" t="s">
        <v>1754</v>
      </c>
      <c r="WO158" s="21" t="s">
        <v>1764</v>
      </c>
      <c r="WT158" s="21" t="s">
        <v>1752</v>
      </c>
      <c r="WU158" s="21" t="s">
        <v>2146</v>
      </c>
      <c r="WV158" s="21" t="s">
        <v>1764</v>
      </c>
      <c r="WW158" s="21" t="s">
        <v>1754</v>
      </c>
      <c r="WX158" s="21" t="s">
        <v>2147</v>
      </c>
    </row>
    <row r="159">
      <c r="A159" s="21">
        <v>1511.0</v>
      </c>
      <c r="B159" s="22">
        <v>41452.0</v>
      </c>
      <c r="C159" s="21">
        <v>2013.0</v>
      </c>
      <c r="D159" s="21">
        <v>2.0130057E7</v>
      </c>
      <c r="E159" s="21">
        <v>16378.0</v>
      </c>
      <c r="F159" s="21" t="s">
        <v>778</v>
      </c>
      <c r="G159" s="21">
        <v>5304.0</v>
      </c>
      <c r="H159" s="21" t="s">
        <v>932</v>
      </c>
      <c r="I159" s="21" t="s">
        <v>652</v>
      </c>
      <c r="J159" s="21" t="s">
        <v>653</v>
      </c>
      <c r="K159" s="21" t="s">
        <v>654</v>
      </c>
      <c r="L159" s="21">
        <v>77002.0</v>
      </c>
      <c r="M159" s="23">
        <v>41423.97638888889</v>
      </c>
      <c r="P159" s="21">
        <v>28.0545</v>
      </c>
      <c r="Q159" s="21">
        <v>-82.3716</v>
      </c>
      <c r="R159" s="21">
        <v>1048703.0</v>
      </c>
      <c r="S159" s="24">
        <v>41424.00486111111</v>
      </c>
      <c r="U159" s="21" t="s">
        <v>657</v>
      </c>
      <c r="W159" s="21">
        <v>1443.2</v>
      </c>
      <c r="X159" s="21">
        <v>2894.25</v>
      </c>
      <c r="Y159" s="21">
        <v>0.0</v>
      </c>
      <c r="Z159" s="21" t="s">
        <v>656</v>
      </c>
      <c r="AF159" s="21">
        <v>0.0</v>
      </c>
      <c r="AG159" s="21" t="s">
        <v>656</v>
      </c>
      <c r="AM159" s="21">
        <v>0.0</v>
      </c>
      <c r="AO159" s="21" t="s">
        <v>659</v>
      </c>
      <c r="AQ159" s="24">
        <v>41424.05902777778</v>
      </c>
      <c r="AR159" s="24">
        <v>41436.774305555555</v>
      </c>
      <c r="AW159" s="21" t="s">
        <v>656</v>
      </c>
      <c r="BB159" s="21" t="s">
        <v>656</v>
      </c>
      <c r="BI159" s="21">
        <v>0.0</v>
      </c>
      <c r="BJ159" s="24">
        <v>41423.97638888889</v>
      </c>
      <c r="BK159" s="24">
        <v>41423.97638888889</v>
      </c>
      <c r="BM159" s="21" t="s">
        <v>662</v>
      </c>
      <c r="BN159" s="21" t="s">
        <v>934</v>
      </c>
      <c r="BO159" s="21">
        <v>33617.0</v>
      </c>
      <c r="BP159" s="21" t="s">
        <v>2148</v>
      </c>
      <c r="BQ159" s="21" t="s">
        <v>936</v>
      </c>
      <c r="BR159" s="21" t="s">
        <v>735</v>
      </c>
      <c r="BS159" s="21" t="s">
        <v>2149</v>
      </c>
      <c r="BT159" s="21" t="s">
        <v>1251</v>
      </c>
      <c r="BU159" s="21" t="s">
        <v>2150</v>
      </c>
      <c r="BV159" s="21" t="s">
        <v>656</v>
      </c>
      <c r="BW159" s="21" t="s">
        <v>738</v>
      </c>
      <c r="BX159" s="21" t="s">
        <v>739</v>
      </c>
      <c r="BY159" s="21" t="s">
        <v>740</v>
      </c>
      <c r="CA159" s="21">
        <v>72.0</v>
      </c>
      <c r="CC159" s="21" t="s">
        <v>656</v>
      </c>
      <c r="CZ159" s="21" t="s">
        <v>712</v>
      </c>
      <c r="DA159" s="21" t="s">
        <v>741</v>
      </c>
      <c r="DB159" s="21" t="s">
        <v>714</v>
      </c>
      <c r="DC159" s="21" t="s">
        <v>715</v>
      </c>
      <c r="DD159" s="21">
        <v>14.0</v>
      </c>
      <c r="DF159" s="21">
        <v>0.25</v>
      </c>
      <c r="DG159" s="21">
        <v>42000.0</v>
      </c>
      <c r="DH159" s="21" t="s">
        <v>1406</v>
      </c>
      <c r="DI159" s="21" t="s">
        <v>1645</v>
      </c>
      <c r="DK159" s="21" t="s">
        <v>2151</v>
      </c>
      <c r="DL159" s="21" t="s">
        <v>1374</v>
      </c>
      <c r="EO159" s="21">
        <v>1959.0</v>
      </c>
      <c r="EP159" s="21">
        <v>1959.0</v>
      </c>
      <c r="EQ159" s="21" t="s">
        <v>674</v>
      </c>
      <c r="ES159" s="21" t="s">
        <v>675</v>
      </c>
      <c r="EV159" s="21" t="s">
        <v>718</v>
      </c>
      <c r="FC159" s="21" t="s">
        <v>1256</v>
      </c>
      <c r="FD159" s="21" t="s">
        <v>659</v>
      </c>
      <c r="FE159" s="21" t="s">
        <v>1216</v>
      </c>
      <c r="FF159" s="21">
        <v>265.0</v>
      </c>
      <c r="FH159" s="21" t="s">
        <v>656</v>
      </c>
      <c r="FI159" s="21" t="s">
        <v>656</v>
      </c>
      <c r="FJ159" s="21" t="s">
        <v>656</v>
      </c>
      <c r="FO159" s="21">
        <v>0.0</v>
      </c>
      <c r="FP159" s="21">
        <v>6061.0</v>
      </c>
      <c r="FQ159" s="21">
        <v>10911.0</v>
      </c>
      <c r="FR159" s="21">
        <v>130000.0</v>
      </c>
      <c r="FS159" s="21">
        <v>0.0</v>
      </c>
      <c r="FT159" s="21">
        <v>0.0</v>
      </c>
      <c r="FW159" s="21">
        <v>146972.0</v>
      </c>
      <c r="GF159" s="21">
        <v>675.0</v>
      </c>
      <c r="GH159" s="21">
        <v>750.0</v>
      </c>
      <c r="GI159" s="21" t="s">
        <v>2057</v>
      </c>
      <c r="GM159" s="21" t="s">
        <v>679</v>
      </c>
      <c r="GN159" s="21" t="s">
        <v>659</v>
      </c>
      <c r="GO159" s="21" t="s">
        <v>656</v>
      </c>
      <c r="GP159" s="21" t="s">
        <v>2152</v>
      </c>
      <c r="GS159" s="21" t="s">
        <v>720</v>
      </c>
      <c r="GT159" s="21" t="s">
        <v>720</v>
      </c>
      <c r="GU159" s="21">
        <v>33264.0</v>
      </c>
      <c r="GV159" s="21" t="s">
        <v>659</v>
      </c>
      <c r="HD159" s="21" t="s">
        <v>656</v>
      </c>
      <c r="HK159" s="21" t="s">
        <v>721</v>
      </c>
      <c r="HL159" s="21" t="s">
        <v>659</v>
      </c>
      <c r="HM159" s="21" t="s">
        <v>659</v>
      </c>
      <c r="HN159" s="21" t="s">
        <v>659</v>
      </c>
      <c r="HO159" s="21" t="s">
        <v>656</v>
      </c>
      <c r="HP159" s="21" t="s">
        <v>656</v>
      </c>
      <c r="HQ159" s="21" t="s">
        <v>806</v>
      </c>
      <c r="HT159" s="21" t="s">
        <v>723</v>
      </c>
      <c r="HU159" s="21" t="s">
        <v>2153</v>
      </c>
      <c r="IH159" s="21" t="s">
        <v>659</v>
      </c>
      <c r="II159" s="21" t="s">
        <v>656</v>
      </c>
      <c r="IJ159" s="21">
        <v>2.0</v>
      </c>
      <c r="IK159" s="21">
        <v>0.0</v>
      </c>
      <c r="IN159" s="21" t="s">
        <v>867</v>
      </c>
      <c r="IO159" s="21" t="s">
        <v>1638</v>
      </c>
      <c r="KP159" s="21" t="s">
        <v>1638</v>
      </c>
      <c r="KU159" s="21" t="s">
        <v>2154</v>
      </c>
      <c r="KV159" s="21" t="s">
        <v>656</v>
      </c>
      <c r="WL159" s="21" t="s">
        <v>1752</v>
      </c>
      <c r="WM159" s="21" t="s">
        <v>2146</v>
      </c>
      <c r="WN159" s="21" t="s">
        <v>1754</v>
      </c>
      <c r="WO159" s="21" t="s">
        <v>1764</v>
      </c>
      <c r="WT159" s="21" t="s">
        <v>1752</v>
      </c>
      <c r="WU159" s="21" t="s">
        <v>2146</v>
      </c>
      <c r="WV159" s="21" t="s">
        <v>1764</v>
      </c>
      <c r="WW159" s="21" t="s">
        <v>1754</v>
      </c>
      <c r="WX159" s="21" t="s">
        <v>2155</v>
      </c>
    </row>
    <row r="160">
      <c r="A160" s="21">
        <v>1554.0</v>
      </c>
      <c r="B160" s="22">
        <v>41298.0</v>
      </c>
      <c r="C160" s="21">
        <v>2012.0</v>
      </c>
      <c r="D160" s="21">
        <v>2.0130007E7</v>
      </c>
      <c r="E160" s="21">
        <v>16271.0</v>
      </c>
      <c r="F160" s="21" t="s">
        <v>778</v>
      </c>
      <c r="G160" s="21">
        <v>5304.0</v>
      </c>
      <c r="H160" s="21" t="s">
        <v>932</v>
      </c>
      <c r="I160" s="21" t="s">
        <v>652</v>
      </c>
      <c r="J160" s="21" t="s">
        <v>653</v>
      </c>
      <c r="K160" s="21" t="s">
        <v>654</v>
      </c>
      <c r="L160" s="21">
        <v>77002.0</v>
      </c>
      <c r="M160" s="23">
        <v>41269.24652777778</v>
      </c>
      <c r="P160" s="21">
        <v>28.0609</v>
      </c>
      <c r="Q160" s="21">
        <v>-80.7219</v>
      </c>
      <c r="R160" s="21">
        <v>1034170.0</v>
      </c>
      <c r="S160" s="24">
        <v>41269.32013888889</v>
      </c>
      <c r="U160" s="21" t="s">
        <v>657</v>
      </c>
      <c r="W160" s="21">
        <v>293976.0</v>
      </c>
      <c r="X160" s="21">
        <v>0.0</v>
      </c>
      <c r="Z160" s="21" t="s">
        <v>656</v>
      </c>
      <c r="AF160" s="21">
        <v>0.0</v>
      </c>
      <c r="AG160" s="21" t="s">
        <v>656</v>
      </c>
      <c r="AM160" s="21">
        <v>0.0</v>
      </c>
      <c r="AO160" s="21" t="s">
        <v>659</v>
      </c>
      <c r="AQ160" s="24">
        <v>41269.24652777778</v>
      </c>
      <c r="AR160" s="24">
        <v>41383.583333333336</v>
      </c>
      <c r="AW160" s="21" t="s">
        <v>656</v>
      </c>
      <c r="BB160" s="21" t="s">
        <v>656</v>
      </c>
      <c r="BI160" s="21">
        <v>0.0</v>
      </c>
      <c r="BJ160" s="24">
        <v>41269.24652777778</v>
      </c>
      <c r="BK160" s="24">
        <v>41269.270833333336</v>
      </c>
      <c r="BM160" s="21" t="s">
        <v>662</v>
      </c>
      <c r="BN160" s="21" t="s">
        <v>934</v>
      </c>
      <c r="BO160" s="21">
        <v>32904.0</v>
      </c>
      <c r="BP160" s="21" t="s">
        <v>2156</v>
      </c>
      <c r="BQ160" s="21" t="s">
        <v>2101</v>
      </c>
      <c r="BR160" s="21" t="s">
        <v>735</v>
      </c>
      <c r="BS160" s="21" t="s">
        <v>2157</v>
      </c>
      <c r="BT160" s="21" t="s">
        <v>2158</v>
      </c>
      <c r="BU160" s="21" t="s">
        <v>2159</v>
      </c>
      <c r="BV160" s="21" t="s">
        <v>656</v>
      </c>
      <c r="BW160" s="21" t="s">
        <v>738</v>
      </c>
      <c r="BX160" s="21" t="s">
        <v>739</v>
      </c>
      <c r="BY160" s="21" t="s">
        <v>740</v>
      </c>
      <c r="CA160" s="21">
        <v>30.0</v>
      </c>
      <c r="CC160" s="21" t="s">
        <v>656</v>
      </c>
      <c r="CZ160" s="21" t="s">
        <v>712</v>
      </c>
      <c r="DA160" s="21" t="s">
        <v>741</v>
      </c>
      <c r="DB160" s="21" t="s">
        <v>714</v>
      </c>
      <c r="DC160" s="21" t="s">
        <v>769</v>
      </c>
      <c r="DD160" s="21">
        <v>20.0</v>
      </c>
      <c r="DF160" s="21">
        <v>0.25</v>
      </c>
      <c r="DG160" s="21">
        <v>52000.0</v>
      </c>
      <c r="DH160" s="21" t="s">
        <v>964</v>
      </c>
      <c r="DI160" s="21" t="s">
        <v>1645</v>
      </c>
      <c r="DK160" s="21" t="s">
        <v>1646</v>
      </c>
      <c r="DL160" s="21" t="s">
        <v>1374</v>
      </c>
      <c r="EO160" s="21">
        <v>1959.0</v>
      </c>
      <c r="EP160" s="21">
        <v>1959.0</v>
      </c>
      <c r="EQ160" s="21" t="s">
        <v>674</v>
      </c>
      <c r="ES160" s="21" t="s">
        <v>744</v>
      </c>
      <c r="EX160" s="21" t="s">
        <v>773</v>
      </c>
      <c r="EZ160" s="21">
        <v>360.0</v>
      </c>
      <c r="FA160" s="21">
        <v>54.0</v>
      </c>
      <c r="FC160" s="21" t="s">
        <v>677</v>
      </c>
      <c r="FD160" s="21" t="s">
        <v>656</v>
      </c>
      <c r="FF160" s="21">
        <v>422.0</v>
      </c>
      <c r="FH160" s="21" t="s">
        <v>656</v>
      </c>
      <c r="FI160" s="21" t="s">
        <v>656</v>
      </c>
      <c r="FJ160" s="21" t="s">
        <v>656</v>
      </c>
      <c r="FO160" s="21">
        <v>14000.0</v>
      </c>
      <c r="FP160" s="21">
        <v>1022154.0</v>
      </c>
      <c r="FQ160" s="21">
        <v>0.0</v>
      </c>
      <c r="FR160" s="21">
        <v>132077.0</v>
      </c>
      <c r="FS160" s="21">
        <v>0.0</v>
      </c>
      <c r="FT160" s="21">
        <v>0.0</v>
      </c>
      <c r="FW160" s="21">
        <v>1168231.0</v>
      </c>
      <c r="GF160" s="21">
        <v>927.0</v>
      </c>
      <c r="GH160" s="21">
        <v>936.0</v>
      </c>
      <c r="GI160" s="21" t="s">
        <v>2057</v>
      </c>
      <c r="GM160" s="21" t="s">
        <v>679</v>
      </c>
      <c r="GN160" s="21" t="s">
        <v>656</v>
      </c>
      <c r="GS160" s="21" t="s">
        <v>1228</v>
      </c>
      <c r="GT160" s="21" t="s">
        <v>720</v>
      </c>
      <c r="GU160" s="21">
        <v>74976.0</v>
      </c>
      <c r="GV160" s="21" t="s">
        <v>659</v>
      </c>
      <c r="HD160" s="21" t="s">
        <v>656</v>
      </c>
      <c r="HK160" s="21" t="s">
        <v>721</v>
      </c>
      <c r="HL160" s="21" t="s">
        <v>659</v>
      </c>
      <c r="HM160" s="21" t="s">
        <v>659</v>
      </c>
      <c r="HN160" s="21" t="s">
        <v>659</v>
      </c>
      <c r="HO160" s="21" t="s">
        <v>659</v>
      </c>
      <c r="HP160" s="21" t="s">
        <v>659</v>
      </c>
      <c r="HQ160" s="21" t="s">
        <v>806</v>
      </c>
      <c r="HT160" s="21" t="s">
        <v>760</v>
      </c>
      <c r="HV160" s="21" t="s">
        <v>659</v>
      </c>
      <c r="HY160" s="21" t="s">
        <v>659</v>
      </c>
      <c r="HZ160" s="21" t="s">
        <v>659</v>
      </c>
      <c r="IH160" s="21" t="s">
        <v>659</v>
      </c>
      <c r="II160" s="21" t="s">
        <v>656</v>
      </c>
      <c r="IJ160" s="21">
        <v>3.0</v>
      </c>
      <c r="IK160" s="21">
        <v>0.0</v>
      </c>
      <c r="IN160" s="21" t="s">
        <v>808</v>
      </c>
      <c r="IO160" s="21" t="s">
        <v>1773</v>
      </c>
      <c r="NS160" s="21" t="s">
        <v>1773</v>
      </c>
      <c r="NU160" s="21" t="s">
        <v>659</v>
      </c>
      <c r="OC160" s="21" t="s">
        <v>659</v>
      </c>
      <c r="OD160" s="21" t="s">
        <v>2160</v>
      </c>
      <c r="OK160" s="21" t="s">
        <v>659</v>
      </c>
      <c r="QW160" s="21" t="s">
        <v>659</v>
      </c>
      <c r="QX160" s="21" t="s">
        <v>659</v>
      </c>
      <c r="RA160" s="21" t="s">
        <v>659</v>
      </c>
      <c r="RD160" s="21" t="s">
        <v>659</v>
      </c>
      <c r="RE160" s="21">
        <v>2007.0</v>
      </c>
      <c r="SK160" s="21">
        <v>2007.0</v>
      </c>
      <c r="TC160" s="21" t="s">
        <v>1855</v>
      </c>
      <c r="TD160" s="21">
        <v>2012.0</v>
      </c>
      <c r="TI160" s="21" t="s">
        <v>659</v>
      </c>
      <c r="TJ160" s="21">
        <v>2000.0</v>
      </c>
      <c r="TK160" s="21">
        <v>1235.0</v>
      </c>
      <c r="TL160" s="21" t="s">
        <v>1344</v>
      </c>
      <c r="TN160" s="21">
        <v>2012.0</v>
      </c>
      <c r="TZ160" s="21" t="s">
        <v>656</v>
      </c>
      <c r="WL160" s="21" t="s">
        <v>1752</v>
      </c>
      <c r="WM160" s="21" t="s">
        <v>2146</v>
      </c>
      <c r="WN160" s="21" t="s">
        <v>1754</v>
      </c>
      <c r="WO160" s="21" t="s">
        <v>1764</v>
      </c>
      <c r="WT160" s="21" t="s">
        <v>1752</v>
      </c>
      <c r="WU160" s="21" t="s">
        <v>2146</v>
      </c>
      <c r="WV160" s="21" t="s">
        <v>1764</v>
      </c>
      <c r="WW160" s="21" t="s">
        <v>1754</v>
      </c>
      <c r="WX160" s="21" t="s">
        <v>2161</v>
      </c>
    </row>
    <row r="161">
      <c r="A161" s="21">
        <v>1557.0</v>
      </c>
      <c r="B161" s="22">
        <v>41285.0</v>
      </c>
      <c r="C161" s="21">
        <v>2012.0</v>
      </c>
      <c r="D161" s="21">
        <v>2.0130003E7</v>
      </c>
      <c r="E161" s="21">
        <v>16269.0</v>
      </c>
      <c r="F161" s="21" t="s">
        <v>778</v>
      </c>
      <c r="G161" s="21">
        <v>5304.0</v>
      </c>
      <c r="H161" s="21" t="s">
        <v>932</v>
      </c>
      <c r="I161" s="21" t="s">
        <v>652</v>
      </c>
      <c r="J161" s="21" t="s">
        <v>653</v>
      </c>
      <c r="K161" s="21" t="s">
        <v>654</v>
      </c>
      <c r="L161" s="21">
        <v>77002.0</v>
      </c>
      <c r="M161" s="23">
        <v>41256.40138888889</v>
      </c>
      <c r="P161" s="21">
        <v>26.61975</v>
      </c>
      <c r="Q161" s="21">
        <v>-80.17349</v>
      </c>
      <c r="R161" s="21">
        <v>1033110.0</v>
      </c>
      <c r="S161" s="24">
        <v>41256.42222222222</v>
      </c>
      <c r="U161" s="21" t="s">
        <v>657</v>
      </c>
      <c r="W161" s="21">
        <v>6004.0</v>
      </c>
      <c r="X161" s="21">
        <v>9344.0</v>
      </c>
      <c r="Z161" s="21" t="s">
        <v>656</v>
      </c>
      <c r="AF161" s="21">
        <v>0.0</v>
      </c>
      <c r="AG161" s="21" t="s">
        <v>656</v>
      </c>
      <c r="AM161" s="21">
        <v>0.0</v>
      </c>
      <c r="AO161" s="21" t="s">
        <v>659</v>
      </c>
      <c r="AQ161" s="24">
        <v>41256.40138888889</v>
      </c>
      <c r="AR161" s="24">
        <v>41260.82847222222</v>
      </c>
      <c r="AW161" s="21" t="s">
        <v>656</v>
      </c>
      <c r="BB161" s="21" t="s">
        <v>656</v>
      </c>
      <c r="BI161" s="21">
        <v>0.0</v>
      </c>
      <c r="BJ161" s="24">
        <v>41256.40138888889</v>
      </c>
      <c r="BK161" s="24">
        <v>41256.40138888889</v>
      </c>
      <c r="BM161" s="21" t="s">
        <v>662</v>
      </c>
      <c r="BN161" s="21" t="s">
        <v>934</v>
      </c>
      <c r="BO161" s="21">
        <v>33467.0</v>
      </c>
      <c r="BP161" s="21" t="s">
        <v>1641</v>
      </c>
      <c r="BQ161" s="21" t="s">
        <v>2162</v>
      </c>
      <c r="BR161" s="21" t="s">
        <v>735</v>
      </c>
      <c r="BS161" s="21" t="s">
        <v>2163</v>
      </c>
      <c r="BT161" s="21" t="s">
        <v>2164</v>
      </c>
      <c r="BU161" s="21" t="s">
        <v>2165</v>
      </c>
      <c r="BV161" s="21" t="s">
        <v>656</v>
      </c>
      <c r="BW161" s="21" t="s">
        <v>738</v>
      </c>
      <c r="BX161" s="21" t="s">
        <v>739</v>
      </c>
      <c r="BY161" s="21" t="s">
        <v>740</v>
      </c>
      <c r="CA161" s="21">
        <v>98.0</v>
      </c>
      <c r="CC161" s="21" t="s">
        <v>656</v>
      </c>
      <c r="CZ161" s="21" t="s">
        <v>712</v>
      </c>
      <c r="DA161" s="21" t="s">
        <v>741</v>
      </c>
      <c r="DB161" s="21" t="s">
        <v>714</v>
      </c>
      <c r="DC161" s="21" t="s">
        <v>715</v>
      </c>
      <c r="DD161" s="21">
        <v>18.0</v>
      </c>
      <c r="DF161" s="21">
        <v>0.25</v>
      </c>
      <c r="DG161" s="21">
        <v>52000.0</v>
      </c>
      <c r="DH161" s="21" t="s">
        <v>964</v>
      </c>
      <c r="DI161" s="21" t="s">
        <v>1645</v>
      </c>
      <c r="DK161" s="21" t="s">
        <v>1646</v>
      </c>
      <c r="DL161" s="21" t="s">
        <v>1374</v>
      </c>
      <c r="EO161" s="21">
        <v>1959.0</v>
      </c>
      <c r="EP161" s="21">
        <v>1959.0</v>
      </c>
      <c r="EQ161" s="21" t="s">
        <v>674</v>
      </c>
      <c r="ES161" s="21" t="s">
        <v>675</v>
      </c>
      <c r="EV161" s="21" t="s">
        <v>696</v>
      </c>
      <c r="EW161" s="21" t="s">
        <v>2166</v>
      </c>
      <c r="FC161" s="21" t="s">
        <v>1256</v>
      </c>
      <c r="FD161" s="21" t="s">
        <v>659</v>
      </c>
      <c r="FE161" s="21" t="s">
        <v>1216</v>
      </c>
      <c r="FF161" s="21">
        <v>366.0</v>
      </c>
      <c r="FH161" s="21" t="s">
        <v>656</v>
      </c>
      <c r="FI161" s="21" t="s">
        <v>656</v>
      </c>
      <c r="FJ161" s="21" t="s">
        <v>656</v>
      </c>
      <c r="FO161" s="21">
        <v>50000.0</v>
      </c>
      <c r="FP161" s="21">
        <v>20188.0</v>
      </c>
      <c r="FQ161" s="21">
        <v>31453.0</v>
      </c>
      <c r="FR161" s="21">
        <v>483900.0</v>
      </c>
      <c r="FS161" s="21">
        <v>4000.0</v>
      </c>
      <c r="FT161" s="21">
        <v>0.0</v>
      </c>
      <c r="FW161" s="21">
        <v>589541.0</v>
      </c>
      <c r="GF161" s="21">
        <v>840.0</v>
      </c>
      <c r="GH161" s="21">
        <v>866.0</v>
      </c>
      <c r="GI161" s="21" t="s">
        <v>2057</v>
      </c>
      <c r="GM161" s="21" t="s">
        <v>679</v>
      </c>
      <c r="GN161" s="21" t="s">
        <v>656</v>
      </c>
      <c r="GS161" s="21" t="s">
        <v>1228</v>
      </c>
      <c r="GT161" s="21" t="s">
        <v>1228</v>
      </c>
      <c r="GU161" s="21">
        <v>27456.0</v>
      </c>
      <c r="GV161" s="21" t="s">
        <v>659</v>
      </c>
      <c r="HD161" s="21" t="s">
        <v>656</v>
      </c>
      <c r="HK161" s="21" t="s">
        <v>721</v>
      </c>
      <c r="HL161" s="21" t="s">
        <v>659</v>
      </c>
      <c r="HM161" s="21" t="s">
        <v>659</v>
      </c>
      <c r="HN161" s="21" t="s">
        <v>659</v>
      </c>
      <c r="HO161" s="21" t="s">
        <v>656</v>
      </c>
      <c r="HP161" s="21" t="s">
        <v>656</v>
      </c>
      <c r="HQ161" s="21" t="s">
        <v>698</v>
      </c>
      <c r="HS161" s="21" t="s">
        <v>1003</v>
      </c>
      <c r="HT161" s="21" t="s">
        <v>723</v>
      </c>
      <c r="HU161" s="21" t="s">
        <v>2167</v>
      </c>
      <c r="IH161" s="21" t="s">
        <v>656</v>
      </c>
      <c r="II161" s="21" t="s">
        <v>656</v>
      </c>
      <c r="IN161" s="21" t="s">
        <v>925</v>
      </c>
      <c r="IO161" s="21" t="s">
        <v>925</v>
      </c>
      <c r="MP161" s="21" t="s">
        <v>925</v>
      </c>
      <c r="MZ161" s="21" t="s">
        <v>2168</v>
      </c>
      <c r="WL161" s="21" t="s">
        <v>1752</v>
      </c>
      <c r="WM161" s="21" t="s">
        <v>2146</v>
      </c>
      <c r="WN161" s="21" t="s">
        <v>1754</v>
      </c>
      <c r="WO161" s="21" t="s">
        <v>1764</v>
      </c>
      <c r="WT161" s="21" t="s">
        <v>1752</v>
      </c>
      <c r="WU161" s="21" t="s">
        <v>2146</v>
      </c>
      <c r="WV161" s="21" t="s">
        <v>1764</v>
      </c>
      <c r="WW161" s="21" t="s">
        <v>1754</v>
      </c>
      <c r="WX161" s="21" t="s">
        <v>2169</v>
      </c>
    </row>
    <row r="162">
      <c r="A162" s="21">
        <v>1578.0</v>
      </c>
      <c r="B162" s="22">
        <v>41233.0</v>
      </c>
      <c r="C162" s="21">
        <v>2012.0</v>
      </c>
      <c r="D162" s="21">
        <v>2.0120116E7</v>
      </c>
      <c r="E162" s="21">
        <v>16026.0</v>
      </c>
      <c r="F162" s="21" t="s">
        <v>778</v>
      </c>
      <c r="G162" s="21">
        <v>18152.0</v>
      </c>
      <c r="H162" s="21" t="s">
        <v>702</v>
      </c>
      <c r="I162" s="21" t="s">
        <v>652</v>
      </c>
      <c r="J162" s="21" t="s">
        <v>653</v>
      </c>
      <c r="K162" s="21" t="s">
        <v>654</v>
      </c>
      <c r="L162" s="21">
        <v>77002.0</v>
      </c>
      <c r="M162" s="23">
        <v>41203.645833333336</v>
      </c>
      <c r="P162" s="21">
        <v>28.2605</v>
      </c>
      <c r="Q162" s="21">
        <v>-92.5241</v>
      </c>
      <c r="R162" s="21">
        <v>1027955.0</v>
      </c>
      <c r="S162" s="24">
        <v>41203.645833333336</v>
      </c>
      <c r="U162" s="21" t="s">
        <v>657</v>
      </c>
      <c r="W162" s="21">
        <v>3286.0</v>
      </c>
      <c r="X162" s="21">
        <v>0.0</v>
      </c>
      <c r="Y162" s="21">
        <v>0.0</v>
      </c>
      <c r="Z162" s="21" t="s">
        <v>656</v>
      </c>
      <c r="AF162" s="21">
        <v>0.0</v>
      </c>
      <c r="AG162" s="21" t="s">
        <v>656</v>
      </c>
      <c r="AM162" s="21">
        <v>0.0</v>
      </c>
      <c r="AO162" s="21" t="s">
        <v>659</v>
      </c>
      <c r="AQ162" s="24">
        <v>41203.67291666667</v>
      </c>
      <c r="AR162" s="24">
        <v>41214.73819444444</v>
      </c>
      <c r="AW162" s="21" t="s">
        <v>656</v>
      </c>
      <c r="BB162" s="21" t="s">
        <v>656</v>
      </c>
      <c r="BI162" s="21">
        <v>0.0</v>
      </c>
      <c r="BJ162" s="24">
        <v>41203.65277777778</v>
      </c>
      <c r="BK162" s="24">
        <v>41204.354166666664</v>
      </c>
      <c r="BM162" s="21" t="s">
        <v>705</v>
      </c>
      <c r="CP162" s="21">
        <v>164.0</v>
      </c>
      <c r="CQ162" s="21" t="s">
        <v>708</v>
      </c>
      <c r="CW162" s="21" t="s">
        <v>1618</v>
      </c>
      <c r="CX162" s="21">
        <v>265.0</v>
      </c>
      <c r="CY162" s="21" t="s">
        <v>711</v>
      </c>
      <c r="CZ162" s="21" t="s">
        <v>712</v>
      </c>
      <c r="DA162" s="21" t="s">
        <v>713</v>
      </c>
      <c r="DB162" s="21" t="s">
        <v>714</v>
      </c>
      <c r="DC162" s="21" t="s">
        <v>715</v>
      </c>
      <c r="DD162" s="21">
        <v>12.75</v>
      </c>
      <c r="DF162" s="21">
        <v>0.5</v>
      </c>
      <c r="DG162" s="21">
        <v>52000.0</v>
      </c>
      <c r="DH162" s="21" t="s">
        <v>2170</v>
      </c>
      <c r="DI162" s="21" t="s">
        <v>921</v>
      </c>
      <c r="DK162" s="21" t="s">
        <v>2011</v>
      </c>
      <c r="DL162" s="21" t="s">
        <v>696</v>
      </c>
      <c r="DM162" s="21" t="s">
        <v>877</v>
      </c>
      <c r="EO162" s="21">
        <v>1970.0</v>
      </c>
      <c r="EP162" s="21">
        <v>1970.0</v>
      </c>
      <c r="EQ162" s="21" t="s">
        <v>674</v>
      </c>
      <c r="ES162" s="21" t="s">
        <v>675</v>
      </c>
      <c r="EV162" s="21" t="s">
        <v>718</v>
      </c>
      <c r="FC162" s="21" t="s">
        <v>677</v>
      </c>
      <c r="FD162" s="21" t="s">
        <v>656</v>
      </c>
      <c r="FF162" s="21">
        <v>276.0</v>
      </c>
      <c r="FH162" s="21" t="s">
        <v>656</v>
      </c>
      <c r="FI162" s="21" t="s">
        <v>656</v>
      </c>
      <c r="FJ162" s="21" t="s">
        <v>656</v>
      </c>
      <c r="FO162" s="21">
        <v>0.0</v>
      </c>
      <c r="FP162" s="21">
        <v>3600.0</v>
      </c>
      <c r="FQ162" s="21">
        <v>0.0</v>
      </c>
      <c r="FR162" s="21">
        <v>475000.0</v>
      </c>
      <c r="FS162" s="21">
        <v>5000.0</v>
      </c>
      <c r="FT162" s="21">
        <v>0.0</v>
      </c>
      <c r="FW162" s="21">
        <v>483600.0</v>
      </c>
      <c r="GF162" s="21">
        <v>925.0</v>
      </c>
      <c r="GH162" s="21">
        <v>984.0</v>
      </c>
      <c r="GI162" s="21" t="s">
        <v>2057</v>
      </c>
      <c r="GM162" s="21" t="s">
        <v>679</v>
      </c>
      <c r="GN162" s="21" t="s">
        <v>656</v>
      </c>
      <c r="GS162" s="21" t="s">
        <v>720</v>
      </c>
      <c r="GT162" s="21" t="s">
        <v>1409</v>
      </c>
      <c r="GU162" s="21">
        <v>4171.0</v>
      </c>
      <c r="GV162" s="21" t="s">
        <v>656</v>
      </c>
      <c r="GW162" s="21" t="s">
        <v>659</v>
      </c>
      <c r="GX162" s="21" t="s">
        <v>659</v>
      </c>
      <c r="GY162" s="21" t="s">
        <v>659</v>
      </c>
      <c r="GZ162" s="21" t="s">
        <v>659</v>
      </c>
      <c r="HD162" s="21" t="s">
        <v>656</v>
      </c>
      <c r="HK162" s="21" t="s">
        <v>721</v>
      </c>
      <c r="HL162" s="21" t="s">
        <v>659</v>
      </c>
      <c r="HM162" s="21" t="s">
        <v>659</v>
      </c>
      <c r="HN162" s="21" t="s">
        <v>659</v>
      </c>
      <c r="HO162" s="21" t="s">
        <v>656</v>
      </c>
      <c r="HP162" s="21" t="s">
        <v>659</v>
      </c>
      <c r="HQ162" s="21" t="s">
        <v>696</v>
      </c>
      <c r="HR162" s="21" t="s">
        <v>2171</v>
      </c>
      <c r="HT162" s="21" t="s">
        <v>723</v>
      </c>
      <c r="HU162" s="21" t="s">
        <v>2172</v>
      </c>
      <c r="IH162" s="21" t="s">
        <v>656</v>
      </c>
      <c r="II162" s="21" t="s">
        <v>656</v>
      </c>
      <c r="IN162" s="21" t="s">
        <v>725</v>
      </c>
      <c r="IO162" s="21" t="s">
        <v>726</v>
      </c>
      <c r="IP162" s="21" t="s">
        <v>726</v>
      </c>
      <c r="JT162" s="21" t="s">
        <v>696</v>
      </c>
      <c r="JU162" s="21" t="s">
        <v>2173</v>
      </c>
      <c r="JZ162" s="21" t="s">
        <v>659</v>
      </c>
      <c r="KA162" s="21" t="s">
        <v>2174</v>
      </c>
      <c r="KD162" s="21" t="s">
        <v>659</v>
      </c>
      <c r="KE162" s="21" t="s">
        <v>1954</v>
      </c>
      <c r="KJ162" s="21" t="s">
        <v>659</v>
      </c>
      <c r="KK162" s="21" t="s">
        <v>2175</v>
      </c>
      <c r="KL162" s="21" t="s">
        <v>659</v>
      </c>
      <c r="KM162" s="21" t="s">
        <v>656</v>
      </c>
      <c r="KN162" s="21" t="s">
        <v>656</v>
      </c>
      <c r="KO162" s="21" t="s">
        <v>656</v>
      </c>
      <c r="QW162" s="21" t="s">
        <v>656</v>
      </c>
      <c r="TI162" s="21" t="s">
        <v>659</v>
      </c>
      <c r="TJ162" s="21">
        <v>2009.0</v>
      </c>
      <c r="TK162" s="21">
        <v>1941.0</v>
      </c>
      <c r="TL162" s="21" t="s">
        <v>656</v>
      </c>
      <c r="TZ162" s="21" t="s">
        <v>656</v>
      </c>
      <c r="WL162" s="21" t="s">
        <v>1752</v>
      </c>
      <c r="WM162" s="21" t="s">
        <v>2146</v>
      </c>
      <c r="WN162" s="21" t="s">
        <v>1754</v>
      </c>
      <c r="WO162" s="21" t="s">
        <v>1764</v>
      </c>
      <c r="WT162" s="21" t="s">
        <v>1752</v>
      </c>
      <c r="WU162" s="21" t="s">
        <v>2146</v>
      </c>
      <c r="WV162" s="21" t="s">
        <v>1764</v>
      </c>
      <c r="WW162" s="21" t="s">
        <v>1754</v>
      </c>
      <c r="WX162" s="21" t="s">
        <v>2176</v>
      </c>
    </row>
    <row r="163">
      <c r="A163" s="21">
        <v>1582.0</v>
      </c>
      <c r="B163" s="22">
        <v>41201.0</v>
      </c>
      <c r="C163" s="21">
        <v>2012.0</v>
      </c>
      <c r="D163" s="21">
        <v>2.0120105E7</v>
      </c>
      <c r="E163" s="21">
        <v>16034.0</v>
      </c>
      <c r="F163" s="21" t="s">
        <v>778</v>
      </c>
      <c r="G163" s="21">
        <v>5304.0</v>
      </c>
      <c r="H163" s="21" t="s">
        <v>932</v>
      </c>
      <c r="I163" s="21" t="s">
        <v>652</v>
      </c>
      <c r="J163" s="21" t="s">
        <v>653</v>
      </c>
      <c r="K163" s="21" t="s">
        <v>654</v>
      </c>
      <c r="L163" s="21">
        <v>77002.0</v>
      </c>
      <c r="M163" s="23">
        <v>41176.57638888889</v>
      </c>
      <c r="P163" s="21">
        <v>28.567233</v>
      </c>
      <c r="Q163" s="21">
        <v>-96.853967</v>
      </c>
      <c r="R163" s="21">
        <v>1025554.0</v>
      </c>
      <c r="S163" s="24">
        <v>41177.69513888889</v>
      </c>
      <c r="U163" s="21" t="s">
        <v>657</v>
      </c>
      <c r="W163" s="21">
        <v>750.0</v>
      </c>
      <c r="X163" s="21">
        <v>2486.0</v>
      </c>
      <c r="Y163" s="21">
        <v>1.0</v>
      </c>
      <c r="Z163" s="21" t="s">
        <v>656</v>
      </c>
      <c r="AF163" s="21">
        <v>0.0</v>
      </c>
      <c r="AG163" s="21" t="s">
        <v>656</v>
      </c>
      <c r="AM163" s="21">
        <v>0.0</v>
      </c>
      <c r="AO163" s="21" t="s">
        <v>659</v>
      </c>
      <c r="AQ163" s="24">
        <v>41176.72638888889</v>
      </c>
      <c r="AR163" s="24">
        <v>41176.8125</v>
      </c>
      <c r="AW163" s="21" t="s">
        <v>656</v>
      </c>
      <c r="BB163" s="21" t="s">
        <v>656</v>
      </c>
      <c r="BI163" s="21">
        <v>0.0</v>
      </c>
      <c r="BJ163" s="24">
        <v>41176.57638888889</v>
      </c>
      <c r="BK163" s="24">
        <v>41176.65277777778</v>
      </c>
      <c r="BM163" s="21" t="s">
        <v>662</v>
      </c>
      <c r="BN163" s="21" t="s">
        <v>654</v>
      </c>
      <c r="BO163" s="21">
        <v>77979.0</v>
      </c>
      <c r="BP163" s="21" t="s">
        <v>2177</v>
      </c>
      <c r="BQ163" s="21" t="s">
        <v>2178</v>
      </c>
      <c r="BR163" s="21" t="s">
        <v>892</v>
      </c>
      <c r="BS163" s="21" t="s">
        <v>2179</v>
      </c>
      <c r="BT163" s="21" t="s">
        <v>2180</v>
      </c>
      <c r="BU163" s="21" t="s">
        <v>2181</v>
      </c>
      <c r="BV163" s="21" t="s">
        <v>656</v>
      </c>
      <c r="BW163" s="21" t="s">
        <v>738</v>
      </c>
      <c r="BX163" s="21" t="s">
        <v>739</v>
      </c>
      <c r="BY163" s="21" t="s">
        <v>740</v>
      </c>
      <c r="CA163" s="21">
        <v>36.0</v>
      </c>
      <c r="CC163" s="21" t="s">
        <v>656</v>
      </c>
      <c r="CZ163" s="21" t="s">
        <v>712</v>
      </c>
      <c r="DA163" s="21" t="s">
        <v>741</v>
      </c>
      <c r="DB163" s="21" t="s">
        <v>714</v>
      </c>
      <c r="DC163" s="21" t="s">
        <v>715</v>
      </c>
      <c r="DD163" s="21">
        <v>20.0</v>
      </c>
      <c r="DF163" s="21">
        <v>0.281</v>
      </c>
      <c r="DG163" s="21">
        <v>52000.0</v>
      </c>
      <c r="DH163" s="21" t="s">
        <v>1039</v>
      </c>
      <c r="DI163" s="21" t="s">
        <v>1645</v>
      </c>
      <c r="DK163" s="21" t="s">
        <v>1050</v>
      </c>
      <c r="DL163" s="21" t="s">
        <v>743</v>
      </c>
      <c r="EO163" s="21">
        <v>1959.0</v>
      </c>
      <c r="EP163" s="21">
        <v>1959.0</v>
      </c>
      <c r="EQ163" s="21" t="s">
        <v>674</v>
      </c>
      <c r="ES163" s="21" t="s">
        <v>675</v>
      </c>
      <c r="EV163" s="21" t="s">
        <v>718</v>
      </c>
      <c r="FC163" s="21" t="s">
        <v>677</v>
      </c>
      <c r="FD163" s="21" t="s">
        <v>656</v>
      </c>
      <c r="FF163" s="21">
        <v>430.0</v>
      </c>
      <c r="FH163" s="21" t="s">
        <v>656</v>
      </c>
      <c r="FI163" s="21" t="s">
        <v>656</v>
      </c>
      <c r="FJ163" s="21" t="s">
        <v>656</v>
      </c>
      <c r="FO163" s="21">
        <v>0.0</v>
      </c>
      <c r="FP163" s="21">
        <v>2355.0</v>
      </c>
      <c r="FQ163" s="21">
        <v>7806.0</v>
      </c>
      <c r="FR163" s="21">
        <v>80000.0</v>
      </c>
      <c r="FS163" s="21">
        <v>0.0</v>
      </c>
      <c r="FT163" s="21">
        <v>0.0</v>
      </c>
      <c r="FW163" s="21">
        <v>90161.0</v>
      </c>
      <c r="GF163" s="21">
        <v>862.0</v>
      </c>
      <c r="GH163" s="21">
        <v>975.0</v>
      </c>
      <c r="GI163" s="21" t="s">
        <v>2057</v>
      </c>
      <c r="GM163" s="21" t="s">
        <v>679</v>
      </c>
      <c r="GN163" s="21" t="s">
        <v>656</v>
      </c>
      <c r="GS163" s="21" t="s">
        <v>720</v>
      </c>
      <c r="GT163" s="21" t="s">
        <v>1228</v>
      </c>
      <c r="GU163" s="21">
        <v>73212.0</v>
      </c>
      <c r="GV163" s="21" t="s">
        <v>659</v>
      </c>
      <c r="HD163" s="21" t="s">
        <v>656</v>
      </c>
      <c r="HK163" s="21" t="s">
        <v>721</v>
      </c>
      <c r="HL163" s="21" t="s">
        <v>659</v>
      </c>
      <c r="HM163" s="21" t="s">
        <v>659</v>
      </c>
      <c r="HN163" s="21" t="s">
        <v>659</v>
      </c>
      <c r="HO163" s="21" t="s">
        <v>656</v>
      </c>
      <c r="HP163" s="21" t="s">
        <v>656</v>
      </c>
      <c r="HQ163" s="21" t="s">
        <v>1557</v>
      </c>
      <c r="HS163" s="21" t="s">
        <v>699</v>
      </c>
      <c r="HT163" s="21" t="s">
        <v>723</v>
      </c>
      <c r="HU163" s="21" t="s">
        <v>2182</v>
      </c>
      <c r="IH163" s="21" t="s">
        <v>656</v>
      </c>
      <c r="II163" s="21" t="s">
        <v>656</v>
      </c>
      <c r="IN163" s="21" t="s">
        <v>725</v>
      </c>
      <c r="IO163" s="21" t="s">
        <v>900</v>
      </c>
      <c r="IP163" s="21" t="s">
        <v>900</v>
      </c>
      <c r="IQ163" s="21" t="s">
        <v>1014</v>
      </c>
      <c r="IS163" s="21" t="s">
        <v>659</v>
      </c>
      <c r="JB163" s="21" t="s">
        <v>659</v>
      </c>
      <c r="JF163" s="21" t="s">
        <v>659</v>
      </c>
      <c r="JG163" s="21" t="s">
        <v>659</v>
      </c>
      <c r="JH163" s="21">
        <v>1959.0</v>
      </c>
      <c r="JI163" s="21" t="s">
        <v>659</v>
      </c>
      <c r="JJ163" s="21" t="s">
        <v>659</v>
      </c>
      <c r="JK163" s="21" t="s">
        <v>659</v>
      </c>
      <c r="JL163" s="21" t="s">
        <v>659</v>
      </c>
      <c r="JM163" s="21" t="s">
        <v>659</v>
      </c>
      <c r="JO163" s="21">
        <v>2012.0</v>
      </c>
      <c r="JP163" s="21">
        <v>2012.0</v>
      </c>
      <c r="JQ163" s="21">
        <v>2012.0</v>
      </c>
      <c r="JS163" s="21" t="s">
        <v>656</v>
      </c>
      <c r="QW163" s="21" t="s">
        <v>659</v>
      </c>
      <c r="QX163" s="21" t="s">
        <v>659</v>
      </c>
      <c r="RE163" s="21">
        <v>1997.0</v>
      </c>
      <c r="TI163" s="21" t="s">
        <v>659</v>
      </c>
      <c r="TJ163" s="21">
        <v>1959.0</v>
      </c>
      <c r="TK163" s="21">
        <v>1227.0</v>
      </c>
      <c r="TL163" s="21" t="s">
        <v>656</v>
      </c>
      <c r="TZ163" s="21" t="s">
        <v>656</v>
      </c>
      <c r="WL163" s="21" t="s">
        <v>1752</v>
      </c>
      <c r="WM163" s="21" t="s">
        <v>2146</v>
      </c>
      <c r="WN163" s="21" t="s">
        <v>1754</v>
      </c>
      <c r="WO163" s="21" t="s">
        <v>2183</v>
      </c>
      <c r="WP163" s="21" t="s">
        <v>2184</v>
      </c>
      <c r="WT163" s="21" t="s">
        <v>1752</v>
      </c>
      <c r="WU163" s="21" t="s">
        <v>2146</v>
      </c>
      <c r="WV163" s="21" t="s">
        <v>2183</v>
      </c>
      <c r="WW163" s="21" t="s">
        <v>1754</v>
      </c>
      <c r="WX163" s="21" t="s">
        <v>2185</v>
      </c>
    </row>
    <row r="164">
      <c r="A164" s="21">
        <v>1649.0</v>
      </c>
      <c r="B164" s="22">
        <v>40982.0</v>
      </c>
      <c r="C164" s="21">
        <v>2012.0</v>
      </c>
      <c r="D164" s="21">
        <v>2.0120029E7</v>
      </c>
      <c r="E164" s="21">
        <v>16041.0</v>
      </c>
      <c r="F164" s="21" t="s">
        <v>778</v>
      </c>
      <c r="G164" s="21">
        <v>19730.0</v>
      </c>
      <c r="H164" s="21" t="s">
        <v>750</v>
      </c>
      <c r="I164" s="21" t="s">
        <v>2186</v>
      </c>
      <c r="J164" s="21" t="s">
        <v>653</v>
      </c>
      <c r="K164" s="21" t="s">
        <v>654</v>
      </c>
      <c r="L164" s="21">
        <v>7.70565306E8</v>
      </c>
      <c r="M164" s="23">
        <v>40974.322916666664</v>
      </c>
      <c r="P164" s="21">
        <v>29.6954</v>
      </c>
      <c r="Q164" s="21">
        <v>-91.3564</v>
      </c>
      <c r="R164" s="21">
        <v>1004924.0</v>
      </c>
      <c r="S164" s="24">
        <v>40974.43194444444</v>
      </c>
      <c r="U164" s="21" t="s">
        <v>657</v>
      </c>
      <c r="W164" s="21">
        <v>900.0</v>
      </c>
      <c r="X164" s="21">
        <v>0.0</v>
      </c>
      <c r="Y164" s="21">
        <v>0.01</v>
      </c>
      <c r="Z164" s="21" t="s">
        <v>656</v>
      </c>
      <c r="AF164" s="21">
        <v>0.0</v>
      </c>
      <c r="AG164" s="21" t="s">
        <v>656</v>
      </c>
      <c r="AM164" s="21">
        <v>0.0</v>
      </c>
      <c r="AO164" s="21" t="s">
        <v>659</v>
      </c>
      <c r="AQ164" s="24">
        <v>40974.322916666664</v>
      </c>
      <c r="AR164" s="24">
        <v>40974.39236111111</v>
      </c>
      <c r="AW164" s="21" t="s">
        <v>656</v>
      </c>
      <c r="BB164" s="21" t="s">
        <v>656</v>
      </c>
      <c r="BI164" s="21">
        <v>0.0</v>
      </c>
      <c r="BJ164" s="24">
        <v>40974.322916666664</v>
      </c>
      <c r="BK164" s="24">
        <v>40974.322916666664</v>
      </c>
      <c r="BM164" s="21" t="s">
        <v>662</v>
      </c>
      <c r="BN164" s="21" t="s">
        <v>751</v>
      </c>
      <c r="BO164" s="21">
        <v>70392.0</v>
      </c>
      <c r="BP164" s="21" t="s">
        <v>2187</v>
      </c>
      <c r="BQ164" s="21" t="s">
        <v>2188</v>
      </c>
      <c r="BR164" s="21" t="s">
        <v>892</v>
      </c>
      <c r="BS164" s="21" t="s">
        <v>2189</v>
      </c>
      <c r="BT164" s="21" t="s">
        <v>2190</v>
      </c>
      <c r="BU164" s="21" t="s">
        <v>2191</v>
      </c>
      <c r="BV164" s="21" t="s">
        <v>656</v>
      </c>
      <c r="BW164" s="21" t="s">
        <v>668</v>
      </c>
      <c r="BX164" s="21" t="s">
        <v>669</v>
      </c>
      <c r="BY164" s="21" t="s">
        <v>670</v>
      </c>
      <c r="CC164" s="21" t="s">
        <v>656</v>
      </c>
      <c r="CZ164" s="21" t="s">
        <v>712</v>
      </c>
      <c r="DA164" s="21" t="s">
        <v>672</v>
      </c>
      <c r="DB164" s="21" t="s">
        <v>1881</v>
      </c>
      <c r="EO164" s="21">
        <v>1978.0</v>
      </c>
      <c r="EQ164" s="21" t="s">
        <v>674</v>
      </c>
      <c r="ES164" s="21" t="s">
        <v>696</v>
      </c>
      <c r="FB164" s="21" t="s">
        <v>2192</v>
      </c>
      <c r="FC164" s="21" t="s">
        <v>677</v>
      </c>
      <c r="FD164" s="21" t="s">
        <v>656</v>
      </c>
      <c r="FF164" s="21">
        <v>717.0</v>
      </c>
      <c r="FH164" s="21" t="s">
        <v>656</v>
      </c>
      <c r="FI164" s="21" t="s">
        <v>659</v>
      </c>
      <c r="FJ164" s="21" t="s">
        <v>656</v>
      </c>
      <c r="FO164" s="21">
        <v>0.0</v>
      </c>
      <c r="FP164" s="21">
        <v>1989.0</v>
      </c>
      <c r="FQ164" s="21">
        <v>0.0</v>
      </c>
      <c r="FR164" s="21">
        <v>0.0</v>
      </c>
      <c r="FS164" s="21">
        <v>0.0</v>
      </c>
      <c r="FT164" s="21">
        <v>0.0</v>
      </c>
      <c r="FW164" s="21">
        <v>1989.0</v>
      </c>
      <c r="GF164" s="21">
        <v>1050.0</v>
      </c>
      <c r="GH164" s="21">
        <v>1200.0</v>
      </c>
      <c r="GI164" s="21" t="s">
        <v>2057</v>
      </c>
      <c r="GM164" s="21" t="s">
        <v>679</v>
      </c>
      <c r="GN164" s="21" t="s">
        <v>656</v>
      </c>
      <c r="HK164" s="21" t="s">
        <v>721</v>
      </c>
      <c r="HL164" s="21" t="s">
        <v>659</v>
      </c>
      <c r="HM164" s="21" t="s">
        <v>659</v>
      </c>
      <c r="HN164" s="21" t="s">
        <v>659</v>
      </c>
      <c r="HO164" s="21" t="s">
        <v>656</v>
      </c>
      <c r="HP164" s="21" t="s">
        <v>656</v>
      </c>
      <c r="HQ164" s="21" t="s">
        <v>698</v>
      </c>
      <c r="HS164" s="21" t="s">
        <v>699</v>
      </c>
      <c r="HT164" s="21" t="s">
        <v>723</v>
      </c>
      <c r="HU164" s="21" t="s">
        <v>2193</v>
      </c>
      <c r="IH164" s="21" t="s">
        <v>659</v>
      </c>
      <c r="II164" s="21" t="s">
        <v>656</v>
      </c>
      <c r="IJ164" s="21">
        <v>11.0</v>
      </c>
      <c r="IK164" s="21">
        <v>0.0</v>
      </c>
      <c r="IN164" s="21" t="s">
        <v>683</v>
      </c>
      <c r="IO164" s="21" t="s">
        <v>1424</v>
      </c>
      <c r="QS164" s="21" t="s">
        <v>1424</v>
      </c>
      <c r="QT164" s="21" t="s">
        <v>2194</v>
      </c>
      <c r="WL164" s="21" t="s">
        <v>1752</v>
      </c>
      <c r="WM164" s="21" t="s">
        <v>2146</v>
      </c>
      <c r="WN164" s="21" t="s">
        <v>1754</v>
      </c>
      <c r="WO164" s="21" t="s">
        <v>1764</v>
      </c>
      <c r="WT164" s="21" t="s">
        <v>1752</v>
      </c>
      <c r="WU164" s="21" t="s">
        <v>2146</v>
      </c>
      <c r="WV164" s="21" t="s">
        <v>1764</v>
      </c>
      <c r="WW164" s="21" t="s">
        <v>1754</v>
      </c>
      <c r="WX164" s="21" t="s">
        <v>2195</v>
      </c>
    </row>
    <row r="165">
      <c r="A165" s="21">
        <v>1651.0</v>
      </c>
      <c r="B165" s="22">
        <v>40981.0</v>
      </c>
      <c r="C165" s="21">
        <v>2012.0</v>
      </c>
      <c r="D165" s="21">
        <v>2.0120028E7</v>
      </c>
      <c r="E165" s="21">
        <v>16022.0</v>
      </c>
      <c r="F165" s="21" t="s">
        <v>778</v>
      </c>
      <c r="G165" s="21">
        <v>5304.0</v>
      </c>
      <c r="H165" s="21" t="s">
        <v>932</v>
      </c>
      <c r="I165" s="21" t="s">
        <v>2186</v>
      </c>
      <c r="J165" s="21" t="s">
        <v>653</v>
      </c>
      <c r="K165" s="21" t="s">
        <v>654</v>
      </c>
      <c r="L165" s="21">
        <v>77056.0</v>
      </c>
      <c r="M165" s="23">
        <v>40952.10138888889</v>
      </c>
      <c r="P165" s="21">
        <v>30.64053</v>
      </c>
      <c r="Q165" s="21">
        <v>-91.01618</v>
      </c>
      <c r="R165" s="21">
        <v>1002823.0</v>
      </c>
      <c r="S165" s="24">
        <v>40952.21875</v>
      </c>
      <c r="U165" s="21" t="s">
        <v>657</v>
      </c>
      <c r="W165" s="21">
        <v>2250.0</v>
      </c>
      <c r="X165" s="21">
        <v>1290.0</v>
      </c>
      <c r="Y165" s="21">
        <v>0.0</v>
      </c>
      <c r="Z165" s="21" t="s">
        <v>656</v>
      </c>
      <c r="AF165" s="21">
        <v>0.0</v>
      </c>
      <c r="AG165" s="21" t="s">
        <v>656</v>
      </c>
      <c r="AM165" s="21">
        <v>0.0</v>
      </c>
      <c r="AO165" s="21" t="s">
        <v>659</v>
      </c>
      <c r="AQ165" s="24">
        <v>40952.10763888889</v>
      </c>
      <c r="AR165" s="24">
        <v>40976.8125</v>
      </c>
      <c r="AW165" s="21" t="s">
        <v>656</v>
      </c>
      <c r="BB165" s="21" t="s">
        <v>656</v>
      </c>
      <c r="BI165" s="21">
        <v>0.0</v>
      </c>
      <c r="BJ165" s="24">
        <v>40952.104166666664</v>
      </c>
      <c r="BK165" s="24">
        <v>40952.13888888889</v>
      </c>
      <c r="BM165" s="21" t="s">
        <v>662</v>
      </c>
      <c r="BN165" s="21" t="s">
        <v>751</v>
      </c>
      <c r="BO165" s="21">
        <v>70770.0</v>
      </c>
      <c r="BP165" s="21" t="s">
        <v>2196</v>
      </c>
      <c r="BQ165" s="21" t="s">
        <v>2197</v>
      </c>
      <c r="BR165" s="21" t="s">
        <v>735</v>
      </c>
      <c r="BS165" s="21" t="s">
        <v>2198</v>
      </c>
      <c r="BT165" s="21" t="s">
        <v>2199</v>
      </c>
      <c r="BU165" s="21" t="s">
        <v>2200</v>
      </c>
      <c r="BV165" s="21" t="s">
        <v>656</v>
      </c>
      <c r="BW165" s="21" t="s">
        <v>738</v>
      </c>
      <c r="BX165" s="21" t="s">
        <v>739</v>
      </c>
      <c r="BY165" s="21" t="s">
        <v>740</v>
      </c>
      <c r="CA165" s="21">
        <v>54.0</v>
      </c>
      <c r="CC165" s="21" t="s">
        <v>656</v>
      </c>
      <c r="CZ165" s="21" t="s">
        <v>712</v>
      </c>
      <c r="DA165" s="21" t="s">
        <v>741</v>
      </c>
      <c r="DB165" s="21" t="s">
        <v>714</v>
      </c>
      <c r="DC165" s="21" t="s">
        <v>715</v>
      </c>
      <c r="DD165" s="21">
        <v>30.0</v>
      </c>
      <c r="DF165" s="21">
        <v>0.344</v>
      </c>
      <c r="DG165" s="21">
        <v>60000.0</v>
      </c>
      <c r="DH165" s="21" t="s">
        <v>1533</v>
      </c>
      <c r="DI165" s="21" t="s">
        <v>848</v>
      </c>
      <c r="DK165" s="21" t="s">
        <v>1473</v>
      </c>
      <c r="DL165" s="21" t="s">
        <v>696</v>
      </c>
      <c r="DM165" s="21" t="s">
        <v>2201</v>
      </c>
      <c r="EO165" s="21">
        <v>1966.0</v>
      </c>
      <c r="EP165" s="21">
        <v>1965.0</v>
      </c>
      <c r="EQ165" s="21" t="s">
        <v>674</v>
      </c>
      <c r="ES165" s="21" t="s">
        <v>744</v>
      </c>
      <c r="EX165" s="21" t="s">
        <v>773</v>
      </c>
      <c r="EZ165" s="21">
        <v>528.0</v>
      </c>
      <c r="FA165" s="21">
        <v>60.0</v>
      </c>
      <c r="FC165" s="21" t="s">
        <v>677</v>
      </c>
      <c r="FD165" s="21" t="s">
        <v>656</v>
      </c>
      <c r="FF165" s="21">
        <v>647.0</v>
      </c>
      <c r="FH165" s="21" t="s">
        <v>656</v>
      </c>
      <c r="FI165" s="21" t="s">
        <v>656</v>
      </c>
      <c r="FJ165" s="21" t="s">
        <v>656</v>
      </c>
      <c r="FO165" s="21">
        <v>3000.0</v>
      </c>
      <c r="FP165" s="21">
        <v>5625.0</v>
      </c>
      <c r="FQ165" s="21">
        <v>3225.0</v>
      </c>
      <c r="FR165" s="21">
        <v>10000.0</v>
      </c>
      <c r="FS165" s="21">
        <v>450000.0</v>
      </c>
      <c r="FT165" s="21">
        <v>0.0</v>
      </c>
      <c r="FW165" s="21">
        <v>471850.0</v>
      </c>
      <c r="GF165" s="21">
        <v>965.0</v>
      </c>
      <c r="GH165" s="21">
        <v>976.0</v>
      </c>
      <c r="GI165" s="21" t="s">
        <v>2057</v>
      </c>
      <c r="GM165" s="21" t="s">
        <v>679</v>
      </c>
      <c r="GN165" s="21" t="s">
        <v>656</v>
      </c>
      <c r="GS165" s="21" t="s">
        <v>720</v>
      </c>
      <c r="GT165" s="21" t="s">
        <v>1228</v>
      </c>
      <c r="GU165" s="21">
        <v>72494.0</v>
      </c>
      <c r="GV165" s="21" t="s">
        <v>659</v>
      </c>
      <c r="HD165" s="21" t="s">
        <v>656</v>
      </c>
      <c r="HK165" s="21" t="s">
        <v>721</v>
      </c>
      <c r="HL165" s="21" t="s">
        <v>659</v>
      </c>
      <c r="HM165" s="21" t="s">
        <v>659</v>
      </c>
      <c r="HN165" s="21" t="s">
        <v>659</v>
      </c>
      <c r="HO165" s="21" t="s">
        <v>659</v>
      </c>
      <c r="HP165" s="21" t="s">
        <v>659</v>
      </c>
      <c r="HQ165" s="21" t="s">
        <v>681</v>
      </c>
      <c r="HT165" s="21" t="s">
        <v>760</v>
      </c>
      <c r="HW165" s="21" t="s">
        <v>659</v>
      </c>
      <c r="HX165" s="21" t="s">
        <v>2202</v>
      </c>
      <c r="HY165" s="21" t="s">
        <v>659</v>
      </c>
      <c r="HZ165" s="21" t="s">
        <v>659</v>
      </c>
      <c r="IH165" s="21" t="s">
        <v>659</v>
      </c>
      <c r="II165" s="21" t="s">
        <v>656</v>
      </c>
      <c r="IJ165" s="21">
        <v>3.0</v>
      </c>
      <c r="IK165" s="21">
        <v>0.0</v>
      </c>
      <c r="IN165" s="21" t="s">
        <v>725</v>
      </c>
      <c r="IO165" s="21" t="s">
        <v>900</v>
      </c>
      <c r="IP165" s="21" t="s">
        <v>900</v>
      </c>
      <c r="IQ165" s="21" t="s">
        <v>1014</v>
      </c>
      <c r="IS165" s="21" t="s">
        <v>659</v>
      </c>
      <c r="JB165" s="21" t="s">
        <v>659</v>
      </c>
      <c r="JC165" s="21" t="s">
        <v>659</v>
      </c>
      <c r="JF165" s="21" t="s">
        <v>659</v>
      </c>
      <c r="JG165" s="21" t="s">
        <v>659</v>
      </c>
      <c r="JH165" s="21">
        <v>1966.0</v>
      </c>
      <c r="JI165" s="21" t="s">
        <v>659</v>
      </c>
      <c r="JJ165" s="21" t="s">
        <v>659</v>
      </c>
      <c r="JK165" s="21" t="s">
        <v>659</v>
      </c>
      <c r="JL165" s="21" t="s">
        <v>659</v>
      </c>
      <c r="JO165" s="21">
        <v>2011.0</v>
      </c>
      <c r="JP165" s="21">
        <v>2003.0</v>
      </c>
      <c r="JS165" s="21" t="s">
        <v>659</v>
      </c>
      <c r="QW165" s="21" t="s">
        <v>659</v>
      </c>
      <c r="QX165" s="21" t="s">
        <v>659</v>
      </c>
      <c r="RA165" s="21" t="s">
        <v>659</v>
      </c>
      <c r="RE165" s="21">
        <v>2005.0</v>
      </c>
      <c r="SK165" s="21">
        <v>2005.0</v>
      </c>
      <c r="TI165" s="21" t="s">
        <v>656</v>
      </c>
      <c r="TL165" s="21" t="s">
        <v>656</v>
      </c>
      <c r="TZ165" s="21" t="s">
        <v>656</v>
      </c>
      <c r="WL165" s="21" t="s">
        <v>1752</v>
      </c>
      <c r="WM165" s="21" t="s">
        <v>2146</v>
      </c>
      <c r="WN165" s="21" t="s">
        <v>1754</v>
      </c>
      <c r="WO165" s="21" t="s">
        <v>1764</v>
      </c>
      <c r="WT165" s="21" t="s">
        <v>1752</v>
      </c>
      <c r="WU165" s="21" t="s">
        <v>2146</v>
      </c>
      <c r="WV165" s="21" t="s">
        <v>1764</v>
      </c>
      <c r="WW165" s="21" t="s">
        <v>1754</v>
      </c>
      <c r="WX165" s="21" t="s">
        <v>2203</v>
      </c>
    </row>
    <row r="166">
      <c r="A166" s="21">
        <v>1691.0</v>
      </c>
      <c r="B166" s="22">
        <v>40885.0</v>
      </c>
      <c r="C166" s="21">
        <v>2011.0</v>
      </c>
      <c r="D166" s="21">
        <v>2.0110391E7</v>
      </c>
      <c r="E166" s="21">
        <v>16028.0</v>
      </c>
      <c r="F166" s="21" t="s">
        <v>778</v>
      </c>
      <c r="G166" s="21">
        <v>19610.0</v>
      </c>
      <c r="H166" s="21" t="s">
        <v>1270</v>
      </c>
      <c r="I166" s="21" t="s">
        <v>652</v>
      </c>
      <c r="J166" s="21" t="s">
        <v>653</v>
      </c>
      <c r="K166" s="21" t="s">
        <v>654</v>
      </c>
      <c r="L166" s="21">
        <v>77002.0</v>
      </c>
      <c r="M166" s="23">
        <v>40857.654861111114</v>
      </c>
      <c r="P166" s="21">
        <v>35.280217</v>
      </c>
      <c r="Q166" s="21">
        <v>-112.737573</v>
      </c>
      <c r="R166" s="21">
        <v>995198.0</v>
      </c>
      <c r="S166" s="24">
        <v>40857.705555555556</v>
      </c>
      <c r="U166" s="21" t="s">
        <v>657</v>
      </c>
      <c r="W166" s="21">
        <v>1.0</v>
      </c>
      <c r="X166" s="21">
        <v>80700.0</v>
      </c>
      <c r="Y166" s="21">
        <v>0.0</v>
      </c>
      <c r="Z166" s="21" t="s">
        <v>656</v>
      </c>
      <c r="AF166" s="21">
        <v>0.0</v>
      </c>
      <c r="AG166" s="21" t="s">
        <v>656</v>
      </c>
      <c r="AM166" s="21">
        <v>0.0</v>
      </c>
      <c r="AO166" s="21" t="s">
        <v>659</v>
      </c>
      <c r="AQ166" s="24">
        <v>40857.688888888886</v>
      </c>
      <c r="AR166" s="24">
        <v>40859.76597222222</v>
      </c>
      <c r="AW166" s="21" t="s">
        <v>656</v>
      </c>
      <c r="BB166" s="21" t="s">
        <v>656</v>
      </c>
      <c r="BI166" s="21">
        <v>0.0</v>
      </c>
      <c r="BJ166" s="24">
        <v>40857.654861111114</v>
      </c>
      <c r="BK166" s="24">
        <v>40857.654861111114</v>
      </c>
      <c r="BM166" s="21" t="s">
        <v>662</v>
      </c>
      <c r="BN166" s="21" t="s">
        <v>2204</v>
      </c>
      <c r="BO166" s="21">
        <v>86337.0</v>
      </c>
      <c r="BP166" s="21" t="s">
        <v>2205</v>
      </c>
      <c r="BQ166" s="21" t="s">
        <v>2206</v>
      </c>
      <c r="BR166" s="21" t="s">
        <v>892</v>
      </c>
      <c r="BS166" s="21" t="s">
        <v>2207</v>
      </c>
      <c r="BT166" s="21" t="s">
        <v>2208</v>
      </c>
      <c r="BU166" s="21" t="s">
        <v>2209</v>
      </c>
      <c r="BV166" s="21" t="s">
        <v>656</v>
      </c>
      <c r="BW166" s="21" t="s">
        <v>738</v>
      </c>
      <c r="BX166" s="21" t="s">
        <v>739</v>
      </c>
      <c r="BY166" s="21" t="s">
        <v>1920</v>
      </c>
      <c r="CA166" s="21">
        <v>40.0</v>
      </c>
      <c r="CC166" s="21" t="s">
        <v>656</v>
      </c>
      <c r="CZ166" s="21" t="s">
        <v>712</v>
      </c>
      <c r="DA166" s="21" t="s">
        <v>741</v>
      </c>
      <c r="DB166" s="21" t="s">
        <v>714</v>
      </c>
      <c r="DC166" s="21" t="s">
        <v>715</v>
      </c>
      <c r="DD166" s="21">
        <v>30.0</v>
      </c>
      <c r="DF166" s="21">
        <v>0.375</v>
      </c>
      <c r="DG166" s="21">
        <v>60000.0</v>
      </c>
      <c r="DH166" s="21" t="s">
        <v>1533</v>
      </c>
      <c r="DI166" s="21" t="s">
        <v>848</v>
      </c>
      <c r="DK166" s="21" t="s">
        <v>849</v>
      </c>
      <c r="DL166" s="21" t="s">
        <v>743</v>
      </c>
      <c r="EO166" s="21">
        <v>1960.0</v>
      </c>
      <c r="EP166" s="21">
        <v>1959.0</v>
      </c>
      <c r="EQ166" s="21" t="s">
        <v>674</v>
      </c>
      <c r="ES166" s="21" t="s">
        <v>675</v>
      </c>
      <c r="EV166" s="21" t="s">
        <v>718</v>
      </c>
      <c r="FC166" s="21" t="s">
        <v>677</v>
      </c>
      <c r="FD166" s="21" t="s">
        <v>656</v>
      </c>
      <c r="FF166" s="21">
        <v>657.0</v>
      </c>
      <c r="FH166" s="21" t="s">
        <v>656</v>
      </c>
      <c r="FI166" s="21" t="s">
        <v>656</v>
      </c>
      <c r="FJ166" s="21" t="s">
        <v>656</v>
      </c>
      <c r="FO166" s="21">
        <v>0.0</v>
      </c>
      <c r="FP166" s="21">
        <v>1.0</v>
      </c>
      <c r="FQ166" s="21">
        <v>305046.0</v>
      </c>
      <c r="FR166" s="21">
        <v>15800.0</v>
      </c>
      <c r="FS166" s="21">
        <v>150.0</v>
      </c>
      <c r="FT166" s="21">
        <v>0.0</v>
      </c>
      <c r="FW166" s="21">
        <v>320997.0</v>
      </c>
      <c r="GF166" s="21">
        <v>636.0</v>
      </c>
      <c r="GH166" s="21">
        <v>1008.0</v>
      </c>
      <c r="GI166" s="21" t="s">
        <v>2057</v>
      </c>
      <c r="GM166" s="21" t="s">
        <v>679</v>
      </c>
      <c r="GN166" s="21" t="s">
        <v>656</v>
      </c>
      <c r="GS166" s="21" t="s">
        <v>720</v>
      </c>
      <c r="GT166" s="21" t="s">
        <v>720</v>
      </c>
      <c r="GU166" s="21">
        <v>85302.0</v>
      </c>
      <c r="GV166" s="21" t="s">
        <v>659</v>
      </c>
      <c r="HD166" s="21" t="s">
        <v>656</v>
      </c>
      <c r="HK166" s="21" t="s">
        <v>721</v>
      </c>
      <c r="HL166" s="21" t="s">
        <v>659</v>
      </c>
      <c r="HM166" s="21" t="s">
        <v>659</v>
      </c>
      <c r="HN166" s="21" t="s">
        <v>659</v>
      </c>
      <c r="HO166" s="21" t="s">
        <v>656</v>
      </c>
      <c r="HP166" s="21" t="s">
        <v>656</v>
      </c>
      <c r="HQ166" s="21" t="s">
        <v>698</v>
      </c>
      <c r="HS166" s="21" t="s">
        <v>699</v>
      </c>
      <c r="HT166" s="21" t="s">
        <v>723</v>
      </c>
      <c r="HU166" s="21" t="s">
        <v>2210</v>
      </c>
      <c r="IH166" s="21" t="s">
        <v>656</v>
      </c>
      <c r="II166" s="21" t="s">
        <v>656</v>
      </c>
      <c r="IN166" s="21" t="s">
        <v>725</v>
      </c>
      <c r="IO166" s="21" t="s">
        <v>900</v>
      </c>
      <c r="IP166" s="21" t="s">
        <v>900</v>
      </c>
      <c r="IQ166" s="21" t="s">
        <v>901</v>
      </c>
      <c r="IS166" s="21" t="s">
        <v>659</v>
      </c>
      <c r="JB166" s="21" t="s">
        <v>659</v>
      </c>
      <c r="JF166" s="21" t="s">
        <v>659</v>
      </c>
      <c r="JG166" s="21" t="s">
        <v>659</v>
      </c>
      <c r="JH166" s="21">
        <v>1960.0</v>
      </c>
      <c r="JI166" s="21" t="s">
        <v>659</v>
      </c>
      <c r="JJ166" s="21" t="s">
        <v>659</v>
      </c>
      <c r="JK166" s="21" t="s">
        <v>659</v>
      </c>
      <c r="JO166" s="21">
        <v>2011.0</v>
      </c>
      <c r="JS166" s="21" t="s">
        <v>659</v>
      </c>
      <c r="QW166" s="21" t="s">
        <v>659</v>
      </c>
      <c r="QX166" s="21" t="s">
        <v>659</v>
      </c>
      <c r="RA166" s="21" t="s">
        <v>659</v>
      </c>
      <c r="RE166" s="21">
        <v>2011.0</v>
      </c>
      <c r="SK166" s="21">
        <v>2011.0</v>
      </c>
      <c r="TI166" s="21" t="s">
        <v>656</v>
      </c>
      <c r="TL166" s="21" t="s">
        <v>656</v>
      </c>
      <c r="TZ166" s="21" t="s">
        <v>656</v>
      </c>
      <c r="WL166" s="21" t="s">
        <v>1752</v>
      </c>
      <c r="WM166" s="21" t="s">
        <v>2146</v>
      </c>
      <c r="WN166" s="21" t="s">
        <v>1754</v>
      </c>
      <c r="WO166" s="21" t="s">
        <v>1764</v>
      </c>
      <c r="WT166" s="21" t="s">
        <v>1752</v>
      </c>
      <c r="WU166" s="21" t="s">
        <v>2146</v>
      </c>
      <c r="WV166" s="21" t="s">
        <v>1764</v>
      </c>
      <c r="WW166" s="21" t="s">
        <v>1754</v>
      </c>
      <c r="WX166" s="21" t="s">
        <v>2211</v>
      </c>
    </row>
    <row r="167">
      <c r="A167" s="21">
        <v>1697.0</v>
      </c>
      <c r="B167" s="22">
        <v>40861.0</v>
      </c>
      <c r="C167" s="21">
        <v>2011.0</v>
      </c>
      <c r="D167" s="21">
        <v>2.0110385E7</v>
      </c>
      <c r="E167" s="21">
        <v>16036.0</v>
      </c>
      <c r="F167" s="21" t="s">
        <v>778</v>
      </c>
      <c r="G167" s="21">
        <v>5304.0</v>
      </c>
      <c r="H167" s="21" t="s">
        <v>932</v>
      </c>
      <c r="I167" s="21" t="s">
        <v>652</v>
      </c>
      <c r="J167" s="21" t="s">
        <v>653</v>
      </c>
      <c r="K167" s="21" t="s">
        <v>654</v>
      </c>
      <c r="L167" s="21">
        <v>77002.0</v>
      </c>
      <c r="M167" s="23">
        <v>40836.72222222222</v>
      </c>
      <c r="P167" s="21">
        <v>27.9073</v>
      </c>
      <c r="Q167" s="21">
        <v>-81.8584</v>
      </c>
      <c r="R167" s="21">
        <v>993196.0</v>
      </c>
      <c r="S167" s="24">
        <v>40836.82986111111</v>
      </c>
      <c r="U167" s="21" t="s">
        <v>657</v>
      </c>
      <c r="W167" s="21">
        <v>41.0</v>
      </c>
      <c r="X167" s="21">
        <v>0.0</v>
      </c>
      <c r="Y167" s="21">
        <v>6.0</v>
      </c>
      <c r="Z167" s="21" t="s">
        <v>656</v>
      </c>
      <c r="AF167" s="21">
        <v>0.0</v>
      </c>
      <c r="AG167" s="21" t="s">
        <v>656</v>
      </c>
      <c r="AM167" s="21">
        <v>0.0</v>
      </c>
      <c r="AO167" s="21" t="s">
        <v>656</v>
      </c>
      <c r="AW167" s="21" t="s">
        <v>656</v>
      </c>
      <c r="BB167" s="21" t="s">
        <v>656</v>
      </c>
      <c r="BI167" s="21">
        <v>9.0</v>
      </c>
      <c r="BJ167" s="24">
        <v>40836.72222222222</v>
      </c>
      <c r="BK167" s="24">
        <v>40836.72222222222</v>
      </c>
      <c r="BM167" s="21" t="s">
        <v>662</v>
      </c>
      <c r="BN167" s="21" t="s">
        <v>934</v>
      </c>
      <c r="BO167" s="21">
        <v>33830.0</v>
      </c>
      <c r="BP167" s="21" t="s">
        <v>2212</v>
      </c>
      <c r="BQ167" s="21" t="s">
        <v>2213</v>
      </c>
      <c r="BR167" s="21" t="s">
        <v>892</v>
      </c>
      <c r="BS167" s="21" t="s">
        <v>2214</v>
      </c>
      <c r="BT167" s="21" t="s">
        <v>2215</v>
      </c>
      <c r="BU167" s="21">
        <v>99276.0</v>
      </c>
      <c r="BV167" s="21" t="s">
        <v>656</v>
      </c>
      <c r="BW167" s="21" t="s">
        <v>738</v>
      </c>
      <c r="BX167" s="21" t="s">
        <v>669</v>
      </c>
      <c r="BY167" s="21" t="s">
        <v>670</v>
      </c>
      <c r="CC167" s="21" t="s">
        <v>656</v>
      </c>
      <c r="CZ167" s="21" t="s">
        <v>712</v>
      </c>
      <c r="DA167" s="21" t="s">
        <v>920</v>
      </c>
      <c r="DB167" s="21" t="s">
        <v>756</v>
      </c>
      <c r="EH167" s="21" t="s">
        <v>1432</v>
      </c>
      <c r="EO167" s="21">
        <v>1963.0</v>
      </c>
      <c r="EQ167" s="21" t="s">
        <v>674</v>
      </c>
      <c r="ES167" s="21" t="s">
        <v>696</v>
      </c>
      <c r="FB167" s="21" t="s">
        <v>2216</v>
      </c>
      <c r="FC167" s="21" t="s">
        <v>1152</v>
      </c>
      <c r="FD167" s="21" t="s">
        <v>656</v>
      </c>
      <c r="FF167" s="21">
        <v>65.0</v>
      </c>
      <c r="FH167" s="21" t="s">
        <v>656</v>
      </c>
      <c r="FI167" s="21" t="s">
        <v>656</v>
      </c>
      <c r="FJ167" s="21" t="s">
        <v>656</v>
      </c>
      <c r="FO167" s="21">
        <v>242246.0</v>
      </c>
      <c r="FP167" s="21">
        <v>145.0</v>
      </c>
      <c r="FQ167" s="21">
        <v>0.0</v>
      </c>
      <c r="FR167" s="21">
        <v>0.0</v>
      </c>
      <c r="FS167" s="21">
        <v>4680.0</v>
      </c>
      <c r="FT167" s="21">
        <v>0.0</v>
      </c>
      <c r="FW167" s="21">
        <v>247071.0</v>
      </c>
      <c r="GF167" s="21">
        <v>200.0</v>
      </c>
      <c r="GH167" s="21">
        <v>200.0</v>
      </c>
      <c r="GI167" s="21" t="s">
        <v>2057</v>
      </c>
      <c r="GM167" s="21" t="s">
        <v>679</v>
      </c>
      <c r="GN167" s="21" t="s">
        <v>656</v>
      </c>
      <c r="HK167" s="21" t="s">
        <v>721</v>
      </c>
      <c r="HL167" s="21" t="s">
        <v>659</v>
      </c>
      <c r="HM167" s="21" t="s">
        <v>659</v>
      </c>
      <c r="HN167" s="21" t="s">
        <v>659</v>
      </c>
      <c r="HO167" s="21" t="s">
        <v>656</v>
      </c>
      <c r="HP167" s="21" t="s">
        <v>656</v>
      </c>
      <c r="HQ167" s="21" t="s">
        <v>698</v>
      </c>
      <c r="HS167" s="21" t="s">
        <v>699</v>
      </c>
      <c r="HT167" s="21" t="s">
        <v>723</v>
      </c>
      <c r="HU167" s="21" t="s">
        <v>2217</v>
      </c>
      <c r="IH167" s="21" t="s">
        <v>659</v>
      </c>
      <c r="II167" s="21" t="s">
        <v>659</v>
      </c>
      <c r="IJ167" s="21">
        <v>3.0</v>
      </c>
      <c r="IK167" s="21">
        <v>0.0</v>
      </c>
      <c r="IL167" s="21">
        <v>3.0</v>
      </c>
      <c r="IM167" s="21">
        <v>0.0</v>
      </c>
      <c r="IN167" s="21" t="s">
        <v>786</v>
      </c>
      <c r="IO167" s="21" t="s">
        <v>943</v>
      </c>
      <c r="QG167" s="21" t="s">
        <v>943</v>
      </c>
      <c r="QN167" s="21" t="s">
        <v>659</v>
      </c>
      <c r="QO167" s="21" t="s">
        <v>2218</v>
      </c>
      <c r="QP167" s="21" t="s">
        <v>2121</v>
      </c>
      <c r="QQ167" s="21" t="s">
        <v>656</v>
      </c>
      <c r="WL167" s="21" t="s">
        <v>1752</v>
      </c>
      <c r="WM167" s="21" t="s">
        <v>2146</v>
      </c>
      <c r="WN167" s="21" t="s">
        <v>1754</v>
      </c>
      <c r="WO167" s="21" t="s">
        <v>1764</v>
      </c>
      <c r="WT167" s="21" t="s">
        <v>1752</v>
      </c>
      <c r="WU167" s="21" t="s">
        <v>2146</v>
      </c>
      <c r="WV167" s="21" t="s">
        <v>1764</v>
      </c>
      <c r="WW167" s="21" t="s">
        <v>1754</v>
      </c>
      <c r="WX167" s="21" t="s">
        <v>2219</v>
      </c>
    </row>
    <row r="168">
      <c r="A168" s="21">
        <v>1733.0</v>
      </c>
      <c r="B168" s="22">
        <v>40730.0</v>
      </c>
      <c r="C168" s="21">
        <v>2011.0</v>
      </c>
      <c r="D168" s="21">
        <v>2.0110227E7</v>
      </c>
      <c r="E168" s="21">
        <v>16047.0</v>
      </c>
      <c r="F168" s="21" t="s">
        <v>778</v>
      </c>
      <c r="G168" s="21">
        <v>19730.0</v>
      </c>
      <c r="H168" s="21" t="s">
        <v>750</v>
      </c>
      <c r="I168" s="21" t="s">
        <v>652</v>
      </c>
      <c r="J168" s="21" t="s">
        <v>653</v>
      </c>
      <c r="K168" s="21" t="s">
        <v>654</v>
      </c>
      <c r="L168" s="21">
        <v>77002.0</v>
      </c>
      <c r="M168" s="23">
        <v>40704.56736111111</v>
      </c>
      <c r="P168" s="21">
        <v>29.53595</v>
      </c>
      <c r="Q168" s="21">
        <v>-92.33078</v>
      </c>
      <c r="R168" s="21">
        <v>979305.0</v>
      </c>
      <c r="S168" s="24">
        <v>40704.65138888889</v>
      </c>
      <c r="U168" s="21" t="s">
        <v>657</v>
      </c>
      <c r="W168" s="21">
        <v>5000.0</v>
      </c>
      <c r="X168" s="21">
        <v>7152.0</v>
      </c>
      <c r="Y168" s="21">
        <v>120.0</v>
      </c>
      <c r="Z168" s="21" t="s">
        <v>656</v>
      </c>
      <c r="AF168" s="21">
        <v>0.0</v>
      </c>
      <c r="AG168" s="21" t="s">
        <v>656</v>
      </c>
      <c r="AM168" s="21">
        <v>0.0</v>
      </c>
      <c r="AO168" s="21" t="s">
        <v>659</v>
      </c>
      <c r="AQ168" s="24">
        <v>40704.709027777775</v>
      </c>
      <c r="AS168" s="21" t="s">
        <v>659</v>
      </c>
      <c r="AW168" s="21" t="s">
        <v>656</v>
      </c>
      <c r="BB168" s="21" t="s">
        <v>656</v>
      </c>
      <c r="BI168" s="21">
        <v>0.0</v>
      </c>
      <c r="BJ168" s="24">
        <v>40704.629166666666</v>
      </c>
      <c r="BK168" s="24">
        <v>40704.68402777778</v>
      </c>
      <c r="BM168" s="21" t="s">
        <v>662</v>
      </c>
      <c r="BN168" s="21" t="s">
        <v>751</v>
      </c>
      <c r="BO168" s="21">
        <v>70548.0</v>
      </c>
      <c r="BP168" s="21" t="s">
        <v>2220</v>
      </c>
      <c r="BQ168" s="21" t="s">
        <v>2221</v>
      </c>
      <c r="BR168" s="21" t="s">
        <v>735</v>
      </c>
      <c r="BS168" s="21" t="s">
        <v>2222</v>
      </c>
      <c r="BT168" s="21" t="s">
        <v>2223</v>
      </c>
      <c r="BU168" s="21" t="s">
        <v>2224</v>
      </c>
      <c r="BV168" s="21" t="s">
        <v>656</v>
      </c>
      <c r="BW168" s="21" t="s">
        <v>738</v>
      </c>
      <c r="BX168" s="21" t="s">
        <v>739</v>
      </c>
      <c r="BY168" s="21" t="s">
        <v>740</v>
      </c>
      <c r="CA168" s="21">
        <v>216.0</v>
      </c>
      <c r="CC168" s="21" t="s">
        <v>656</v>
      </c>
      <c r="CZ168" s="21" t="s">
        <v>712</v>
      </c>
      <c r="DA168" s="21" t="s">
        <v>741</v>
      </c>
      <c r="DB168" s="21" t="s">
        <v>714</v>
      </c>
      <c r="DC168" s="21" t="s">
        <v>715</v>
      </c>
      <c r="DD168" s="21">
        <v>16.0</v>
      </c>
      <c r="DF168" s="21">
        <v>0.375</v>
      </c>
      <c r="DG168" s="21">
        <v>52000.0</v>
      </c>
      <c r="DH168" s="21" t="s">
        <v>1533</v>
      </c>
      <c r="DI168" s="21" t="s">
        <v>848</v>
      </c>
      <c r="DK168" s="21" t="s">
        <v>1473</v>
      </c>
      <c r="DL168" s="21" t="s">
        <v>743</v>
      </c>
      <c r="EO168" s="21">
        <v>1978.0</v>
      </c>
      <c r="EP168" s="21">
        <v>1977.0</v>
      </c>
      <c r="EQ168" s="21" t="s">
        <v>674</v>
      </c>
      <c r="ES168" s="21" t="s">
        <v>675</v>
      </c>
      <c r="EV168" s="21" t="s">
        <v>696</v>
      </c>
      <c r="EW168" s="21" t="s">
        <v>684</v>
      </c>
      <c r="FC168" s="21" t="s">
        <v>677</v>
      </c>
      <c r="FD168" s="21" t="s">
        <v>656</v>
      </c>
      <c r="FF168" s="21">
        <v>419.0</v>
      </c>
      <c r="FH168" s="21" t="s">
        <v>656</v>
      </c>
      <c r="FI168" s="21" t="s">
        <v>656</v>
      </c>
      <c r="FJ168" s="21" t="s">
        <v>656</v>
      </c>
      <c r="FO168" s="21">
        <v>10000.0</v>
      </c>
      <c r="FP168" s="21">
        <v>20973.0</v>
      </c>
      <c r="FQ168" s="21">
        <v>30000.0</v>
      </c>
      <c r="FR168" s="21">
        <v>1452000.0</v>
      </c>
      <c r="FS168" s="21">
        <v>358000.0</v>
      </c>
      <c r="FT168" s="21">
        <v>0.0</v>
      </c>
      <c r="FW168" s="21">
        <v>1870973.0</v>
      </c>
      <c r="GF168" s="21">
        <v>840.0</v>
      </c>
      <c r="GH168" s="21">
        <v>1440.0</v>
      </c>
      <c r="GI168" s="21" t="s">
        <v>2057</v>
      </c>
      <c r="GM168" s="21" t="s">
        <v>679</v>
      </c>
      <c r="GN168" s="21" t="s">
        <v>656</v>
      </c>
      <c r="GS168" s="21" t="s">
        <v>720</v>
      </c>
      <c r="GT168" s="21" t="s">
        <v>720</v>
      </c>
      <c r="GU168" s="21">
        <v>121018.0</v>
      </c>
      <c r="GV168" s="21" t="s">
        <v>656</v>
      </c>
      <c r="GY168" s="21" t="s">
        <v>659</v>
      </c>
      <c r="HD168" s="21" t="s">
        <v>659</v>
      </c>
      <c r="HG168" s="21" t="s">
        <v>659</v>
      </c>
      <c r="HK168" s="21" t="s">
        <v>721</v>
      </c>
      <c r="HL168" s="21" t="s">
        <v>659</v>
      </c>
      <c r="HM168" s="21" t="s">
        <v>659</v>
      </c>
      <c r="HN168" s="21" t="s">
        <v>659</v>
      </c>
      <c r="HO168" s="21" t="s">
        <v>656</v>
      </c>
      <c r="HP168" s="21" t="s">
        <v>656</v>
      </c>
      <c r="HQ168" s="21" t="s">
        <v>806</v>
      </c>
      <c r="HT168" s="21" t="s">
        <v>723</v>
      </c>
      <c r="HU168" s="21" t="s">
        <v>2225</v>
      </c>
      <c r="IH168" s="21" t="s">
        <v>656</v>
      </c>
      <c r="II168" s="21" t="s">
        <v>656</v>
      </c>
      <c r="IN168" s="21" t="s">
        <v>725</v>
      </c>
      <c r="IO168" s="21" t="s">
        <v>726</v>
      </c>
      <c r="IP168" s="21" t="s">
        <v>726</v>
      </c>
      <c r="JT168" s="21" t="s">
        <v>696</v>
      </c>
      <c r="JU168" s="21" t="s">
        <v>2226</v>
      </c>
      <c r="JZ168" s="21" t="s">
        <v>659</v>
      </c>
      <c r="KA168" s="21" t="s">
        <v>2227</v>
      </c>
      <c r="KD168" s="21" t="s">
        <v>659</v>
      </c>
      <c r="KE168" s="21" t="s">
        <v>1954</v>
      </c>
      <c r="KJ168" s="21" t="s">
        <v>659</v>
      </c>
      <c r="KK168" s="21" t="s">
        <v>2175</v>
      </c>
      <c r="KL168" s="21" t="s">
        <v>659</v>
      </c>
      <c r="KM168" s="21" t="s">
        <v>656</v>
      </c>
      <c r="KN168" s="21" t="s">
        <v>656</v>
      </c>
      <c r="KO168" s="21" t="s">
        <v>656</v>
      </c>
      <c r="QW168" s="21" t="s">
        <v>656</v>
      </c>
      <c r="TI168" s="21" t="s">
        <v>659</v>
      </c>
      <c r="TJ168" s="21">
        <v>2009.0</v>
      </c>
      <c r="TK168" s="21">
        <v>1941.0</v>
      </c>
      <c r="TL168" s="21" t="s">
        <v>656</v>
      </c>
      <c r="TZ168" s="21" t="s">
        <v>656</v>
      </c>
      <c r="WL168" s="21" t="s">
        <v>1752</v>
      </c>
      <c r="WM168" s="21" t="s">
        <v>2146</v>
      </c>
      <c r="WN168" s="21" t="s">
        <v>1754</v>
      </c>
      <c r="WO168" s="21" t="s">
        <v>1764</v>
      </c>
      <c r="WT168" s="21" t="s">
        <v>1752</v>
      </c>
      <c r="WU168" s="21" t="s">
        <v>2146</v>
      </c>
      <c r="WV168" s="21" t="s">
        <v>1764</v>
      </c>
      <c r="WW168" s="21" t="s">
        <v>1754</v>
      </c>
      <c r="WX168" s="21" t="s">
        <v>2228</v>
      </c>
    </row>
    <row r="169">
      <c r="A169" s="21">
        <v>1737.0</v>
      </c>
      <c r="B169" s="22">
        <v>40717.0</v>
      </c>
      <c r="C169" s="21">
        <v>2011.0</v>
      </c>
      <c r="D169" s="21">
        <v>2.0110194E7</v>
      </c>
      <c r="E169" s="21">
        <v>16024.0</v>
      </c>
      <c r="F169" s="21" t="s">
        <v>778</v>
      </c>
      <c r="G169" s="21">
        <v>15105.0</v>
      </c>
      <c r="H169" s="21" t="s">
        <v>794</v>
      </c>
      <c r="I169" s="21" t="s">
        <v>2186</v>
      </c>
      <c r="J169" s="21" t="s">
        <v>653</v>
      </c>
      <c r="K169" s="21" t="s">
        <v>654</v>
      </c>
      <c r="L169" s="21">
        <v>77056.0</v>
      </c>
      <c r="M169" s="23">
        <v>40692.33819444444</v>
      </c>
      <c r="P169" s="21">
        <v>37.212617</v>
      </c>
      <c r="Q169" s="21">
        <v>-100.355841</v>
      </c>
      <c r="R169" s="21">
        <v>977716.0</v>
      </c>
      <c r="S169" s="24">
        <v>40692.54583333333</v>
      </c>
      <c r="U169" s="21" t="s">
        <v>657</v>
      </c>
      <c r="W169" s="21">
        <v>45000.0</v>
      </c>
      <c r="X169" s="21">
        <v>1750.0</v>
      </c>
      <c r="Y169" s="21">
        <v>0.0</v>
      </c>
      <c r="Z169" s="21" t="s">
        <v>656</v>
      </c>
      <c r="AF169" s="21">
        <v>0.0</v>
      </c>
      <c r="AG169" s="21" t="s">
        <v>656</v>
      </c>
      <c r="AM169" s="21">
        <v>0.0</v>
      </c>
      <c r="AO169" s="21" t="s">
        <v>659</v>
      </c>
      <c r="AQ169" s="24">
        <v>40692.354166666664</v>
      </c>
      <c r="AS169" s="21" t="s">
        <v>659</v>
      </c>
      <c r="AW169" s="21" t="s">
        <v>656</v>
      </c>
      <c r="BB169" s="21" t="s">
        <v>656</v>
      </c>
      <c r="BI169" s="21">
        <v>0.0</v>
      </c>
      <c r="BJ169" s="24">
        <v>40692.33819444444</v>
      </c>
      <c r="BK169" s="24">
        <v>40692.33819444444</v>
      </c>
      <c r="BM169" s="21" t="s">
        <v>662</v>
      </c>
      <c r="BN169" s="21" t="s">
        <v>1034</v>
      </c>
      <c r="BO169" s="21">
        <v>67864.0</v>
      </c>
      <c r="BP169" s="21" t="s">
        <v>1739</v>
      </c>
      <c r="BQ169" s="21" t="s">
        <v>1739</v>
      </c>
      <c r="BT169" s="21" t="s">
        <v>1740</v>
      </c>
      <c r="BU169" s="21" t="s">
        <v>2229</v>
      </c>
      <c r="BV169" s="21" t="s">
        <v>656</v>
      </c>
      <c r="BW169" s="21" t="s">
        <v>738</v>
      </c>
      <c r="BX169" s="21" t="s">
        <v>739</v>
      </c>
      <c r="BY169" s="21" t="s">
        <v>740</v>
      </c>
      <c r="CA169" s="21">
        <v>72.0</v>
      </c>
      <c r="CC169" s="21" t="s">
        <v>656</v>
      </c>
      <c r="CZ169" s="21" t="s">
        <v>712</v>
      </c>
      <c r="DA169" s="21" t="s">
        <v>741</v>
      </c>
      <c r="DB169" s="21" t="s">
        <v>714</v>
      </c>
      <c r="DC169" s="21" t="s">
        <v>715</v>
      </c>
      <c r="DD169" s="21">
        <v>6.625</v>
      </c>
      <c r="DF169" s="21">
        <v>0.219</v>
      </c>
      <c r="DG169" s="21">
        <v>46000.0</v>
      </c>
      <c r="DH169" s="21" t="s">
        <v>2230</v>
      </c>
      <c r="DI169" s="21" t="s">
        <v>771</v>
      </c>
      <c r="DK169" s="21" t="s">
        <v>2231</v>
      </c>
      <c r="DL169" s="21" t="s">
        <v>2232</v>
      </c>
      <c r="EO169" s="21">
        <v>1981.0</v>
      </c>
      <c r="EP169" s="21">
        <v>1981.0</v>
      </c>
      <c r="EQ169" s="21" t="s">
        <v>674</v>
      </c>
      <c r="ES169" s="21" t="s">
        <v>744</v>
      </c>
      <c r="EX169" s="21" t="s">
        <v>773</v>
      </c>
      <c r="EZ169" s="21">
        <v>90.0</v>
      </c>
      <c r="FA169" s="21">
        <v>14.0</v>
      </c>
      <c r="FC169" s="21" t="s">
        <v>677</v>
      </c>
      <c r="FD169" s="21" t="s">
        <v>656</v>
      </c>
      <c r="FF169" s="21">
        <v>198.0</v>
      </c>
      <c r="FH169" s="21" t="s">
        <v>656</v>
      </c>
      <c r="FI169" s="21" t="s">
        <v>656</v>
      </c>
      <c r="FJ169" s="21" t="s">
        <v>656</v>
      </c>
      <c r="FO169" s="21">
        <v>0.0</v>
      </c>
      <c r="FP169" s="21">
        <v>180000.0</v>
      </c>
      <c r="FQ169" s="21">
        <v>7000.0</v>
      </c>
      <c r="FR169" s="21">
        <v>20000.0</v>
      </c>
      <c r="FS169" s="21">
        <v>1000.0</v>
      </c>
      <c r="FT169" s="21">
        <v>0.0</v>
      </c>
      <c r="FW169" s="21">
        <v>208000.0</v>
      </c>
      <c r="GF169" s="21">
        <v>1639.0</v>
      </c>
      <c r="GH169" s="21">
        <v>1875.0</v>
      </c>
      <c r="GI169" s="21" t="s">
        <v>2057</v>
      </c>
      <c r="GM169" s="21" t="s">
        <v>679</v>
      </c>
      <c r="GN169" s="21" t="s">
        <v>656</v>
      </c>
      <c r="GS169" s="21" t="s">
        <v>720</v>
      </c>
      <c r="GT169" s="21" t="s">
        <v>720</v>
      </c>
      <c r="GU169" s="21">
        <v>3039.0</v>
      </c>
      <c r="GV169" s="21" t="s">
        <v>656</v>
      </c>
      <c r="GW169" s="21" t="s">
        <v>659</v>
      </c>
      <c r="HD169" s="21" t="s">
        <v>656</v>
      </c>
      <c r="HK169" s="21" t="s">
        <v>1300</v>
      </c>
      <c r="HL169" s="21" t="s">
        <v>659</v>
      </c>
      <c r="HM169" s="21" t="s">
        <v>659</v>
      </c>
      <c r="HN169" s="21" t="s">
        <v>659</v>
      </c>
      <c r="HO169" s="21" t="s">
        <v>656</v>
      </c>
      <c r="HP169" s="21" t="s">
        <v>656</v>
      </c>
      <c r="HQ169" s="21" t="s">
        <v>806</v>
      </c>
      <c r="HT169" s="21" t="s">
        <v>760</v>
      </c>
      <c r="HV169" s="21" t="s">
        <v>659</v>
      </c>
      <c r="HY169" s="21" t="s">
        <v>659</v>
      </c>
      <c r="HZ169" s="21" t="s">
        <v>659</v>
      </c>
      <c r="IH169" s="21" t="s">
        <v>659</v>
      </c>
      <c r="II169" s="21" t="s">
        <v>656</v>
      </c>
      <c r="IJ169" s="21">
        <v>2.0</v>
      </c>
      <c r="IK169" s="21">
        <v>0.0</v>
      </c>
      <c r="IN169" s="21" t="s">
        <v>725</v>
      </c>
      <c r="IO169" s="21" t="s">
        <v>726</v>
      </c>
      <c r="IP169" s="21" t="s">
        <v>726</v>
      </c>
      <c r="JT169" s="21" t="s">
        <v>901</v>
      </c>
      <c r="JW169" s="21" t="s">
        <v>659</v>
      </c>
      <c r="KB169" s="21" t="s">
        <v>659</v>
      </c>
      <c r="KC169" s="21" t="s">
        <v>659</v>
      </c>
      <c r="KF169" s="21" t="s">
        <v>659</v>
      </c>
      <c r="KL169" s="21" t="s">
        <v>659</v>
      </c>
      <c r="KM169" s="21" t="s">
        <v>656</v>
      </c>
      <c r="KN169" s="21" t="s">
        <v>728</v>
      </c>
      <c r="KO169" s="21" t="s">
        <v>728</v>
      </c>
      <c r="QW169" s="21" t="s">
        <v>656</v>
      </c>
      <c r="TI169" s="21" t="s">
        <v>656</v>
      </c>
      <c r="TL169" s="21" t="s">
        <v>656</v>
      </c>
      <c r="TZ169" s="21" t="s">
        <v>656</v>
      </c>
      <c r="WL169" s="21" t="s">
        <v>1752</v>
      </c>
      <c r="WM169" s="21" t="s">
        <v>2146</v>
      </c>
      <c r="WN169" s="21" t="s">
        <v>1754</v>
      </c>
      <c r="WO169" s="21" t="s">
        <v>1764</v>
      </c>
      <c r="WT169" s="21" t="s">
        <v>1752</v>
      </c>
      <c r="WU169" s="21" t="s">
        <v>2146</v>
      </c>
      <c r="WV169" s="21" t="s">
        <v>1764</v>
      </c>
      <c r="WW169" s="21" t="s">
        <v>1754</v>
      </c>
      <c r="WX169" s="21" t="s">
        <v>2233</v>
      </c>
    </row>
    <row r="170">
      <c r="A170" s="21">
        <v>1758.0</v>
      </c>
      <c r="B170" s="22">
        <v>40687.0</v>
      </c>
      <c r="C170" s="21">
        <v>2011.0</v>
      </c>
      <c r="D170" s="21">
        <v>2.0110151E7</v>
      </c>
      <c r="E170" s="21">
        <v>16025.0</v>
      </c>
      <c r="F170" s="21" t="s">
        <v>778</v>
      </c>
      <c r="G170" s="21">
        <v>15105.0</v>
      </c>
      <c r="H170" s="21" t="s">
        <v>794</v>
      </c>
      <c r="I170" s="21" t="s">
        <v>2186</v>
      </c>
      <c r="J170" s="21" t="s">
        <v>653</v>
      </c>
      <c r="K170" s="21" t="s">
        <v>654</v>
      </c>
      <c r="L170" s="21">
        <v>7.70565306E8</v>
      </c>
      <c r="M170" s="23">
        <v>40658.08819444444</v>
      </c>
      <c r="P170" s="21">
        <v>39.573555</v>
      </c>
      <c r="Q170" s="21">
        <v>-90.3549</v>
      </c>
      <c r="R170" s="21">
        <v>973910.0</v>
      </c>
      <c r="S170" s="24">
        <v>40658.197916666664</v>
      </c>
      <c r="U170" s="21" t="s">
        <v>657</v>
      </c>
      <c r="W170" s="21">
        <v>58700.0</v>
      </c>
      <c r="X170" s="21">
        <v>5155.0</v>
      </c>
      <c r="Y170" s="21">
        <v>0.0</v>
      </c>
      <c r="Z170" s="21" t="s">
        <v>656</v>
      </c>
      <c r="AF170" s="21">
        <v>0.0</v>
      </c>
      <c r="AG170" s="21" t="s">
        <v>656</v>
      </c>
      <c r="AM170" s="21">
        <v>0.0</v>
      </c>
      <c r="AO170" s="21" t="s">
        <v>659</v>
      </c>
      <c r="AQ170" s="24">
        <v>40658.13888888889</v>
      </c>
      <c r="AR170" s="24">
        <v>40668.34027777778</v>
      </c>
      <c r="AW170" s="21" t="s">
        <v>656</v>
      </c>
      <c r="BB170" s="21" t="s">
        <v>656</v>
      </c>
      <c r="BI170" s="21">
        <v>30.0</v>
      </c>
      <c r="BJ170" s="24">
        <v>40658.09722222222</v>
      </c>
      <c r="BK170" s="24">
        <v>40658.143055555556</v>
      </c>
      <c r="BM170" s="21" t="s">
        <v>662</v>
      </c>
      <c r="BN170" s="21" t="s">
        <v>1291</v>
      </c>
      <c r="BO170" s="21">
        <v>62633.0</v>
      </c>
      <c r="BP170" s="21" t="s">
        <v>2234</v>
      </c>
      <c r="BQ170" s="21" t="s">
        <v>2235</v>
      </c>
      <c r="BR170" s="21" t="s">
        <v>735</v>
      </c>
      <c r="BS170" s="21" t="s">
        <v>2236</v>
      </c>
      <c r="BT170" s="21" t="s">
        <v>2237</v>
      </c>
      <c r="BU170" s="21" t="s">
        <v>2238</v>
      </c>
      <c r="BV170" s="21" t="s">
        <v>656</v>
      </c>
      <c r="BW170" s="21" t="s">
        <v>738</v>
      </c>
      <c r="BX170" s="21" t="s">
        <v>739</v>
      </c>
      <c r="BY170" s="21" t="s">
        <v>740</v>
      </c>
      <c r="CA170" s="21">
        <v>10.0</v>
      </c>
      <c r="CC170" s="21" t="s">
        <v>656</v>
      </c>
      <c r="CZ170" s="21" t="s">
        <v>712</v>
      </c>
      <c r="DA170" s="21" t="s">
        <v>741</v>
      </c>
      <c r="DB170" s="21" t="s">
        <v>696</v>
      </c>
      <c r="EN170" s="21" t="s">
        <v>2239</v>
      </c>
      <c r="EO170" s="21">
        <v>1940.0</v>
      </c>
      <c r="EQ170" s="21" t="s">
        <v>674</v>
      </c>
      <c r="ES170" s="21" t="s">
        <v>696</v>
      </c>
      <c r="FB170" s="21" t="s">
        <v>2240</v>
      </c>
      <c r="FC170" s="21" t="s">
        <v>677</v>
      </c>
      <c r="FD170" s="21" t="s">
        <v>656</v>
      </c>
      <c r="FF170" s="21">
        <v>429.0</v>
      </c>
      <c r="FH170" s="21" t="s">
        <v>656</v>
      </c>
      <c r="FI170" s="21" t="s">
        <v>656</v>
      </c>
      <c r="FJ170" s="21" t="s">
        <v>656</v>
      </c>
      <c r="FO170" s="21">
        <v>2000.0</v>
      </c>
      <c r="FP170" s="21">
        <v>232728.0</v>
      </c>
      <c r="FQ170" s="21">
        <v>21865.0</v>
      </c>
      <c r="FR170" s="21">
        <v>286759.0</v>
      </c>
      <c r="FS170" s="21">
        <v>3000.0</v>
      </c>
      <c r="FT170" s="21">
        <v>20000.0</v>
      </c>
      <c r="FU170" s="21" t="s">
        <v>2241</v>
      </c>
      <c r="FW170" s="21">
        <v>566352.0</v>
      </c>
      <c r="GF170" s="21">
        <v>749.0</v>
      </c>
      <c r="GH170" s="21">
        <v>800.0</v>
      </c>
      <c r="GI170" s="21" t="s">
        <v>2057</v>
      </c>
      <c r="GM170" s="21" t="s">
        <v>679</v>
      </c>
      <c r="GN170" s="21" t="s">
        <v>656</v>
      </c>
      <c r="GS170" s="21" t="s">
        <v>720</v>
      </c>
      <c r="GT170" s="21" t="s">
        <v>720</v>
      </c>
      <c r="GU170" s="21">
        <v>73898.0</v>
      </c>
      <c r="GV170" s="21" t="s">
        <v>659</v>
      </c>
      <c r="HD170" s="21" t="s">
        <v>656</v>
      </c>
      <c r="HK170" s="21" t="s">
        <v>721</v>
      </c>
      <c r="HL170" s="21" t="s">
        <v>659</v>
      </c>
      <c r="HM170" s="21" t="s">
        <v>659</v>
      </c>
      <c r="HN170" s="21" t="s">
        <v>659</v>
      </c>
      <c r="HO170" s="21" t="s">
        <v>656</v>
      </c>
      <c r="HP170" s="21" t="s">
        <v>659</v>
      </c>
      <c r="HQ170" s="21" t="s">
        <v>806</v>
      </c>
      <c r="HT170" s="21" t="s">
        <v>760</v>
      </c>
      <c r="HV170" s="21" t="s">
        <v>659</v>
      </c>
      <c r="HZ170" s="21" t="s">
        <v>659</v>
      </c>
      <c r="IF170" s="21" t="s">
        <v>659</v>
      </c>
      <c r="IG170" s="21" t="s">
        <v>2242</v>
      </c>
      <c r="IH170" s="21" t="s">
        <v>659</v>
      </c>
      <c r="II170" s="21" t="s">
        <v>656</v>
      </c>
      <c r="IJ170" s="21">
        <v>1.0</v>
      </c>
      <c r="IK170" s="21">
        <v>0.0</v>
      </c>
      <c r="IN170" s="21" t="s">
        <v>867</v>
      </c>
      <c r="IO170" s="21" t="s">
        <v>1899</v>
      </c>
      <c r="KP170" s="21" t="s">
        <v>1899</v>
      </c>
      <c r="KR170" s="21" t="s">
        <v>2243</v>
      </c>
      <c r="KV170" s="21" t="s">
        <v>656</v>
      </c>
      <c r="WL170" s="21" t="s">
        <v>1752</v>
      </c>
      <c r="WM170" s="21" t="s">
        <v>2146</v>
      </c>
      <c r="WN170" s="21" t="s">
        <v>1754</v>
      </c>
      <c r="WO170" s="21" t="s">
        <v>1764</v>
      </c>
      <c r="WT170" s="21" t="s">
        <v>1752</v>
      </c>
      <c r="WU170" s="21" t="s">
        <v>2146</v>
      </c>
      <c r="WV170" s="21" t="s">
        <v>1764</v>
      </c>
      <c r="WW170" s="21" t="s">
        <v>1754</v>
      </c>
      <c r="WX170" s="21" t="s">
        <v>2244</v>
      </c>
    </row>
    <row r="171">
      <c r="A171" s="21">
        <v>1768.0</v>
      </c>
      <c r="B171" s="22">
        <v>40655.0</v>
      </c>
      <c r="C171" s="21">
        <v>2011.0</v>
      </c>
      <c r="D171" s="21">
        <v>2.0110042E7</v>
      </c>
      <c r="E171" s="21">
        <v>16037.0</v>
      </c>
      <c r="F171" s="21" t="s">
        <v>778</v>
      </c>
      <c r="G171" s="21">
        <v>5304.0</v>
      </c>
      <c r="H171" s="21" t="s">
        <v>932</v>
      </c>
      <c r="I171" s="21" t="s">
        <v>2245</v>
      </c>
      <c r="J171" s="21" t="s">
        <v>2246</v>
      </c>
      <c r="K171" s="21" t="s">
        <v>2247</v>
      </c>
      <c r="L171" s="21">
        <v>2061.0</v>
      </c>
      <c r="M171" s="23">
        <v>40626.625</v>
      </c>
      <c r="P171" s="21">
        <v>30.1435</v>
      </c>
      <c r="Q171" s="21">
        <v>-83.3336</v>
      </c>
      <c r="R171" s="21">
        <v>971066.0</v>
      </c>
      <c r="S171" s="24">
        <v>40626.71527777778</v>
      </c>
      <c r="U171" s="21" t="s">
        <v>657</v>
      </c>
      <c r="W171" s="21">
        <v>3524.0</v>
      </c>
      <c r="X171" s="21">
        <v>182.0</v>
      </c>
      <c r="Y171" s="21">
        <v>0.0</v>
      </c>
      <c r="Z171" s="21" t="s">
        <v>656</v>
      </c>
      <c r="AF171" s="21">
        <v>0.0</v>
      </c>
      <c r="AG171" s="21" t="s">
        <v>656</v>
      </c>
      <c r="AM171" s="21">
        <v>0.0</v>
      </c>
      <c r="AO171" s="21" t="s">
        <v>659</v>
      </c>
      <c r="AQ171" s="24">
        <v>40626.881944444445</v>
      </c>
      <c r="AR171" s="24">
        <v>40628.635416666664</v>
      </c>
      <c r="AW171" s="21" t="s">
        <v>656</v>
      </c>
      <c r="BB171" s="21" t="s">
        <v>656</v>
      </c>
      <c r="BI171" s="21">
        <v>0.0</v>
      </c>
      <c r="BJ171" s="24">
        <v>40626.625</v>
      </c>
      <c r="BK171" s="24">
        <v>40626.635416666664</v>
      </c>
      <c r="BM171" s="21" t="s">
        <v>662</v>
      </c>
      <c r="BN171" s="21" t="s">
        <v>934</v>
      </c>
      <c r="BO171" s="21">
        <v>32066.0</v>
      </c>
      <c r="BP171" s="21" t="s">
        <v>2248</v>
      </c>
      <c r="BQ171" s="21" t="s">
        <v>2249</v>
      </c>
      <c r="BR171" s="21" t="s">
        <v>892</v>
      </c>
      <c r="BS171" s="21">
        <v>0.0</v>
      </c>
      <c r="BT171" s="21" t="s">
        <v>2250</v>
      </c>
      <c r="BU171" s="21" t="s">
        <v>2251</v>
      </c>
      <c r="BV171" s="21" t="s">
        <v>656</v>
      </c>
      <c r="BW171" s="21" t="s">
        <v>738</v>
      </c>
      <c r="BX171" s="21" t="s">
        <v>739</v>
      </c>
      <c r="BY171" s="21" t="s">
        <v>740</v>
      </c>
      <c r="CA171" s="21">
        <v>44.0</v>
      </c>
      <c r="CC171" s="21" t="s">
        <v>656</v>
      </c>
      <c r="CZ171" s="21" t="s">
        <v>712</v>
      </c>
      <c r="DA171" s="21" t="s">
        <v>741</v>
      </c>
      <c r="DB171" s="21" t="s">
        <v>714</v>
      </c>
      <c r="DC171" s="21" t="s">
        <v>715</v>
      </c>
      <c r="DD171" s="21">
        <v>2.0</v>
      </c>
      <c r="DF171" s="21">
        <v>0.154</v>
      </c>
      <c r="DG171" s="21">
        <v>24000.0</v>
      </c>
      <c r="DH171" s="21" t="s">
        <v>684</v>
      </c>
      <c r="DI171" s="21" t="s">
        <v>1645</v>
      </c>
      <c r="DK171" s="21" t="s">
        <v>684</v>
      </c>
      <c r="DL171" s="21" t="s">
        <v>2232</v>
      </c>
      <c r="EO171" s="21">
        <v>1966.0</v>
      </c>
      <c r="EP171" s="21">
        <v>1965.0</v>
      </c>
      <c r="EQ171" s="21" t="s">
        <v>674</v>
      </c>
      <c r="ES171" s="21" t="s">
        <v>675</v>
      </c>
      <c r="EV171" s="21" t="s">
        <v>805</v>
      </c>
      <c r="FC171" s="21" t="s">
        <v>677</v>
      </c>
      <c r="FD171" s="21" t="s">
        <v>656</v>
      </c>
      <c r="FF171" s="21">
        <v>51.0</v>
      </c>
      <c r="FH171" s="21" t="s">
        <v>656</v>
      </c>
      <c r="FI171" s="21" t="s">
        <v>656</v>
      </c>
      <c r="FJ171" s="21" t="s">
        <v>656</v>
      </c>
      <c r="FO171" s="21">
        <v>0.0</v>
      </c>
      <c r="FP171" s="21">
        <v>14095.0</v>
      </c>
      <c r="FQ171" s="21">
        <v>728.0</v>
      </c>
      <c r="FR171" s="21">
        <v>754.0</v>
      </c>
      <c r="FS171" s="21">
        <v>17210.0</v>
      </c>
      <c r="FT171" s="21">
        <v>41529.0</v>
      </c>
      <c r="FU171" s="21" t="s">
        <v>2252</v>
      </c>
      <c r="FW171" s="21">
        <v>74316.0</v>
      </c>
      <c r="GF171" s="21">
        <v>960.0</v>
      </c>
      <c r="GH171" s="21">
        <v>975.0</v>
      </c>
      <c r="GI171" s="21" t="s">
        <v>2057</v>
      </c>
      <c r="GM171" s="21" t="s">
        <v>679</v>
      </c>
      <c r="GN171" s="21" t="s">
        <v>656</v>
      </c>
      <c r="GS171" s="21" t="s">
        <v>720</v>
      </c>
      <c r="GT171" s="21" t="s">
        <v>720</v>
      </c>
      <c r="GU171" s="21">
        <v>61766.0</v>
      </c>
      <c r="GV171" s="21" t="s">
        <v>656</v>
      </c>
      <c r="HB171" s="21" t="s">
        <v>659</v>
      </c>
      <c r="HC171" s="21" t="s">
        <v>2253</v>
      </c>
      <c r="HD171" s="21" t="s">
        <v>656</v>
      </c>
      <c r="HK171" s="21" t="s">
        <v>721</v>
      </c>
      <c r="HL171" s="21" t="s">
        <v>659</v>
      </c>
      <c r="HM171" s="21" t="s">
        <v>659</v>
      </c>
      <c r="HN171" s="21" t="s">
        <v>659</v>
      </c>
      <c r="HO171" s="21" t="s">
        <v>656</v>
      </c>
      <c r="HP171" s="21" t="s">
        <v>656</v>
      </c>
      <c r="HQ171" s="21" t="s">
        <v>698</v>
      </c>
      <c r="HS171" s="21" t="s">
        <v>699</v>
      </c>
      <c r="HT171" s="21" t="s">
        <v>723</v>
      </c>
      <c r="HU171" s="21" t="s">
        <v>2254</v>
      </c>
      <c r="IH171" s="21" t="s">
        <v>656</v>
      </c>
      <c r="II171" s="21" t="s">
        <v>656</v>
      </c>
      <c r="IN171" s="21" t="s">
        <v>968</v>
      </c>
      <c r="IO171" s="21" t="s">
        <v>2255</v>
      </c>
      <c r="LB171" s="21" t="s">
        <v>2255</v>
      </c>
      <c r="LM171" s="21" t="s">
        <v>659</v>
      </c>
      <c r="LP171" s="21" t="s">
        <v>659</v>
      </c>
      <c r="LQ171" s="21" t="s">
        <v>1537</v>
      </c>
      <c r="MB171" s="21" t="s">
        <v>1538</v>
      </c>
      <c r="MC171" s="21" t="s">
        <v>2256</v>
      </c>
      <c r="MD171" s="21" t="s">
        <v>657</v>
      </c>
      <c r="ME171" s="21" t="s">
        <v>659</v>
      </c>
      <c r="MF171" s="21">
        <v>8110825.0</v>
      </c>
      <c r="MG171" s="21" t="s">
        <v>2257</v>
      </c>
      <c r="MI171" s="21" t="s">
        <v>1542</v>
      </c>
      <c r="MJ171" s="21" t="s">
        <v>659</v>
      </c>
      <c r="MK171" s="21" t="s">
        <v>656</v>
      </c>
      <c r="MM171" s="21" t="s">
        <v>2258</v>
      </c>
      <c r="MN171" s="21" t="s">
        <v>2259</v>
      </c>
      <c r="WL171" s="21" t="s">
        <v>1752</v>
      </c>
      <c r="WM171" s="21" t="s">
        <v>2146</v>
      </c>
      <c r="WN171" s="21" t="s">
        <v>1754</v>
      </c>
      <c r="WO171" s="21" t="s">
        <v>1764</v>
      </c>
      <c r="WT171" s="21" t="s">
        <v>1752</v>
      </c>
      <c r="WU171" s="21" t="s">
        <v>2146</v>
      </c>
      <c r="WV171" s="21" t="s">
        <v>1764</v>
      </c>
      <c r="WW171" s="21" t="s">
        <v>1754</v>
      </c>
      <c r="WX171" s="21" t="s">
        <v>2260</v>
      </c>
    </row>
    <row r="172">
      <c r="A172" s="21">
        <v>1792.0</v>
      </c>
      <c r="B172" s="22">
        <v>40597.0</v>
      </c>
      <c r="C172" s="21">
        <v>2011.0</v>
      </c>
      <c r="D172" s="21">
        <v>2.0110021E7</v>
      </c>
      <c r="E172" s="21">
        <v>16020.0</v>
      </c>
      <c r="F172" s="21" t="s">
        <v>778</v>
      </c>
      <c r="G172" s="21">
        <v>5304.0</v>
      </c>
      <c r="H172" s="21" t="s">
        <v>932</v>
      </c>
      <c r="I172" s="21" t="s">
        <v>2261</v>
      </c>
      <c r="J172" s="21" t="s">
        <v>653</v>
      </c>
      <c r="K172" s="21" t="s">
        <v>654</v>
      </c>
      <c r="L172" s="21">
        <v>77056.0</v>
      </c>
      <c r="M172" s="23">
        <v>40567.9375</v>
      </c>
      <c r="P172" s="21">
        <v>30.85178</v>
      </c>
      <c r="Q172" s="21">
        <v>-89.68901</v>
      </c>
      <c r="R172" s="21">
        <v>965754.0</v>
      </c>
      <c r="S172" s="24">
        <v>40569.09930555556</v>
      </c>
      <c r="U172" s="21" t="s">
        <v>657</v>
      </c>
      <c r="W172" s="21">
        <v>53.0</v>
      </c>
      <c r="X172" s="21">
        <v>11966.0</v>
      </c>
      <c r="Y172" s="21">
        <v>0.0</v>
      </c>
      <c r="Z172" s="21" t="s">
        <v>656</v>
      </c>
      <c r="AF172" s="21">
        <v>0.0</v>
      </c>
      <c r="AG172" s="21" t="s">
        <v>656</v>
      </c>
      <c r="AM172" s="21">
        <v>0.0</v>
      </c>
      <c r="AO172" s="21" t="s">
        <v>659</v>
      </c>
      <c r="AQ172" s="24">
        <v>40568.086805555555</v>
      </c>
      <c r="AR172" s="24">
        <v>40596.49236111111</v>
      </c>
      <c r="AW172" s="21" t="s">
        <v>656</v>
      </c>
      <c r="BB172" s="21" t="s">
        <v>656</v>
      </c>
      <c r="BI172" s="21">
        <v>0.0</v>
      </c>
      <c r="BJ172" s="24">
        <v>40567.9375</v>
      </c>
      <c r="BK172" s="24">
        <v>40567.9375</v>
      </c>
      <c r="BM172" s="21" t="s">
        <v>662</v>
      </c>
      <c r="BN172" s="21" t="s">
        <v>2262</v>
      </c>
      <c r="BO172" s="21" t="s">
        <v>2263</v>
      </c>
      <c r="BP172" s="21" t="s">
        <v>2264</v>
      </c>
      <c r="BQ172" s="21" t="s">
        <v>2265</v>
      </c>
      <c r="BR172" s="21" t="s">
        <v>892</v>
      </c>
      <c r="BS172" s="21" t="s">
        <v>2266</v>
      </c>
      <c r="BT172" s="21" t="s">
        <v>2267</v>
      </c>
      <c r="BU172" s="21" t="s">
        <v>2268</v>
      </c>
      <c r="BV172" s="21" t="s">
        <v>656</v>
      </c>
      <c r="BW172" s="21" t="s">
        <v>738</v>
      </c>
      <c r="BX172" s="21" t="s">
        <v>739</v>
      </c>
      <c r="BY172" s="21" t="s">
        <v>740</v>
      </c>
      <c r="CA172" s="21">
        <v>36.0</v>
      </c>
      <c r="CC172" s="21" t="s">
        <v>656</v>
      </c>
      <c r="CZ172" s="21" t="s">
        <v>712</v>
      </c>
      <c r="DA172" s="21" t="s">
        <v>741</v>
      </c>
      <c r="DB172" s="21" t="s">
        <v>714</v>
      </c>
      <c r="DC172" s="21" t="s">
        <v>715</v>
      </c>
      <c r="DD172" s="21">
        <v>24.0</v>
      </c>
      <c r="DF172" s="21">
        <v>0.375</v>
      </c>
      <c r="DG172" s="21">
        <v>52000.0</v>
      </c>
      <c r="DH172" s="21" t="s">
        <v>2269</v>
      </c>
      <c r="DI172" s="21" t="s">
        <v>1645</v>
      </c>
      <c r="DK172" s="21" t="s">
        <v>2151</v>
      </c>
      <c r="DL172" s="21" t="s">
        <v>2232</v>
      </c>
      <c r="EO172" s="21">
        <v>1959.0</v>
      </c>
      <c r="EP172" s="21">
        <v>1957.0</v>
      </c>
      <c r="EQ172" s="21" t="s">
        <v>674</v>
      </c>
      <c r="ES172" s="21" t="s">
        <v>675</v>
      </c>
      <c r="EV172" s="21" t="s">
        <v>805</v>
      </c>
      <c r="FC172" s="21" t="s">
        <v>677</v>
      </c>
      <c r="FD172" s="21" t="s">
        <v>656</v>
      </c>
      <c r="FF172" s="21">
        <v>517.0</v>
      </c>
      <c r="FH172" s="21" t="s">
        <v>656</v>
      </c>
      <c r="FI172" s="21" t="s">
        <v>656</v>
      </c>
      <c r="FJ172" s="21" t="s">
        <v>656</v>
      </c>
      <c r="FO172" s="21">
        <v>0.0</v>
      </c>
      <c r="FP172" s="21">
        <v>228.0</v>
      </c>
      <c r="FQ172" s="21">
        <v>51569.0</v>
      </c>
      <c r="FR172" s="21">
        <v>441616.0</v>
      </c>
      <c r="FS172" s="21">
        <v>0.0</v>
      </c>
      <c r="FT172" s="21">
        <v>0.0</v>
      </c>
      <c r="FW172" s="21">
        <v>493413.0</v>
      </c>
      <c r="GF172" s="21">
        <v>717.0</v>
      </c>
      <c r="GH172" s="21">
        <v>975.0</v>
      </c>
      <c r="GI172" s="21" t="s">
        <v>2057</v>
      </c>
      <c r="GM172" s="21" t="s">
        <v>679</v>
      </c>
      <c r="GN172" s="21" t="s">
        <v>656</v>
      </c>
      <c r="GS172" s="21" t="s">
        <v>1228</v>
      </c>
      <c r="GT172" s="21" t="s">
        <v>720</v>
      </c>
      <c r="GU172" s="21">
        <v>62445.0</v>
      </c>
      <c r="GV172" s="21" t="s">
        <v>656</v>
      </c>
      <c r="GX172" s="21" t="s">
        <v>659</v>
      </c>
      <c r="HD172" s="21" t="s">
        <v>656</v>
      </c>
      <c r="HK172" s="21" t="s">
        <v>721</v>
      </c>
      <c r="HL172" s="21" t="s">
        <v>659</v>
      </c>
      <c r="HM172" s="21" t="s">
        <v>659</v>
      </c>
      <c r="HN172" s="21" t="s">
        <v>659</v>
      </c>
      <c r="HO172" s="21" t="s">
        <v>656</v>
      </c>
      <c r="HP172" s="21" t="s">
        <v>656</v>
      </c>
      <c r="HQ172" s="21" t="s">
        <v>698</v>
      </c>
      <c r="HS172" s="21" t="s">
        <v>699</v>
      </c>
      <c r="HT172" s="21" t="s">
        <v>723</v>
      </c>
      <c r="HU172" s="21" t="s">
        <v>2270</v>
      </c>
      <c r="IH172" s="21" t="s">
        <v>656</v>
      </c>
      <c r="II172" s="21" t="s">
        <v>656</v>
      </c>
      <c r="IN172" s="21" t="s">
        <v>808</v>
      </c>
      <c r="IO172" s="21" t="s">
        <v>809</v>
      </c>
      <c r="NS172" s="21" t="s">
        <v>809</v>
      </c>
      <c r="NT172" s="21" t="s">
        <v>659</v>
      </c>
      <c r="OC172" s="21" t="s">
        <v>659</v>
      </c>
      <c r="OD172" s="21" t="s">
        <v>2271</v>
      </c>
      <c r="OK172" s="21" t="s">
        <v>659</v>
      </c>
      <c r="QW172" s="21" t="s">
        <v>656</v>
      </c>
      <c r="TI172" s="21" t="s">
        <v>656</v>
      </c>
      <c r="TL172" s="21" t="s">
        <v>656</v>
      </c>
      <c r="TZ172" s="21" t="s">
        <v>656</v>
      </c>
      <c r="WL172" s="21" t="s">
        <v>1752</v>
      </c>
      <c r="WM172" s="21" t="s">
        <v>2146</v>
      </c>
      <c r="WN172" s="21" t="s">
        <v>1754</v>
      </c>
      <c r="WO172" s="21" t="s">
        <v>1764</v>
      </c>
      <c r="WT172" s="21" t="s">
        <v>1752</v>
      </c>
      <c r="WU172" s="21" t="s">
        <v>2146</v>
      </c>
      <c r="WV172" s="21" t="s">
        <v>1764</v>
      </c>
      <c r="WW172" s="21" t="s">
        <v>1754</v>
      </c>
      <c r="WX172" s="21" t="s">
        <v>2272</v>
      </c>
    </row>
    <row r="173">
      <c r="A173" s="21">
        <v>1817.0</v>
      </c>
      <c r="B173" s="22">
        <v>40522.0</v>
      </c>
      <c r="C173" s="21">
        <v>2010.0</v>
      </c>
      <c r="D173" s="21">
        <v>2.0100103E7</v>
      </c>
      <c r="E173" s="21">
        <v>16030.0</v>
      </c>
      <c r="F173" s="21" t="s">
        <v>778</v>
      </c>
      <c r="G173" s="21">
        <v>19730.0</v>
      </c>
      <c r="H173" s="21" t="s">
        <v>750</v>
      </c>
      <c r="I173" s="21" t="s">
        <v>652</v>
      </c>
      <c r="J173" s="21" t="s">
        <v>653</v>
      </c>
      <c r="K173" s="21" t="s">
        <v>654</v>
      </c>
      <c r="L173" s="21">
        <v>77002.0</v>
      </c>
      <c r="M173" s="23">
        <v>40494.472916666666</v>
      </c>
      <c r="P173" s="21">
        <v>32.35381</v>
      </c>
      <c r="Q173" s="21">
        <v>-91.83791</v>
      </c>
      <c r="R173" s="21">
        <v>959689.0</v>
      </c>
      <c r="S173" s="24">
        <v>40494.53888888889</v>
      </c>
      <c r="U173" s="21" t="s">
        <v>657</v>
      </c>
      <c r="W173" s="21">
        <v>71664.0</v>
      </c>
      <c r="X173" s="21">
        <v>556.0</v>
      </c>
      <c r="Y173" s="21">
        <v>0.0</v>
      </c>
      <c r="Z173" s="21" t="s">
        <v>656</v>
      </c>
      <c r="AF173" s="21">
        <v>0.0</v>
      </c>
      <c r="AG173" s="21" t="s">
        <v>656</v>
      </c>
      <c r="AM173" s="21">
        <v>0.0</v>
      </c>
      <c r="AO173" s="21" t="s">
        <v>659</v>
      </c>
      <c r="AQ173" s="24">
        <v>40494.472916666666</v>
      </c>
      <c r="AR173" s="24">
        <v>40503.493055555555</v>
      </c>
      <c r="AW173" s="21" t="s">
        <v>656</v>
      </c>
      <c r="BB173" s="21" t="s">
        <v>656</v>
      </c>
      <c r="BI173" s="21">
        <v>0.0</v>
      </c>
      <c r="BJ173" s="24">
        <v>40494.472916666666</v>
      </c>
      <c r="BK173" s="24">
        <v>40494.472916666666</v>
      </c>
      <c r="BM173" s="21" t="s">
        <v>662</v>
      </c>
      <c r="BN173" s="21" t="s">
        <v>751</v>
      </c>
      <c r="BO173" s="21">
        <v>71269.0</v>
      </c>
      <c r="BP173" s="21" t="s">
        <v>1021</v>
      </c>
      <c r="BQ173" s="21" t="s">
        <v>2273</v>
      </c>
      <c r="BR173" s="21" t="s">
        <v>735</v>
      </c>
      <c r="BS173" s="21" t="s">
        <v>2274</v>
      </c>
      <c r="BT173" s="21" t="s">
        <v>2275</v>
      </c>
      <c r="BU173" s="21" t="s">
        <v>2276</v>
      </c>
      <c r="BV173" s="21" t="s">
        <v>656</v>
      </c>
      <c r="BW173" s="21" t="s">
        <v>738</v>
      </c>
      <c r="BX173" s="21" t="s">
        <v>739</v>
      </c>
      <c r="BY173" s="21" t="s">
        <v>1920</v>
      </c>
      <c r="CC173" s="21" t="s">
        <v>656</v>
      </c>
      <c r="CZ173" s="21" t="s">
        <v>712</v>
      </c>
      <c r="DA173" s="21" t="s">
        <v>741</v>
      </c>
      <c r="DB173" s="21" t="s">
        <v>2277</v>
      </c>
      <c r="EO173" s="21">
        <v>2010.0</v>
      </c>
      <c r="EQ173" s="21" t="s">
        <v>674</v>
      </c>
      <c r="ES173" s="21" t="s">
        <v>696</v>
      </c>
      <c r="FB173" s="21" t="s">
        <v>2278</v>
      </c>
      <c r="FC173" s="21" t="s">
        <v>677</v>
      </c>
      <c r="FD173" s="21" t="s">
        <v>656</v>
      </c>
      <c r="FF173" s="21">
        <v>621.0</v>
      </c>
      <c r="FH173" s="21" t="s">
        <v>656</v>
      </c>
      <c r="FI173" s="21" t="s">
        <v>656</v>
      </c>
      <c r="FJ173" s="21" t="s">
        <v>656</v>
      </c>
      <c r="FO173" s="21">
        <v>0.0</v>
      </c>
      <c r="FP173" s="21">
        <v>262666.0</v>
      </c>
      <c r="FQ173" s="21">
        <v>2038.0</v>
      </c>
      <c r="FR173" s="21">
        <v>0.0</v>
      </c>
      <c r="FS173" s="21">
        <v>20208.0</v>
      </c>
      <c r="FT173" s="21">
        <v>0.0</v>
      </c>
      <c r="FW173" s="21">
        <v>284912.0</v>
      </c>
      <c r="GF173" s="21">
        <v>700.0</v>
      </c>
      <c r="GH173" s="21">
        <v>900.0</v>
      </c>
      <c r="GI173" s="21" t="s">
        <v>2057</v>
      </c>
      <c r="GM173" s="21" t="s">
        <v>679</v>
      </c>
      <c r="GN173" s="21" t="s">
        <v>656</v>
      </c>
      <c r="GS173" s="21" t="s">
        <v>720</v>
      </c>
      <c r="GT173" s="21" t="s">
        <v>720</v>
      </c>
      <c r="GU173" s="21">
        <v>54136.0</v>
      </c>
      <c r="GV173" s="21" t="s">
        <v>656</v>
      </c>
      <c r="GX173" s="21" t="s">
        <v>659</v>
      </c>
      <c r="HD173" s="21" t="s">
        <v>656</v>
      </c>
      <c r="HK173" s="21" t="s">
        <v>721</v>
      </c>
      <c r="HL173" s="21" t="s">
        <v>659</v>
      </c>
      <c r="HM173" s="21" t="s">
        <v>659</v>
      </c>
      <c r="HN173" s="21" t="s">
        <v>659</v>
      </c>
      <c r="HO173" s="21" t="s">
        <v>656</v>
      </c>
      <c r="HP173" s="21" t="s">
        <v>656</v>
      </c>
      <c r="HQ173" s="21" t="s">
        <v>698</v>
      </c>
      <c r="HS173" s="21" t="s">
        <v>699</v>
      </c>
      <c r="HT173" s="21" t="s">
        <v>723</v>
      </c>
      <c r="HU173" s="21" t="s">
        <v>2279</v>
      </c>
      <c r="IH173" s="21" t="s">
        <v>659</v>
      </c>
      <c r="II173" s="21" t="s">
        <v>656</v>
      </c>
      <c r="IJ173" s="21">
        <v>1.0</v>
      </c>
      <c r="IK173" s="21">
        <v>0.0</v>
      </c>
      <c r="IN173" s="21" t="s">
        <v>761</v>
      </c>
      <c r="IO173" s="21" t="s">
        <v>1203</v>
      </c>
      <c r="OU173" s="21" t="s">
        <v>1203</v>
      </c>
      <c r="PO173" s="21" t="s">
        <v>2280</v>
      </c>
      <c r="QE173" s="21" t="s">
        <v>659</v>
      </c>
      <c r="QF173" s="21" t="s">
        <v>2281</v>
      </c>
      <c r="WL173" s="21" t="s">
        <v>1752</v>
      </c>
      <c r="WM173" s="21" t="s">
        <v>2146</v>
      </c>
      <c r="WN173" s="21" t="s">
        <v>1754</v>
      </c>
      <c r="WO173" s="21" t="s">
        <v>1764</v>
      </c>
      <c r="WT173" s="21" t="s">
        <v>1752</v>
      </c>
      <c r="WU173" s="21" t="s">
        <v>2146</v>
      </c>
      <c r="WV173" s="21" t="s">
        <v>1764</v>
      </c>
      <c r="WW173" s="21" t="s">
        <v>1754</v>
      </c>
      <c r="WX173" s="21" t="s">
        <v>2282</v>
      </c>
    </row>
    <row r="174">
      <c r="A174" s="21">
        <v>1863.0</v>
      </c>
      <c r="B174" s="22">
        <v>40417.0</v>
      </c>
      <c r="C174" s="21">
        <v>2010.0</v>
      </c>
      <c r="D174" s="21">
        <v>2.010005E7</v>
      </c>
      <c r="E174" s="21">
        <v>16095.0</v>
      </c>
      <c r="F174" s="21" t="s">
        <v>778</v>
      </c>
      <c r="G174" s="21">
        <v>32099.0</v>
      </c>
      <c r="H174" s="21" t="s">
        <v>651</v>
      </c>
      <c r="I174" s="21" t="s">
        <v>652</v>
      </c>
      <c r="J174" s="21" t="s">
        <v>653</v>
      </c>
      <c r="K174" s="21" t="s">
        <v>654</v>
      </c>
      <c r="L174" s="21">
        <v>77002.0</v>
      </c>
      <c r="M174" s="23">
        <v>40387.294444444444</v>
      </c>
      <c r="P174" s="21">
        <v>29.860069</v>
      </c>
      <c r="Q174" s="21">
        <v>-97.224226</v>
      </c>
      <c r="R174" s="21">
        <v>949134.0</v>
      </c>
      <c r="S174" s="24">
        <v>40387.364583333336</v>
      </c>
      <c r="U174" s="21" t="s">
        <v>657</v>
      </c>
      <c r="W174" s="21">
        <v>208458.0</v>
      </c>
      <c r="X174" s="21">
        <v>0.0</v>
      </c>
      <c r="Y174" s="21">
        <v>0.0</v>
      </c>
      <c r="Z174" s="21" t="s">
        <v>656</v>
      </c>
      <c r="AF174" s="21">
        <v>0.0</v>
      </c>
      <c r="AG174" s="21" t="s">
        <v>656</v>
      </c>
      <c r="AM174" s="21">
        <v>0.0</v>
      </c>
      <c r="AO174" s="21" t="s">
        <v>659</v>
      </c>
      <c r="AQ174" s="24">
        <v>40387.336805555555</v>
      </c>
      <c r="AR174" s="24">
        <v>40422.458333333336</v>
      </c>
      <c r="AW174" s="21" t="s">
        <v>656</v>
      </c>
      <c r="BB174" s="21" t="s">
        <v>656</v>
      </c>
      <c r="BI174" s="21">
        <v>15.0</v>
      </c>
      <c r="BJ174" s="24">
        <v>40387.29861111111</v>
      </c>
      <c r="BK174" s="24">
        <v>40387.33263888889</v>
      </c>
      <c r="BM174" s="21" t="s">
        <v>662</v>
      </c>
      <c r="BN174" s="21" t="s">
        <v>654</v>
      </c>
      <c r="BO174" s="21">
        <v>77474.0</v>
      </c>
      <c r="BP174" s="21" t="s">
        <v>1044</v>
      </c>
      <c r="BQ174" s="21" t="s">
        <v>1045</v>
      </c>
      <c r="BR174" s="21" t="s">
        <v>735</v>
      </c>
      <c r="BS174" s="21" t="s">
        <v>2283</v>
      </c>
      <c r="BT174" s="21" t="s">
        <v>2284</v>
      </c>
      <c r="BU174" s="21" t="s">
        <v>2285</v>
      </c>
      <c r="BV174" s="21" t="s">
        <v>656</v>
      </c>
      <c r="BW174" s="21" t="s">
        <v>738</v>
      </c>
      <c r="BX174" s="21" t="s">
        <v>739</v>
      </c>
      <c r="BY174" s="21" t="s">
        <v>740</v>
      </c>
      <c r="CA174" s="21">
        <v>42.0</v>
      </c>
      <c r="CC174" s="21" t="s">
        <v>656</v>
      </c>
      <c r="CZ174" s="21" t="s">
        <v>671</v>
      </c>
      <c r="DA174" s="21" t="s">
        <v>741</v>
      </c>
      <c r="DB174" s="21" t="s">
        <v>714</v>
      </c>
      <c r="DC174" s="21" t="s">
        <v>715</v>
      </c>
      <c r="DD174" s="21">
        <v>36.0</v>
      </c>
      <c r="DF174" s="21">
        <v>0.438</v>
      </c>
      <c r="DG174" s="21">
        <v>60000.0</v>
      </c>
      <c r="DH174" s="21" t="s">
        <v>964</v>
      </c>
      <c r="DI174" s="21" t="s">
        <v>848</v>
      </c>
      <c r="DK174" s="21" t="s">
        <v>2286</v>
      </c>
      <c r="DL174" s="21" t="s">
        <v>772</v>
      </c>
      <c r="EO174" s="21">
        <v>1970.0</v>
      </c>
      <c r="EP174" s="21">
        <v>1969.0</v>
      </c>
      <c r="EQ174" s="21" t="s">
        <v>674</v>
      </c>
      <c r="ES174" s="21" t="s">
        <v>744</v>
      </c>
      <c r="EX174" s="21" t="s">
        <v>773</v>
      </c>
      <c r="EZ174" s="21">
        <v>960.0</v>
      </c>
      <c r="FA174" s="21">
        <v>113.0</v>
      </c>
      <c r="FC174" s="21" t="s">
        <v>677</v>
      </c>
      <c r="FD174" s="21" t="s">
        <v>656</v>
      </c>
      <c r="FF174" s="21">
        <v>852.0</v>
      </c>
      <c r="FH174" s="21" t="s">
        <v>656</v>
      </c>
      <c r="FI174" s="21" t="s">
        <v>656</v>
      </c>
      <c r="FJ174" s="21" t="s">
        <v>656</v>
      </c>
      <c r="FO174" s="21">
        <v>60326.0</v>
      </c>
      <c r="FP174" s="21">
        <v>987151.0</v>
      </c>
      <c r="FQ174" s="21">
        <v>0.0</v>
      </c>
      <c r="FR174" s="21">
        <v>822854.0</v>
      </c>
      <c r="FS174" s="21">
        <v>8855.0</v>
      </c>
      <c r="FT174" s="21">
        <v>0.0</v>
      </c>
      <c r="FW174" s="21">
        <v>1879186.0</v>
      </c>
      <c r="GF174" s="21">
        <v>958.0</v>
      </c>
      <c r="GH174" s="21">
        <v>1050.0</v>
      </c>
      <c r="GI174" s="21" t="s">
        <v>2057</v>
      </c>
      <c r="GM174" s="21" t="s">
        <v>679</v>
      </c>
      <c r="GN174" s="21" t="s">
        <v>656</v>
      </c>
      <c r="GS174" s="21" t="s">
        <v>720</v>
      </c>
      <c r="GT174" s="21" t="s">
        <v>720</v>
      </c>
      <c r="GU174" s="21">
        <v>105072.0</v>
      </c>
      <c r="GV174" s="21" t="s">
        <v>659</v>
      </c>
      <c r="HD174" s="21" t="s">
        <v>656</v>
      </c>
      <c r="HK174" s="21" t="s">
        <v>721</v>
      </c>
      <c r="HL174" s="21" t="s">
        <v>659</v>
      </c>
      <c r="HM174" s="21" t="s">
        <v>659</v>
      </c>
      <c r="HN174" s="21" t="s">
        <v>659</v>
      </c>
      <c r="HO174" s="21" t="s">
        <v>659</v>
      </c>
      <c r="HP174" s="21" t="s">
        <v>659</v>
      </c>
      <c r="HQ174" s="21" t="s">
        <v>681</v>
      </c>
      <c r="HT174" s="21" t="s">
        <v>723</v>
      </c>
      <c r="HU174" s="21" t="s">
        <v>2287</v>
      </c>
      <c r="IH174" s="21" t="s">
        <v>656</v>
      </c>
      <c r="II174" s="21" t="s">
        <v>656</v>
      </c>
      <c r="IN174" s="21" t="s">
        <v>683</v>
      </c>
      <c r="IO174" s="21" t="s">
        <v>1424</v>
      </c>
      <c r="QS174" s="21" t="s">
        <v>1424</v>
      </c>
      <c r="QT174" s="21" t="s">
        <v>2288</v>
      </c>
      <c r="WL174" s="21" t="s">
        <v>1709</v>
      </c>
      <c r="WM174" s="21" t="s">
        <v>2122</v>
      </c>
      <c r="WN174" s="21" t="s">
        <v>1712</v>
      </c>
      <c r="WO174" s="21" t="s">
        <v>2289</v>
      </c>
      <c r="WP174" s="21" t="s">
        <v>2290</v>
      </c>
      <c r="WT174" s="21" t="s">
        <v>1709</v>
      </c>
      <c r="WU174" s="21" t="s">
        <v>2122</v>
      </c>
      <c r="WV174" s="21" t="s">
        <v>2289</v>
      </c>
      <c r="WW174" s="21" t="s">
        <v>1712</v>
      </c>
      <c r="WX174" s="21" t="s">
        <v>2291</v>
      </c>
    </row>
    <row r="175">
      <c r="A175" s="21">
        <v>1867.0</v>
      </c>
      <c r="B175" s="22">
        <v>40394.0</v>
      </c>
      <c r="C175" s="21">
        <v>2010.0</v>
      </c>
      <c r="D175" s="21">
        <v>2.0100048E7</v>
      </c>
      <c r="E175" s="21">
        <v>15319.0</v>
      </c>
      <c r="F175" s="21" t="s">
        <v>778</v>
      </c>
      <c r="G175" s="21">
        <v>32099.0</v>
      </c>
      <c r="H175" s="21" t="s">
        <v>651</v>
      </c>
      <c r="I175" s="21" t="s">
        <v>652</v>
      </c>
      <c r="J175" s="21" t="s">
        <v>653</v>
      </c>
      <c r="K175" s="21" t="s">
        <v>654</v>
      </c>
      <c r="L175" s="21">
        <v>77002.0</v>
      </c>
      <c r="M175" s="23">
        <v>40366.82083333333</v>
      </c>
      <c r="P175" s="21">
        <v>31.10103461</v>
      </c>
      <c r="Q175" s="21">
        <v>-94.48627066</v>
      </c>
      <c r="R175" s="21">
        <v>946956.0</v>
      </c>
      <c r="S175" s="24">
        <v>40367.506944444445</v>
      </c>
      <c r="U175" s="21" t="s">
        <v>657</v>
      </c>
      <c r="W175" s="21">
        <v>2000.0</v>
      </c>
      <c r="X175" s="21">
        <v>11833.0</v>
      </c>
      <c r="Y175" s="21">
        <v>0.0</v>
      </c>
      <c r="Z175" s="21" t="s">
        <v>656</v>
      </c>
      <c r="AF175" s="21">
        <v>0.0</v>
      </c>
      <c r="AG175" s="21" t="s">
        <v>656</v>
      </c>
      <c r="AM175" s="21">
        <v>0.0</v>
      </c>
      <c r="AO175" s="21" t="s">
        <v>659</v>
      </c>
      <c r="AQ175" s="24">
        <v>40366.95138888889</v>
      </c>
      <c r="AR175" s="24">
        <v>40368.145833333336</v>
      </c>
      <c r="AW175" s="21" t="s">
        <v>656</v>
      </c>
      <c r="BB175" s="21" t="s">
        <v>656</v>
      </c>
      <c r="BI175" s="21">
        <v>0.0</v>
      </c>
      <c r="BJ175" s="24">
        <v>40366.82083333333</v>
      </c>
      <c r="BK175" s="24">
        <v>40366.82083333333</v>
      </c>
      <c r="BM175" s="21" t="s">
        <v>662</v>
      </c>
      <c r="BN175" s="21" t="s">
        <v>654</v>
      </c>
      <c r="BO175" s="21">
        <v>75980.0</v>
      </c>
      <c r="BP175" s="21" t="s">
        <v>2292</v>
      </c>
      <c r="BQ175" s="21" t="s">
        <v>2293</v>
      </c>
      <c r="BR175" s="21" t="s">
        <v>735</v>
      </c>
      <c r="BS175" s="21" t="s">
        <v>2294</v>
      </c>
      <c r="BT175" s="21" t="s">
        <v>2295</v>
      </c>
      <c r="BU175" s="21" t="s">
        <v>2113</v>
      </c>
      <c r="BV175" s="21" t="s">
        <v>656</v>
      </c>
      <c r="BW175" s="21" t="s">
        <v>738</v>
      </c>
      <c r="BX175" s="21" t="s">
        <v>739</v>
      </c>
      <c r="BY175" s="21" t="s">
        <v>740</v>
      </c>
      <c r="CA175" s="21">
        <v>38.0</v>
      </c>
      <c r="CC175" s="21" t="s">
        <v>656</v>
      </c>
      <c r="CZ175" s="21" t="s">
        <v>671</v>
      </c>
      <c r="DA175" s="21" t="s">
        <v>741</v>
      </c>
      <c r="DB175" s="21" t="s">
        <v>800</v>
      </c>
      <c r="DV175" s="21" t="s">
        <v>1126</v>
      </c>
      <c r="EO175" s="21">
        <v>1996.0</v>
      </c>
      <c r="EQ175" s="21" t="s">
        <v>674</v>
      </c>
      <c r="ES175" s="21" t="s">
        <v>675</v>
      </c>
      <c r="EV175" s="21" t="s">
        <v>805</v>
      </c>
      <c r="FC175" s="21" t="s">
        <v>677</v>
      </c>
      <c r="FD175" s="21" t="s">
        <v>656</v>
      </c>
      <c r="FF175" s="21">
        <v>682.0</v>
      </c>
      <c r="FH175" s="21" t="s">
        <v>656</v>
      </c>
      <c r="FI175" s="21" t="s">
        <v>656</v>
      </c>
      <c r="FJ175" s="21" t="s">
        <v>656</v>
      </c>
      <c r="FO175" s="21">
        <v>0.0</v>
      </c>
      <c r="FP175" s="21">
        <v>9000.0</v>
      </c>
      <c r="FQ175" s="21">
        <v>55615.0</v>
      </c>
      <c r="FR175" s="21">
        <v>0.0</v>
      </c>
      <c r="FS175" s="21">
        <v>0.0</v>
      </c>
      <c r="FT175" s="21">
        <v>53700.0</v>
      </c>
      <c r="FU175" s="21" t="s">
        <v>2296</v>
      </c>
      <c r="FW175" s="21">
        <v>118315.0</v>
      </c>
      <c r="GF175" s="21">
        <v>926.0</v>
      </c>
      <c r="GH175" s="21">
        <v>970.0</v>
      </c>
      <c r="GI175" s="21" t="s">
        <v>2057</v>
      </c>
      <c r="GM175" s="21" t="s">
        <v>679</v>
      </c>
      <c r="GN175" s="21" t="s">
        <v>656</v>
      </c>
      <c r="GS175" s="21" t="s">
        <v>720</v>
      </c>
      <c r="GT175" s="21" t="s">
        <v>720</v>
      </c>
      <c r="GU175" s="21">
        <v>67780.0</v>
      </c>
      <c r="GV175" s="21" t="s">
        <v>659</v>
      </c>
      <c r="HD175" s="21" t="s">
        <v>656</v>
      </c>
      <c r="HK175" s="21" t="s">
        <v>721</v>
      </c>
      <c r="HL175" s="21" t="s">
        <v>659</v>
      </c>
      <c r="HM175" s="21" t="s">
        <v>659</v>
      </c>
      <c r="HN175" s="21" t="s">
        <v>659</v>
      </c>
      <c r="HO175" s="21" t="s">
        <v>656</v>
      </c>
      <c r="HP175" s="21" t="s">
        <v>656</v>
      </c>
      <c r="HQ175" s="21" t="s">
        <v>806</v>
      </c>
      <c r="HT175" s="21" t="s">
        <v>723</v>
      </c>
      <c r="HU175" s="21" t="s">
        <v>2297</v>
      </c>
      <c r="IH175" s="21" t="s">
        <v>656</v>
      </c>
      <c r="II175" s="21" t="s">
        <v>656</v>
      </c>
      <c r="IN175" s="21" t="s">
        <v>683</v>
      </c>
      <c r="IO175" s="21" t="s">
        <v>1424</v>
      </c>
      <c r="QS175" s="21" t="s">
        <v>1424</v>
      </c>
      <c r="QT175" s="21" t="s">
        <v>2298</v>
      </c>
      <c r="WL175" s="21" t="s">
        <v>1709</v>
      </c>
      <c r="WM175" s="21" t="s">
        <v>2122</v>
      </c>
      <c r="WN175" s="21" t="s">
        <v>1712</v>
      </c>
      <c r="WO175" s="21" t="s">
        <v>2289</v>
      </c>
      <c r="WP175" s="21" t="s">
        <v>2290</v>
      </c>
      <c r="WT175" s="21" t="s">
        <v>1709</v>
      </c>
      <c r="WU175" s="21" t="s">
        <v>2122</v>
      </c>
      <c r="WV175" s="21" t="s">
        <v>2289</v>
      </c>
      <c r="WW175" s="21" t="s">
        <v>1712</v>
      </c>
      <c r="WX175" s="21" t="s">
        <v>2299</v>
      </c>
    </row>
    <row r="176">
      <c r="A176" s="21">
        <v>1872.0</v>
      </c>
      <c r="B176" s="22">
        <v>40379.0</v>
      </c>
      <c r="C176" s="21">
        <v>2010.0</v>
      </c>
      <c r="D176" s="21">
        <v>2.0100043E7</v>
      </c>
      <c r="E176" s="21">
        <v>16039.0</v>
      </c>
      <c r="F176" s="21" t="s">
        <v>778</v>
      </c>
      <c r="G176" s="21">
        <v>15105.0</v>
      </c>
      <c r="H176" s="21" t="s">
        <v>794</v>
      </c>
      <c r="I176" s="21" t="s">
        <v>652</v>
      </c>
      <c r="J176" s="21" t="s">
        <v>653</v>
      </c>
      <c r="K176" s="21" t="s">
        <v>654</v>
      </c>
      <c r="L176" s="21">
        <v>77002.0</v>
      </c>
      <c r="M176" s="23">
        <v>40351.083333333336</v>
      </c>
      <c r="P176" s="21">
        <v>39.80411</v>
      </c>
      <c r="Q176" s="21">
        <v>-87.34857</v>
      </c>
      <c r="R176" s="21">
        <v>944992.0</v>
      </c>
      <c r="S176" s="24">
        <v>40351.375</v>
      </c>
      <c r="U176" s="21" t="s">
        <v>657</v>
      </c>
      <c r="W176" s="21">
        <v>14800.0</v>
      </c>
      <c r="X176" s="21">
        <v>0.0</v>
      </c>
      <c r="Y176" s="21">
        <v>0.0</v>
      </c>
      <c r="Z176" s="21" t="s">
        <v>656</v>
      </c>
      <c r="AF176" s="21">
        <v>0.0</v>
      </c>
      <c r="AG176" s="21" t="s">
        <v>656</v>
      </c>
      <c r="AM176" s="21">
        <v>0.0</v>
      </c>
      <c r="AO176" s="21" t="s">
        <v>656</v>
      </c>
      <c r="AW176" s="21" t="s">
        <v>656</v>
      </c>
      <c r="BB176" s="21" t="s">
        <v>656</v>
      </c>
      <c r="BI176" s="21">
        <v>0.0</v>
      </c>
      <c r="BJ176" s="24">
        <v>40351.09444444445</v>
      </c>
      <c r="BK176" s="24">
        <v>40351.12152777778</v>
      </c>
      <c r="BM176" s="21" t="s">
        <v>662</v>
      </c>
      <c r="BN176" s="21" t="s">
        <v>1958</v>
      </c>
      <c r="BO176" s="21" t="s">
        <v>2300</v>
      </c>
      <c r="BP176" s="21" t="s">
        <v>1959</v>
      </c>
      <c r="BQ176" s="21" t="s">
        <v>1960</v>
      </c>
      <c r="BR176" s="21" t="s">
        <v>892</v>
      </c>
      <c r="BS176" s="21" t="s">
        <v>2301</v>
      </c>
      <c r="BT176" s="21" t="s">
        <v>1962</v>
      </c>
      <c r="BU176" s="21" t="s">
        <v>2302</v>
      </c>
      <c r="BV176" s="21" t="s">
        <v>656</v>
      </c>
      <c r="BW176" s="21" t="s">
        <v>668</v>
      </c>
      <c r="BX176" s="21" t="s">
        <v>669</v>
      </c>
      <c r="BY176" s="21" t="s">
        <v>670</v>
      </c>
      <c r="CC176" s="21" t="s">
        <v>656</v>
      </c>
      <c r="CZ176" s="21" t="s">
        <v>712</v>
      </c>
      <c r="DA176" s="21" t="s">
        <v>672</v>
      </c>
      <c r="DB176" s="21" t="s">
        <v>1881</v>
      </c>
      <c r="EO176" s="21">
        <v>2006.0</v>
      </c>
      <c r="EQ176" s="21" t="s">
        <v>1081</v>
      </c>
      <c r="ER176" s="21" t="s">
        <v>2303</v>
      </c>
      <c r="ES176" s="21" t="s">
        <v>696</v>
      </c>
      <c r="FB176" s="21" t="s">
        <v>2304</v>
      </c>
      <c r="FC176" s="21" t="s">
        <v>677</v>
      </c>
      <c r="FD176" s="21" t="s">
        <v>656</v>
      </c>
      <c r="FF176" s="21">
        <v>507.0</v>
      </c>
      <c r="FH176" s="21" t="s">
        <v>656</v>
      </c>
      <c r="FI176" s="21" t="s">
        <v>656</v>
      </c>
      <c r="FJ176" s="21" t="s">
        <v>656</v>
      </c>
      <c r="FO176" s="21">
        <v>0.0</v>
      </c>
      <c r="FP176" s="21">
        <v>64495.0</v>
      </c>
      <c r="FQ176" s="21">
        <v>0.0</v>
      </c>
      <c r="FR176" s="21">
        <v>1600.0</v>
      </c>
      <c r="FS176" s="21">
        <v>756.0</v>
      </c>
      <c r="FT176" s="21">
        <v>0.0</v>
      </c>
      <c r="FW176" s="21">
        <v>66851.0</v>
      </c>
      <c r="GF176" s="21">
        <v>738.0</v>
      </c>
      <c r="GH176" s="21">
        <v>800.0</v>
      </c>
      <c r="GI176" s="21" t="s">
        <v>2057</v>
      </c>
      <c r="GM176" s="21" t="s">
        <v>679</v>
      </c>
      <c r="GN176" s="21" t="s">
        <v>659</v>
      </c>
      <c r="GO176" s="21" t="s">
        <v>659</v>
      </c>
      <c r="GP176" s="21" t="s">
        <v>1276</v>
      </c>
      <c r="HK176" s="21" t="s">
        <v>721</v>
      </c>
      <c r="HL176" s="21" t="s">
        <v>659</v>
      </c>
      <c r="HM176" s="21" t="s">
        <v>659</v>
      </c>
      <c r="HN176" s="21" t="s">
        <v>659</v>
      </c>
      <c r="HO176" s="21" t="s">
        <v>656</v>
      </c>
      <c r="HP176" s="21" t="s">
        <v>656</v>
      </c>
      <c r="HQ176" s="21" t="s">
        <v>941</v>
      </c>
      <c r="HT176" s="21" t="s">
        <v>723</v>
      </c>
      <c r="HU176" s="21" t="s">
        <v>2305</v>
      </c>
      <c r="IH176" s="21" t="s">
        <v>656</v>
      </c>
      <c r="II176" s="21" t="s">
        <v>656</v>
      </c>
      <c r="IN176" s="21" t="s">
        <v>867</v>
      </c>
      <c r="IO176" s="21" t="s">
        <v>1141</v>
      </c>
      <c r="KP176" s="21" t="s">
        <v>1141</v>
      </c>
      <c r="KS176" s="21" t="s">
        <v>2306</v>
      </c>
      <c r="KV176" s="21" t="s">
        <v>659</v>
      </c>
      <c r="KZ176" s="21" t="s">
        <v>659</v>
      </c>
      <c r="LA176" s="21" t="s">
        <v>2307</v>
      </c>
      <c r="WL176" s="21" t="s">
        <v>1752</v>
      </c>
      <c r="WM176" s="21" t="s">
        <v>2146</v>
      </c>
      <c r="WN176" s="21" t="s">
        <v>1754</v>
      </c>
      <c r="WO176" s="21" t="s">
        <v>1764</v>
      </c>
      <c r="WT176" s="21" t="s">
        <v>1752</v>
      </c>
      <c r="WU176" s="21" t="s">
        <v>2146</v>
      </c>
      <c r="WV176" s="21" t="s">
        <v>1764</v>
      </c>
      <c r="WW176" s="21" t="s">
        <v>1754</v>
      </c>
      <c r="WX176" s="21" t="s">
        <v>2308</v>
      </c>
    </row>
    <row r="177">
      <c r="A177" s="21">
        <v>1879.0</v>
      </c>
      <c r="B177" s="22">
        <v>40344.0</v>
      </c>
      <c r="C177" s="21">
        <v>2010.0</v>
      </c>
      <c r="D177" s="21">
        <v>2.0100033E7</v>
      </c>
      <c r="E177" s="21">
        <v>16021.0</v>
      </c>
      <c r="F177" s="21" t="s">
        <v>778</v>
      </c>
      <c r="G177" s="21">
        <v>5304.0</v>
      </c>
      <c r="H177" s="21" t="s">
        <v>932</v>
      </c>
      <c r="I177" s="21" t="s">
        <v>2261</v>
      </c>
      <c r="J177" s="21" t="s">
        <v>653</v>
      </c>
      <c r="K177" s="21" t="s">
        <v>654</v>
      </c>
      <c r="L177" s="21">
        <v>77056.0</v>
      </c>
      <c r="M177" s="23">
        <v>40316.02361111111</v>
      </c>
      <c r="P177" s="21">
        <v>26.83874</v>
      </c>
      <c r="Q177" s="21">
        <v>-80.12707</v>
      </c>
      <c r="R177" s="21">
        <v>940633.0</v>
      </c>
      <c r="S177" s="24">
        <v>40316.375</v>
      </c>
      <c r="U177" s="21" t="s">
        <v>657</v>
      </c>
      <c r="W177" s="21">
        <v>3.0</v>
      </c>
      <c r="X177" s="21">
        <v>0.0</v>
      </c>
      <c r="Y177" s="21">
        <v>0.0</v>
      </c>
      <c r="Z177" s="21" t="s">
        <v>656</v>
      </c>
      <c r="AF177" s="21">
        <v>0.0</v>
      </c>
      <c r="AG177" s="21" t="s">
        <v>656</v>
      </c>
      <c r="AM177" s="21">
        <v>0.0</v>
      </c>
      <c r="AO177" s="21" t="s">
        <v>659</v>
      </c>
      <c r="AQ177" s="24">
        <v>40316.27777777778</v>
      </c>
      <c r="AR177" s="24">
        <v>40317.520833333336</v>
      </c>
      <c r="AW177" s="21" t="s">
        <v>656</v>
      </c>
      <c r="BB177" s="21" t="s">
        <v>656</v>
      </c>
      <c r="BI177" s="21">
        <v>0.0</v>
      </c>
      <c r="BJ177" s="24">
        <v>40316.24166666667</v>
      </c>
      <c r="BK177" s="24">
        <v>40316.27777777778</v>
      </c>
      <c r="BM177" s="21" t="s">
        <v>662</v>
      </c>
      <c r="BN177" s="21" t="s">
        <v>934</v>
      </c>
      <c r="BO177" s="21">
        <v>33418.0</v>
      </c>
      <c r="BP177" s="21" t="s">
        <v>2309</v>
      </c>
      <c r="BQ177" s="21" t="s">
        <v>1642</v>
      </c>
      <c r="BR177" s="21" t="s">
        <v>892</v>
      </c>
      <c r="BS177" s="21">
        <v>828.3</v>
      </c>
      <c r="BT177" s="21" t="s">
        <v>2310</v>
      </c>
      <c r="BU177" s="21">
        <v>30065.0</v>
      </c>
      <c r="BV177" s="21" t="s">
        <v>656</v>
      </c>
      <c r="BW177" s="21" t="s">
        <v>668</v>
      </c>
      <c r="BX177" s="21" t="s">
        <v>669</v>
      </c>
      <c r="BY177" s="21" t="s">
        <v>670</v>
      </c>
      <c r="CC177" s="21" t="s">
        <v>656</v>
      </c>
      <c r="CZ177" s="21" t="s">
        <v>712</v>
      </c>
      <c r="DA177" s="21" t="s">
        <v>920</v>
      </c>
      <c r="DB177" s="21" t="s">
        <v>756</v>
      </c>
      <c r="EH177" s="21" t="s">
        <v>939</v>
      </c>
      <c r="EO177" s="21">
        <v>1991.0</v>
      </c>
      <c r="EQ177" s="21" t="s">
        <v>674</v>
      </c>
      <c r="ES177" s="21" t="s">
        <v>696</v>
      </c>
      <c r="FB177" s="21" t="s">
        <v>2311</v>
      </c>
      <c r="FC177" s="21" t="s">
        <v>1152</v>
      </c>
      <c r="FD177" s="21" t="s">
        <v>656</v>
      </c>
      <c r="FF177" s="21">
        <v>73.0</v>
      </c>
      <c r="FH177" s="21" t="s">
        <v>656</v>
      </c>
      <c r="FI177" s="21" t="s">
        <v>656</v>
      </c>
      <c r="FJ177" s="21" t="s">
        <v>656</v>
      </c>
      <c r="FO177" s="21">
        <v>0.0</v>
      </c>
      <c r="FP177" s="21">
        <v>12.0</v>
      </c>
      <c r="FQ177" s="21">
        <v>0.0</v>
      </c>
      <c r="FR177" s="21">
        <v>0.0</v>
      </c>
      <c r="FS177" s="21">
        <v>8000.0</v>
      </c>
      <c r="FT177" s="21">
        <v>0.0</v>
      </c>
      <c r="FW177" s="21">
        <v>8012.0</v>
      </c>
      <c r="GF177" s="21">
        <v>100.0</v>
      </c>
      <c r="GH177" s="21">
        <v>700.0</v>
      </c>
      <c r="GI177" s="21" t="s">
        <v>2057</v>
      </c>
      <c r="GM177" s="21" t="s">
        <v>679</v>
      </c>
      <c r="GN177" s="21" t="s">
        <v>656</v>
      </c>
      <c r="HK177" s="21" t="s">
        <v>721</v>
      </c>
      <c r="HL177" s="21" t="s">
        <v>659</v>
      </c>
      <c r="HM177" s="21" t="s">
        <v>659</v>
      </c>
      <c r="HN177" s="21" t="s">
        <v>659</v>
      </c>
      <c r="HO177" s="21" t="s">
        <v>659</v>
      </c>
      <c r="HP177" s="21" t="s">
        <v>659</v>
      </c>
      <c r="HQ177" s="21" t="s">
        <v>696</v>
      </c>
      <c r="HR177" s="21" t="s">
        <v>2312</v>
      </c>
      <c r="HT177" s="21" t="s">
        <v>760</v>
      </c>
      <c r="HW177" s="21" t="s">
        <v>659</v>
      </c>
      <c r="HX177" s="21" t="s">
        <v>2313</v>
      </c>
      <c r="HY177" s="21" t="s">
        <v>659</v>
      </c>
      <c r="HZ177" s="21" t="s">
        <v>659</v>
      </c>
      <c r="IE177" s="21" t="s">
        <v>659</v>
      </c>
      <c r="IH177" s="21" t="s">
        <v>659</v>
      </c>
      <c r="II177" s="21" t="s">
        <v>656</v>
      </c>
      <c r="IJ177" s="21">
        <v>6.0</v>
      </c>
      <c r="IK177" s="21">
        <v>0.0</v>
      </c>
      <c r="IN177" s="21" t="s">
        <v>786</v>
      </c>
      <c r="IO177" s="21" t="s">
        <v>943</v>
      </c>
      <c r="QG177" s="21" t="s">
        <v>943</v>
      </c>
      <c r="QK177" s="21" t="s">
        <v>659</v>
      </c>
      <c r="QP177" s="21" t="s">
        <v>2121</v>
      </c>
      <c r="QQ177" s="21" t="s">
        <v>659</v>
      </c>
      <c r="QR177" s="21" t="s">
        <v>790</v>
      </c>
      <c r="WL177" s="21" t="s">
        <v>1752</v>
      </c>
      <c r="WM177" s="21" t="s">
        <v>2146</v>
      </c>
      <c r="WN177" s="21" t="s">
        <v>1754</v>
      </c>
      <c r="WO177" s="21" t="s">
        <v>1764</v>
      </c>
      <c r="WT177" s="21" t="s">
        <v>1752</v>
      </c>
      <c r="WU177" s="21" t="s">
        <v>2146</v>
      </c>
      <c r="WV177" s="21" t="s">
        <v>1764</v>
      </c>
      <c r="WW177" s="21" t="s">
        <v>1754</v>
      </c>
      <c r="WX177" s="21" t="s">
        <v>2314</v>
      </c>
    </row>
    <row r="178">
      <c r="A178" s="21">
        <v>1894.0</v>
      </c>
      <c r="B178" s="22">
        <v>40291.0</v>
      </c>
      <c r="C178" s="21">
        <v>2010.0</v>
      </c>
      <c r="D178" s="21">
        <v>2.0100016E7</v>
      </c>
      <c r="E178" s="21">
        <v>16027.0</v>
      </c>
      <c r="F178" s="21" t="s">
        <v>778</v>
      </c>
      <c r="G178" s="21">
        <v>19610.0</v>
      </c>
      <c r="H178" s="21" t="s">
        <v>1270</v>
      </c>
      <c r="I178" s="21" t="s">
        <v>652</v>
      </c>
      <c r="J178" s="21" t="s">
        <v>653</v>
      </c>
      <c r="K178" s="21" t="s">
        <v>654</v>
      </c>
      <c r="L178" s="21">
        <v>77002.0</v>
      </c>
      <c r="M178" s="23">
        <v>40264.43194444444</v>
      </c>
      <c r="P178" s="21">
        <v>35.47268</v>
      </c>
      <c r="Q178" s="21">
        <v>-101.20379</v>
      </c>
      <c r="R178" s="21">
        <v>935301.0</v>
      </c>
      <c r="S178" s="24">
        <v>40264.618055555555</v>
      </c>
      <c r="U178" s="21" t="s">
        <v>657</v>
      </c>
      <c r="W178" s="21">
        <v>1.0</v>
      </c>
      <c r="X178" s="21">
        <v>10801.0</v>
      </c>
      <c r="Y178" s="21">
        <v>0.0</v>
      </c>
      <c r="Z178" s="21" t="s">
        <v>656</v>
      </c>
      <c r="AF178" s="21">
        <v>0.0</v>
      </c>
      <c r="AG178" s="21" t="s">
        <v>656</v>
      </c>
      <c r="AM178" s="21">
        <v>0.0</v>
      </c>
      <c r="AO178" s="21" t="s">
        <v>659</v>
      </c>
      <c r="AQ178" s="24">
        <v>40264.475694444445</v>
      </c>
      <c r="AR178" s="24">
        <v>40264.59375</v>
      </c>
      <c r="AW178" s="21" t="s">
        <v>656</v>
      </c>
      <c r="BB178" s="21" t="s">
        <v>656</v>
      </c>
      <c r="BI178" s="21">
        <v>0.0</v>
      </c>
      <c r="BJ178" s="24">
        <v>40264.43194444444</v>
      </c>
      <c r="BK178" s="24">
        <v>40264.436111111114</v>
      </c>
      <c r="BM178" s="21" t="s">
        <v>662</v>
      </c>
      <c r="BN178" s="21" t="s">
        <v>654</v>
      </c>
      <c r="BO178" s="21">
        <v>79097.0</v>
      </c>
      <c r="BP178" s="21" t="s">
        <v>2315</v>
      </c>
      <c r="BQ178" s="21" t="s">
        <v>2316</v>
      </c>
      <c r="BR178" s="21" t="s">
        <v>735</v>
      </c>
      <c r="BS178" s="21" t="s">
        <v>2317</v>
      </c>
      <c r="BT178" s="21" t="s">
        <v>2318</v>
      </c>
      <c r="BU178" s="21" t="s">
        <v>2319</v>
      </c>
      <c r="BV178" s="21" t="s">
        <v>656</v>
      </c>
      <c r="BW178" s="21" t="s">
        <v>738</v>
      </c>
      <c r="BX178" s="21" t="s">
        <v>739</v>
      </c>
      <c r="BY178" s="21" t="s">
        <v>1920</v>
      </c>
      <c r="CA178" s="21">
        <v>50.0</v>
      </c>
      <c r="CC178" s="21" t="s">
        <v>656</v>
      </c>
      <c r="CZ178" s="21" t="s">
        <v>712</v>
      </c>
      <c r="DA178" s="21" t="s">
        <v>741</v>
      </c>
      <c r="DB178" s="21" t="s">
        <v>714</v>
      </c>
      <c r="DC178" s="21" t="s">
        <v>715</v>
      </c>
      <c r="DD178" s="21">
        <v>24.0</v>
      </c>
      <c r="DF178" s="21">
        <v>0.312</v>
      </c>
      <c r="DG178" s="21">
        <v>56000.0</v>
      </c>
      <c r="DH178" s="21" t="s">
        <v>964</v>
      </c>
      <c r="DI178" s="21" t="s">
        <v>1645</v>
      </c>
      <c r="DK178" s="21" t="s">
        <v>2320</v>
      </c>
      <c r="DL178" s="21" t="s">
        <v>743</v>
      </c>
      <c r="EO178" s="21">
        <v>1960.0</v>
      </c>
      <c r="EP178" s="21">
        <v>1960.0</v>
      </c>
      <c r="EQ178" s="21" t="s">
        <v>674</v>
      </c>
      <c r="ES178" s="21" t="s">
        <v>675</v>
      </c>
      <c r="EV178" s="21" t="s">
        <v>718</v>
      </c>
      <c r="FC178" s="21" t="s">
        <v>677</v>
      </c>
      <c r="FD178" s="21" t="s">
        <v>656</v>
      </c>
      <c r="FF178" s="21">
        <v>526.0</v>
      </c>
      <c r="FH178" s="21" t="s">
        <v>656</v>
      </c>
      <c r="FI178" s="21" t="s">
        <v>656</v>
      </c>
      <c r="FJ178" s="21" t="s">
        <v>656</v>
      </c>
      <c r="FO178" s="21">
        <v>0.0</v>
      </c>
      <c r="FP178" s="21">
        <v>5.0</v>
      </c>
      <c r="FQ178" s="21">
        <v>45148.0</v>
      </c>
      <c r="FR178" s="21">
        <v>45852.0</v>
      </c>
      <c r="FS178" s="21">
        <v>0.0</v>
      </c>
      <c r="FT178" s="21">
        <v>0.0</v>
      </c>
      <c r="FW178" s="21">
        <v>91005.0</v>
      </c>
      <c r="GF178" s="21">
        <v>550.0</v>
      </c>
      <c r="GH178" s="21">
        <v>1008.0</v>
      </c>
      <c r="GI178" s="21" t="s">
        <v>2057</v>
      </c>
      <c r="GM178" s="21" t="s">
        <v>679</v>
      </c>
      <c r="GN178" s="21" t="s">
        <v>656</v>
      </c>
      <c r="GS178" s="21" t="s">
        <v>1228</v>
      </c>
      <c r="GT178" s="21" t="s">
        <v>784</v>
      </c>
      <c r="GU178" s="21">
        <v>103917.0</v>
      </c>
      <c r="GV178" s="21" t="s">
        <v>659</v>
      </c>
      <c r="HD178" s="21" t="s">
        <v>656</v>
      </c>
      <c r="HK178" s="21" t="s">
        <v>721</v>
      </c>
      <c r="HL178" s="21" t="s">
        <v>659</v>
      </c>
      <c r="HM178" s="21" t="s">
        <v>659</v>
      </c>
      <c r="HN178" s="21" t="s">
        <v>659</v>
      </c>
      <c r="HO178" s="21" t="s">
        <v>656</v>
      </c>
      <c r="HP178" s="21" t="s">
        <v>656</v>
      </c>
      <c r="HQ178" s="21" t="s">
        <v>698</v>
      </c>
      <c r="HS178" s="21" t="s">
        <v>699</v>
      </c>
      <c r="HT178" s="21" t="s">
        <v>723</v>
      </c>
      <c r="HU178" s="21" t="s">
        <v>2321</v>
      </c>
      <c r="IH178" s="21" t="s">
        <v>656</v>
      </c>
      <c r="II178" s="21" t="s">
        <v>656</v>
      </c>
      <c r="IN178" s="21" t="s">
        <v>867</v>
      </c>
      <c r="IO178" s="21" t="s">
        <v>1141</v>
      </c>
      <c r="KP178" s="21" t="s">
        <v>1141</v>
      </c>
      <c r="KS178" s="21" t="s">
        <v>1142</v>
      </c>
      <c r="KV178" s="21" t="s">
        <v>656</v>
      </c>
      <c r="WL178" s="21" t="s">
        <v>1752</v>
      </c>
      <c r="WM178" s="21" t="s">
        <v>2146</v>
      </c>
      <c r="WN178" s="21" t="s">
        <v>1754</v>
      </c>
      <c r="WO178" s="21" t="s">
        <v>1764</v>
      </c>
      <c r="WT178" s="21" t="s">
        <v>1752</v>
      </c>
      <c r="WU178" s="21" t="s">
        <v>2146</v>
      </c>
      <c r="WV178" s="21" t="s">
        <v>1764</v>
      </c>
      <c r="WW178" s="21" t="s">
        <v>1754</v>
      </c>
      <c r="WX178" s="21" t="s">
        <v>2322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0.13"/>
    <col customWidth="1" min="2" max="2" width="18.88"/>
    <col customWidth="1" min="3" max="3" width="10.13"/>
    <col customWidth="1" min="4" max="4" width="25.13"/>
    <col customWidth="1" min="5" max="5" width="18.88"/>
    <col customWidth="1" min="6" max="14" width="10.13"/>
    <col customWidth="1" min="15" max="15" width="12.63"/>
    <col customWidth="1" min="16" max="16" width="25.13"/>
  </cols>
  <sheetData>
    <row r="1">
      <c r="A1" s="27" t="s">
        <v>31</v>
      </c>
      <c r="B1" s="27" t="s">
        <v>33</v>
      </c>
      <c r="C1" s="27" t="s">
        <v>34</v>
      </c>
      <c r="D1" s="27" t="s">
        <v>35</v>
      </c>
      <c r="E1" s="28" t="s">
        <v>40</v>
      </c>
      <c r="F1" s="27" t="s">
        <v>50</v>
      </c>
      <c r="G1" s="27" t="s">
        <v>51</v>
      </c>
      <c r="H1" s="27" t="s">
        <v>53</v>
      </c>
      <c r="I1" s="27" t="s">
        <v>60</v>
      </c>
      <c r="J1" s="27" t="s">
        <v>76</v>
      </c>
      <c r="K1" s="27" t="s">
        <v>81</v>
      </c>
      <c r="L1" s="27" t="s">
        <v>95</v>
      </c>
      <c r="M1" s="27" t="s">
        <v>96</v>
      </c>
      <c r="N1" s="27" t="s">
        <v>93</v>
      </c>
      <c r="O1" s="29" t="s">
        <v>206</v>
      </c>
      <c r="P1" s="27" t="s">
        <v>275</v>
      </c>
      <c r="Q1" s="27" t="s">
        <v>649</v>
      </c>
    </row>
    <row r="2">
      <c r="A2" s="27">
        <v>2.0250058E7</v>
      </c>
      <c r="B2" s="27" t="s">
        <v>778</v>
      </c>
      <c r="C2" s="27">
        <v>18152.0</v>
      </c>
      <c r="D2" s="27" t="s">
        <v>702</v>
      </c>
      <c r="E2" s="30">
        <v>45670.506944444445</v>
      </c>
      <c r="F2" s="27">
        <v>793534.0</v>
      </c>
      <c r="G2" s="27">
        <v>0.0</v>
      </c>
      <c r="H2" s="27" t="s">
        <v>656</v>
      </c>
      <c r="I2" s="27" t="s">
        <v>656</v>
      </c>
      <c r="J2" s="27" t="s">
        <v>656</v>
      </c>
      <c r="O2" s="29">
        <v>3323787.0</v>
      </c>
      <c r="P2" s="27" t="s">
        <v>725</v>
      </c>
      <c r="Q2" s="27" t="s">
        <v>878</v>
      </c>
    </row>
    <row r="3">
      <c r="A3" s="27">
        <v>2.0250059E7</v>
      </c>
      <c r="B3" s="27" t="s">
        <v>778</v>
      </c>
      <c r="C3" s="27">
        <v>18152.0</v>
      </c>
      <c r="D3" s="27" t="s">
        <v>702</v>
      </c>
      <c r="E3" s="30">
        <v>45670.31458333333</v>
      </c>
      <c r="F3" s="27">
        <v>793534.0</v>
      </c>
      <c r="G3" s="27">
        <v>0.0</v>
      </c>
      <c r="H3" s="27" t="s">
        <v>656</v>
      </c>
      <c r="I3" s="27" t="s">
        <v>656</v>
      </c>
      <c r="J3" s="27" t="s">
        <v>656</v>
      </c>
      <c r="O3" s="29">
        <v>3323787.0</v>
      </c>
      <c r="P3" s="27" t="s">
        <v>725</v>
      </c>
      <c r="Q3" s="27" t="s">
        <v>881</v>
      </c>
    </row>
    <row r="4">
      <c r="A4" s="27">
        <v>2.0250066E7</v>
      </c>
      <c r="B4" s="27" t="s">
        <v>701</v>
      </c>
      <c r="C4" s="27">
        <v>18152.0</v>
      </c>
      <c r="D4" s="27" t="s">
        <v>702</v>
      </c>
      <c r="E4" s="30">
        <v>45794.604166666664</v>
      </c>
      <c r="F4" s="27">
        <v>1587069.0</v>
      </c>
      <c r="G4" s="27">
        <v>0.0</v>
      </c>
      <c r="H4" s="27" t="s">
        <v>656</v>
      </c>
      <c r="I4" s="27" t="s">
        <v>656</v>
      </c>
      <c r="J4" s="27" t="s">
        <v>656</v>
      </c>
      <c r="O4" s="29">
        <v>5908000.0</v>
      </c>
      <c r="P4" s="27" t="s">
        <v>725</v>
      </c>
      <c r="Q4" s="27" t="s">
        <v>732</v>
      </c>
    </row>
    <row r="5">
      <c r="A5" s="21">
        <v>2.0130007E7</v>
      </c>
      <c r="B5" s="27" t="s">
        <v>778</v>
      </c>
      <c r="C5" s="27">
        <v>5304.0</v>
      </c>
      <c r="D5" s="27" t="s">
        <v>932</v>
      </c>
      <c r="E5" s="30">
        <v>41269.24652777778</v>
      </c>
      <c r="F5" s="27">
        <v>293976.0</v>
      </c>
      <c r="G5" s="27">
        <v>0.0</v>
      </c>
      <c r="H5" s="27" t="s">
        <v>656</v>
      </c>
      <c r="I5" s="27" t="s">
        <v>656</v>
      </c>
      <c r="J5" s="27" t="s">
        <v>656</v>
      </c>
      <c r="K5" s="27" t="s">
        <v>656</v>
      </c>
      <c r="L5" s="27" t="s">
        <v>2156</v>
      </c>
      <c r="M5" s="27" t="s">
        <v>2101</v>
      </c>
      <c r="N5" s="27" t="s">
        <v>934</v>
      </c>
      <c r="O5" s="29">
        <v>1168231.0</v>
      </c>
      <c r="P5" s="27" t="s">
        <v>808</v>
      </c>
      <c r="Q5" s="27" t="s">
        <v>2161</v>
      </c>
    </row>
    <row r="6">
      <c r="A6" s="21">
        <v>2.0130066E7</v>
      </c>
      <c r="B6" s="27" t="s">
        <v>778</v>
      </c>
      <c r="C6" s="27">
        <v>5304.0</v>
      </c>
      <c r="D6" s="27" t="s">
        <v>932</v>
      </c>
      <c r="E6" s="30">
        <v>41443.22222222222</v>
      </c>
      <c r="F6" s="27">
        <v>86000.0</v>
      </c>
      <c r="G6" s="27">
        <v>0.0</v>
      </c>
      <c r="H6" s="27" t="s">
        <v>656</v>
      </c>
      <c r="I6" s="27" t="s">
        <v>659</v>
      </c>
      <c r="J6" s="27" t="s">
        <v>659</v>
      </c>
      <c r="K6" s="27" t="s">
        <v>659</v>
      </c>
      <c r="L6" s="27" t="s">
        <v>2142</v>
      </c>
      <c r="M6" s="27" t="s">
        <v>1867</v>
      </c>
      <c r="N6" s="27" t="s">
        <v>751</v>
      </c>
      <c r="O6" s="29">
        <v>3062481.0</v>
      </c>
      <c r="P6" s="27" t="s">
        <v>725</v>
      </c>
      <c r="Q6" s="27" t="s">
        <v>2147</v>
      </c>
    </row>
    <row r="7">
      <c r="A7" s="21">
        <v>2.0200105E7</v>
      </c>
      <c r="B7" s="27" t="s">
        <v>778</v>
      </c>
      <c r="C7" s="27">
        <v>5304.0</v>
      </c>
      <c r="D7" s="27" t="s">
        <v>932</v>
      </c>
      <c r="E7" s="30">
        <v>44084.032638888886</v>
      </c>
      <c r="F7" s="27">
        <v>22000.0</v>
      </c>
      <c r="G7" s="27">
        <v>0.0</v>
      </c>
      <c r="H7" s="27" t="s">
        <v>656</v>
      </c>
      <c r="I7" s="27" t="s">
        <v>656</v>
      </c>
      <c r="J7" s="27" t="s">
        <v>659</v>
      </c>
      <c r="K7" s="27" t="s">
        <v>656</v>
      </c>
      <c r="L7" s="27" t="s">
        <v>1650</v>
      </c>
      <c r="M7" s="27" t="s">
        <v>1651</v>
      </c>
      <c r="N7" s="27" t="s">
        <v>934</v>
      </c>
      <c r="O7" s="29">
        <v>2172748.0</v>
      </c>
      <c r="P7" s="27" t="s">
        <v>808</v>
      </c>
      <c r="Q7" s="27" t="s">
        <v>1656</v>
      </c>
    </row>
    <row r="8">
      <c r="A8" s="21">
        <v>2.0230017E7</v>
      </c>
      <c r="B8" s="27" t="s">
        <v>778</v>
      </c>
      <c r="C8" s="27">
        <v>5304.0</v>
      </c>
      <c r="D8" s="27" t="s">
        <v>932</v>
      </c>
      <c r="E8" s="30">
        <v>44942.3125</v>
      </c>
      <c r="F8" s="27">
        <v>102600.0</v>
      </c>
      <c r="G8" s="27">
        <v>0.0</v>
      </c>
      <c r="H8" s="27" t="s">
        <v>656</v>
      </c>
      <c r="I8" s="27" t="s">
        <v>656</v>
      </c>
      <c r="J8" s="27" t="s">
        <v>656</v>
      </c>
      <c r="L8" s="27" t="s">
        <v>1235</v>
      </c>
      <c r="M8" s="27" t="s">
        <v>1236</v>
      </c>
      <c r="N8" s="27" t="s">
        <v>934</v>
      </c>
      <c r="O8" s="29">
        <v>401140.0</v>
      </c>
      <c r="P8" s="27" t="s">
        <v>761</v>
      </c>
      <c r="Q8" s="27" t="s">
        <v>1247</v>
      </c>
    </row>
    <row r="9">
      <c r="A9" s="27">
        <v>2.0240022E7</v>
      </c>
      <c r="B9" s="27" t="s">
        <v>778</v>
      </c>
      <c r="C9" s="27">
        <v>32099.0</v>
      </c>
      <c r="D9" s="27" t="s">
        <v>651</v>
      </c>
      <c r="E9" s="30">
        <v>45315.145833333336</v>
      </c>
      <c r="F9" s="27">
        <v>257000.0</v>
      </c>
      <c r="G9" s="27">
        <v>0.0</v>
      </c>
      <c r="H9" s="27" t="s">
        <v>656</v>
      </c>
      <c r="I9" s="27" t="s">
        <v>656</v>
      </c>
      <c r="J9" s="27" t="s">
        <v>659</v>
      </c>
      <c r="K9" s="27" t="s">
        <v>656</v>
      </c>
      <c r="L9" s="27" t="s">
        <v>1010</v>
      </c>
      <c r="M9" s="27" t="s">
        <v>822</v>
      </c>
      <c r="N9" s="27" t="s">
        <v>654</v>
      </c>
      <c r="O9" s="29">
        <v>700625.0</v>
      </c>
      <c r="P9" s="27" t="s">
        <v>761</v>
      </c>
      <c r="Q9" s="27" t="s">
        <v>1088</v>
      </c>
    </row>
    <row r="10">
      <c r="A10" s="21">
        <v>2.0180117E7</v>
      </c>
      <c r="B10" s="27" t="s">
        <v>778</v>
      </c>
      <c r="C10" s="27">
        <v>32099.0</v>
      </c>
      <c r="D10" s="27" t="s">
        <v>651</v>
      </c>
      <c r="E10" s="30">
        <v>43391.45138888889</v>
      </c>
      <c r="F10" s="27">
        <v>213570.0</v>
      </c>
      <c r="G10" s="27">
        <v>0.0</v>
      </c>
      <c r="H10" s="27" t="s">
        <v>656</v>
      </c>
      <c r="I10" s="27" t="s">
        <v>656</v>
      </c>
      <c r="J10" s="27" t="s">
        <v>659</v>
      </c>
      <c r="K10" s="27" t="s">
        <v>659</v>
      </c>
      <c r="L10" s="27" t="s">
        <v>1825</v>
      </c>
      <c r="M10" s="27" t="s">
        <v>1826</v>
      </c>
      <c r="N10" s="27" t="s">
        <v>654</v>
      </c>
      <c r="O10" s="29">
        <v>978273.0</v>
      </c>
      <c r="P10" s="27" t="s">
        <v>725</v>
      </c>
      <c r="Q10" s="27" t="s">
        <v>1865</v>
      </c>
    </row>
    <row r="11">
      <c r="A11" s="21">
        <v>2.0160066E7</v>
      </c>
      <c r="B11" s="27" t="s">
        <v>778</v>
      </c>
      <c r="C11" s="27">
        <v>32099.0</v>
      </c>
      <c r="D11" s="27" t="s">
        <v>651</v>
      </c>
      <c r="E11" s="30">
        <v>42569.375</v>
      </c>
      <c r="F11" s="27">
        <v>30000.0</v>
      </c>
      <c r="G11" s="27">
        <v>0.0</v>
      </c>
      <c r="H11" s="27" t="s">
        <v>656</v>
      </c>
      <c r="I11" s="27" t="s">
        <v>656</v>
      </c>
      <c r="J11" s="27" t="s">
        <v>659</v>
      </c>
      <c r="K11" s="27" t="s">
        <v>659</v>
      </c>
      <c r="L11" s="27" t="s">
        <v>1825</v>
      </c>
      <c r="M11" s="27" t="s">
        <v>1826</v>
      </c>
      <c r="N11" s="27" t="s">
        <v>654</v>
      </c>
      <c r="O11" s="29">
        <v>2352500.0</v>
      </c>
      <c r="P11" s="27" t="s">
        <v>683</v>
      </c>
      <c r="Q11" s="27" t="s">
        <v>1990</v>
      </c>
    </row>
    <row r="12">
      <c r="A12" s="21">
        <v>2.010005E7</v>
      </c>
      <c r="B12" s="27" t="s">
        <v>778</v>
      </c>
      <c r="C12" s="27">
        <v>32099.0</v>
      </c>
      <c r="D12" s="27" t="s">
        <v>651</v>
      </c>
      <c r="E12" s="30">
        <v>40387.294444444444</v>
      </c>
      <c r="F12" s="27">
        <v>208458.0</v>
      </c>
      <c r="G12" s="27">
        <v>0.0</v>
      </c>
      <c r="H12" s="27" t="s">
        <v>656</v>
      </c>
      <c r="I12" s="27" t="s">
        <v>656</v>
      </c>
      <c r="J12" s="27" t="s">
        <v>656</v>
      </c>
      <c r="K12" s="27" t="s">
        <v>656</v>
      </c>
      <c r="L12" s="27" t="s">
        <v>1044</v>
      </c>
      <c r="M12" s="27" t="s">
        <v>1045</v>
      </c>
      <c r="N12" s="27" t="s">
        <v>654</v>
      </c>
      <c r="O12" s="29">
        <v>1879186.0</v>
      </c>
      <c r="P12" s="27" t="s">
        <v>683</v>
      </c>
      <c r="Q12" s="27" t="s">
        <v>2291</v>
      </c>
    </row>
    <row r="13">
      <c r="A13" s="21">
        <v>2.013012E7</v>
      </c>
      <c r="B13" s="27" t="s">
        <v>778</v>
      </c>
      <c r="C13" s="27">
        <v>15105.0</v>
      </c>
      <c r="D13" s="27" t="s">
        <v>794</v>
      </c>
      <c r="E13" s="30">
        <v>41606.99791666667</v>
      </c>
      <c r="F13" s="27">
        <v>150000.0</v>
      </c>
      <c r="G13" s="27">
        <v>0.0</v>
      </c>
      <c r="H13" s="27" t="s">
        <v>656</v>
      </c>
      <c r="I13" s="27" t="s">
        <v>656</v>
      </c>
      <c r="J13" s="27" t="s">
        <v>659</v>
      </c>
      <c r="K13" s="27" t="s">
        <v>656</v>
      </c>
      <c r="L13" s="27" t="s">
        <v>2131</v>
      </c>
      <c r="M13" s="27" t="s">
        <v>1758</v>
      </c>
      <c r="N13" s="27" t="s">
        <v>795</v>
      </c>
      <c r="O13" s="29">
        <v>2005775.0</v>
      </c>
      <c r="P13" s="27" t="s">
        <v>725</v>
      </c>
      <c r="Q13" s="27" t="s">
        <v>2136</v>
      </c>
    </row>
    <row r="14">
      <c r="A14" s="21">
        <v>2.0140108E7</v>
      </c>
      <c r="B14" s="27" t="s">
        <v>778</v>
      </c>
      <c r="C14" s="27">
        <v>15105.0</v>
      </c>
      <c r="D14" s="27" t="s">
        <v>794</v>
      </c>
      <c r="E14" s="30">
        <v>41905.03125</v>
      </c>
      <c r="F14" s="27">
        <v>3164.0</v>
      </c>
      <c r="G14" s="27">
        <v>13490.0</v>
      </c>
      <c r="H14" s="27" t="s">
        <v>656</v>
      </c>
      <c r="I14" s="27" t="s">
        <v>656</v>
      </c>
      <c r="J14" s="27" t="s">
        <v>659</v>
      </c>
      <c r="K14" s="27" t="s">
        <v>656</v>
      </c>
      <c r="L14" s="27" t="s">
        <v>2090</v>
      </c>
      <c r="M14" s="27" t="s">
        <v>2091</v>
      </c>
      <c r="N14" s="27" t="s">
        <v>1958</v>
      </c>
      <c r="O14" s="29">
        <v>77789.0</v>
      </c>
      <c r="P14" s="27" t="s">
        <v>925</v>
      </c>
      <c r="Q14" s="27" t="s">
        <v>2099</v>
      </c>
    </row>
    <row r="15">
      <c r="A15" s="21">
        <v>2.0140116E7</v>
      </c>
      <c r="B15" s="27" t="s">
        <v>778</v>
      </c>
      <c r="C15" s="27">
        <v>15105.0</v>
      </c>
      <c r="D15" s="27" t="s">
        <v>794</v>
      </c>
      <c r="E15" s="30">
        <v>41925.427083333336</v>
      </c>
      <c r="F15" s="27">
        <v>28670.0</v>
      </c>
      <c r="G15" s="27">
        <v>0.0</v>
      </c>
      <c r="H15" s="27" t="s">
        <v>656</v>
      </c>
      <c r="I15" s="27" t="s">
        <v>656</v>
      </c>
      <c r="J15" s="27" t="s">
        <v>659</v>
      </c>
      <c r="K15" s="27" t="s">
        <v>656</v>
      </c>
      <c r="L15" s="27" t="s">
        <v>2069</v>
      </c>
      <c r="M15" s="27" t="s">
        <v>2070</v>
      </c>
      <c r="N15" s="27" t="s">
        <v>795</v>
      </c>
      <c r="O15" s="29">
        <v>1001549.0</v>
      </c>
      <c r="P15" s="27" t="s">
        <v>808</v>
      </c>
      <c r="Q15" s="27" t="s">
        <v>2079</v>
      </c>
    </row>
    <row r="16">
      <c r="A16" s="21">
        <v>2.0190039E7</v>
      </c>
      <c r="B16" s="27" t="s">
        <v>778</v>
      </c>
      <c r="C16" s="27">
        <v>15105.0</v>
      </c>
      <c r="D16" s="27" t="s">
        <v>794</v>
      </c>
      <c r="E16" s="30">
        <v>43527.14097222222</v>
      </c>
      <c r="F16" s="27">
        <v>90006.0</v>
      </c>
      <c r="G16" s="27">
        <v>1713.0</v>
      </c>
      <c r="H16" s="27" t="s">
        <v>656</v>
      </c>
      <c r="I16" s="27" t="s">
        <v>656</v>
      </c>
      <c r="J16" s="27" t="s">
        <v>659</v>
      </c>
      <c r="K16" s="27" t="s">
        <v>659</v>
      </c>
      <c r="L16" s="27" t="s">
        <v>1848</v>
      </c>
      <c r="M16" s="27" t="s">
        <v>1849</v>
      </c>
      <c r="N16" s="27" t="s">
        <v>795</v>
      </c>
      <c r="O16" s="29">
        <v>1502052.0</v>
      </c>
      <c r="P16" s="27" t="s">
        <v>808</v>
      </c>
      <c r="Q16" s="27" t="s">
        <v>1856</v>
      </c>
    </row>
    <row r="17">
      <c r="A17" s="21">
        <v>2.0220115E7</v>
      </c>
      <c r="B17" s="27" t="s">
        <v>778</v>
      </c>
      <c r="C17" s="27">
        <v>15105.0</v>
      </c>
      <c r="D17" s="27" t="s">
        <v>794</v>
      </c>
      <c r="E17" s="30">
        <v>44837.0125</v>
      </c>
      <c r="F17" s="27">
        <v>7100.0</v>
      </c>
      <c r="G17" s="27">
        <v>0.0</v>
      </c>
      <c r="H17" s="27" t="s">
        <v>656</v>
      </c>
      <c r="I17" s="27" t="s">
        <v>656</v>
      </c>
      <c r="J17" s="27" t="s">
        <v>659</v>
      </c>
      <c r="K17" s="27" t="s">
        <v>656</v>
      </c>
      <c r="L17" s="27" t="s">
        <v>1292</v>
      </c>
      <c r="M17" s="27" t="s">
        <v>1293</v>
      </c>
      <c r="N17" s="27" t="s">
        <v>1291</v>
      </c>
      <c r="O17" s="29">
        <v>769842.0</v>
      </c>
      <c r="P17" s="27" t="s">
        <v>725</v>
      </c>
      <c r="Q17" s="27" t="s">
        <v>1303</v>
      </c>
    </row>
    <row r="18">
      <c r="A18" s="21">
        <v>2.0150036E7</v>
      </c>
      <c r="B18" s="27" t="s">
        <v>701</v>
      </c>
      <c r="C18" s="27">
        <v>19610.0</v>
      </c>
      <c r="D18" s="27" t="s">
        <v>1270</v>
      </c>
      <c r="E18" s="30">
        <v>42057.743055555555</v>
      </c>
      <c r="F18" s="27">
        <v>130000.0</v>
      </c>
      <c r="G18" s="27">
        <v>495.0</v>
      </c>
      <c r="H18" s="27" t="s">
        <v>656</v>
      </c>
      <c r="I18" s="27" t="s">
        <v>656</v>
      </c>
      <c r="J18" s="27" t="s">
        <v>656</v>
      </c>
      <c r="K18" s="27" t="s">
        <v>656</v>
      </c>
      <c r="L18" s="27" t="s">
        <v>2048</v>
      </c>
      <c r="M18" s="27" t="s">
        <v>1135</v>
      </c>
      <c r="N18" s="27" t="s">
        <v>1163</v>
      </c>
      <c r="O18" s="29">
        <v>365386.0</v>
      </c>
      <c r="P18" s="27" t="s">
        <v>761</v>
      </c>
      <c r="Q18" s="27" t="s">
        <v>2054</v>
      </c>
    </row>
    <row r="19">
      <c r="A19" s="21">
        <v>2.0220002E7</v>
      </c>
      <c r="B19" s="27" t="s">
        <v>778</v>
      </c>
      <c r="C19" s="27">
        <v>40069.0</v>
      </c>
      <c r="D19" s="27" t="s">
        <v>993</v>
      </c>
      <c r="E19" s="30">
        <v>44542.63333333333</v>
      </c>
      <c r="F19" s="27">
        <v>119739.0</v>
      </c>
      <c r="G19" s="27">
        <v>0.0</v>
      </c>
      <c r="H19" s="27" t="s">
        <v>656</v>
      </c>
      <c r="I19" s="27" t="s">
        <v>656</v>
      </c>
      <c r="J19" s="27" t="s">
        <v>656</v>
      </c>
      <c r="O19" s="29">
        <v>1420002.0</v>
      </c>
      <c r="P19" s="27" t="s">
        <v>725</v>
      </c>
      <c r="Q19" s="27" t="s">
        <v>1508</v>
      </c>
    </row>
    <row r="20">
      <c r="A20" s="21">
        <v>2.0220039E7</v>
      </c>
      <c r="B20" s="27" t="s">
        <v>778</v>
      </c>
      <c r="C20" s="27">
        <v>40069.0</v>
      </c>
      <c r="D20" s="27" t="s">
        <v>993</v>
      </c>
      <c r="E20" s="30">
        <v>44619.6875</v>
      </c>
      <c r="F20" s="27">
        <v>33613.0</v>
      </c>
      <c r="G20" s="27">
        <v>60122.0</v>
      </c>
      <c r="H20" s="27" t="s">
        <v>656</v>
      </c>
      <c r="I20" s="27" t="s">
        <v>656</v>
      </c>
      <c r="J20" s="27" t="s">
        <v>656</v>
      </c>
      <c r="O20" s="29">
        <v>2544141.0</v>
      </c>
      <c r="P20" s="27" t="s">
        <v>725</v>
      </c>
      <c r="Q20" s="27" t="s">
        <v>1445</v>
      </c>
    </row>
    <row r="21">
      <c r="A21" s="27">
        <v>2.0230099E7</v>
      </c>
      <c r="B21" s="27" t="s">
        <v>778</v>
      </c>
      <c r="C21" s="27">
        <v>602.0</v>
      </c>
      <c r="D21" s="27" t="s">
        <v>859</v>
      </c>
      <c r="E21" s="30">
        <v>45203.73888888889</v>
      </c>
      <c r="F21" s="27">
        <v>99860.0</v>
      </c>
      <c r="G21" s="27">
        <v>0.0</v>
      </c>
      <c r="H21" s="27" t="s">
        <v>656</v>
      </c>
      <c r="I21" s="27" t="s">
        <v>656</v>
      </c>
      <c r="J21" s="27" t="s">
        <v>659</v>
      </c>
      <c r="K21" s="27" t="s">
        <v>656</v>
      </c>
      <c r="L21" s="27" t="s">
        <v>663</v>
      </c>
      <c r="M21" s="27" t="s">
        <v>1099</v>
      </c>
      <c r="N21" s="27" t="s">
        <v>961</v>
      </c>
      <c r="O21" s="29">
        <v>1.0435724E7</v>
      </c>
      <c r="P21" s="27" t="s">
        <v>808</v>
      </c>
      <c r="Q21" s="27" t="s">
        <v>1107</v>
      </c>
    </row>
    <row r="22">
      <c r="A22" s="21">
        <v>2.0220079E7</v>
      </c>
      <c r="B22" s="27" t="s">
        <v>778</v>
      </c>
      <c r="C22" s="27">
        <v>32099.0</v>
      </c>
      <c r="D22" s="27" t="s">
        <v>651</v>
      </c>
      <c r="E22" s="30">
        <v>44749.44236111111</v>
      </c>
      <c r="F22" s="27">
        <v>40825.0</v>
      </c>
      <c r="G22" s="27">
        <v>0.0</v>
      </c>
      <c r="H22" s="27" t="s">
        <v>656</v>
      </c>
      <c r="I22" s="27" t="s">
        <v>656</v>
      </c>
      <c r="J22" s="27" t="s">
        <v>659</v>
      </c>
      <c r="K22" s="27" t="s">
        <v>659</v>
      </c>
      <c r="L22" s="27" t="s">
        <v>1370</v>
      </c>
      <c r="M22" s="27" t="s">
        <v>1371</v>
      </c>
      <c r="N22" s="27" t="s">
        <v>654</v>
      </c>
      <c r="O22" s="29">
        <v>1025846.0</v>
      </c>
      <c r="P22" s="27" t="s">
        <v>725</v>
      </c>
      <c r="Q22" s="27" t="s">
        <v>1378</v>
      </c>
    </row>
    <row r="23">
      <c r="A23" s="21">
        <v>2.01801E7</v>
      </c>
      <c r="B23" s="27" t="s">
        <v>778</v>
      </c>
      <c r="C23" s="27">
        <v>32099.0</v>
      </c>
      <c r="D23" s="27" t="s">
        <v>651</v>
      </c>
      <c r="E23" s="30">
        <v>43353.222916666666</v>
      </c>
      <c r="F23" s="27">
        <v>40000.0</v>
      </c>
      <c r="G23" s="27">
        <v>3900.0</v>
      </c>
      <c r="H23" s="27" t="s">
        <v>656</v>
      </c>
      <c r="I23" s="27" t="s">
        <v>656</v>
      </c>
      <c r="J23" s="27" t="s">
        <v>659</v>
      </c>
      <c r="K23" s="27" t="s">
        <v>656</v>
      </c>
      <c r="L23" s="27" t="s">
        <v>1892</v>
      </c>
      <c r="M23" s="27" t="s">
        <v>1893</v>
      </c>
      <c r="N23" s="27" t="s">
        <v>1890</v>
      </c>
      <c r="O23" s="29">
        <v>7011146.0</v>
      </c>
      <c r="P23" s="27" t="s">
        <v>867</v>
      </c>
      <c r="Q23" s="27" t="s">
        <v>1902</v>
      </c>
    </row>
    <row r="24">
      <c r="A24" s="27">
        <v>2.0250044E7</v>
      </c>
      <c r="B24" s="27" t="s">
        <v>778</v>
      </c>
      <c r="C24" s="27">
        <v>32099.0</v>
      </c>
      <c r="D24" s="27" t="s">
        <v>651</v>
      </c>
      <c r="E24" s="30">
        <v>45743.49930555555</v>
      </c>
      <c r="F24" s="27">
        <v>22988.0</v>
      </c>
      <c r="G24" s="27">
        <v>799.0</v>
      </c>
      <c r="H24" s="27" t="s">
        <v>656</v>
      </c>
      <c r="I24" s="27" t="s">
        <v>656</v>
      </c>
      <c r="J24" s="27" t="s">
        <v>656</v>
      </c>
      <c r="L24" s="27" t="s">
        <v>779</v>
      </c>
      <c r="M24" s="27" t="s">
        <v>780</v>
      </c>
      <c r="N24" s="27" t="s">
        <v>654</v>
      </c>
      <c r="O24" s="29">
        <v>977793.0</v>
      </c>
      <c r="P24" s="27" t="s">
        <v>786</v>
      </c>
      <c r="Q24" s="27" t="s">
        <v>793</v>
      </c>
    </row>
    <row r="25">
      <c r="A25" s="21">
        <v>2.0200036E7</v>
      </c>
      <c r="B25" s="27" t="s">
        <v>778</v>
      </c>
      <c r="C25" s="27">
        <v>15105.0</v>
      </c>
      <c r="D25" s="27" t="s">
        <v>794</v>
      </c>
      <c r="E25" s="30">
        <v>43916.583333333336</v>
      </c>
      <c r="F25" s="27">
        <v>0.3</v>
      </c>
      <c r="G25" s="27">
        <v>285.0</v>
      </c>
      <c r="H25" s="27" t="s">
        <v>659</v>
      </c>
      <c r="I25" s="27" t="s">
        <v>656</v>
      </c>
      <c r="J25" s="27" t="s">
        <v>656</v>
      </c>
      <c r="L25" s="27" t="s">
        <v>1739</v>
      </c>
      <c r="M25" s="27" t="s">
        <v>1739</v>
      </c>
      <c r="N25" s="27" t="s">
        <v>1034</v>
      </c>
      <c r="O25" s="29">
        <v>21139.0</v>
      </c>
      <c r="P25" s="27" t="s">
        <v>786</v>
      </c>
      <c r="Q25" s="27" t="s">
        <v>1747</v>
      </c>
    </row>
    <row r="26">
      <c r="A26" s="21">
        <v>2.0180107E7</v>
      </c>
      <c r="B26" s="27" t="s">
        <v>778</v>
      </c>
      <c r="C26" s="27">
        <v>32099.0</v>
      </c>
      <c r="D26" s="27" t="s">
        <v>651</v>
      </c>
      <c r="E26" s="30">
        <v>43371.322916666664</v>
      </c>
      <c r="F26" s="27">
        <v>0.1</v>
      </c>
      <c r="G26" s="27">
        <v>0.0</v>
      </c>
      <c r="H26" s="27" t="s">
        <v>656</v>
      </c>
      <c r="I26" s="27" t="s">
        <v>659</v>
      </c>
      <c r="J26" s="27" t="s">
        <v>656</v>
      </c>
      <c r="K26" s="27" t="s">
        <v>656</v>
      </c>
      <c r="L26" s="27" t="s">
        <v>1877</v>
      </c>
      <c r="M26" s="27" t="s">
        <v>1878</v>
      </c>
      <c r="N26" s="27" t="s">
        <v>654</v>
      </c>
      <c r="O26" s="29">
        <v>1500.0</v>
      </c>
      <c r="P26" s="27" t="s">
        <v>761</v>
      </c>
      <c r="Q26" s="27" t="s">
        <v>1887</v>
      </c>
    </row>
    <row r="27">
      <c r="A27" s="21">
        <v>2.0220085E7</v>
      </c>
      <c r="B27" s="27" t="s">
        <v>778</v>
      </c>
      <c r="C27" s="27">
        <v>32099.0</v>
      </c>
      <c r="D27" s="27" t="s">
        <v>651</v>
      </c>
      <c r="E27" s="30">
        <v>44764.42361111111</v>
      </c>
      <c r="F27" s="27">
        <v>8200.0</v>
      </c>
      <c r="G27" s="27">
        <v>0.0</v>
      </c>
      <c r="H27" s="27" t="s">
        <v>656</v>
      </c>
      <c r="I27" s="27" t="s">
        <v>656</v>
      </c>
      <c r="J27" s="27" t="s">
        <v>656</v>
      </c>
      <c r="L27" s="27" t="s">
        <v>663</v>
      </c>
      <c r="M27" s="27" t="s">
        <v>1354</v>
      </c>
      <c r="N27" s="27" t="s">
        <v>751</v>
      </c>
      <c r="O27" s="29">
        <v>273572.0</v>
      </c>
      <c r="P27" s="27" t="s">
        <v>808</v>
      </c>
      <c r="Q27" s="27" t="s">
        <v>1361</v>
      </c>
    </row>
    <row r="28">
      <c r="E28" s="28"/>
    </row>
    <row r="29">
      <c r="E29" s="28"/>
    </row>
    <row r="30">
      <c r="E30" s="28"/>
    </row>
    <row r="31">
      <c r="E31" s="28"/>
    </row>
    <row r="32">
      <c r="E32" s="28"/>
    </row>
    <row r="33">
      <c r="E33" s="28"/>
    </row>
    <row r="34">
      <c r="E34" s="28"/>
    </row>
    <row r="35">
      <c r="E35" s="28"/>
    </row>
    <row r="36">
      <c r="E36" s="28"/>
    </row>
    <row r="37">
      <c r="E37" s="28"/>
    </row>
    <row r="38">
      <c r="E38" s="28"/>
    </row>
    <row r="39">
      <c r="E39" s="28"/>
    </row>
    <row r="40">
      <c r="E40" s="28"/>
    </row>
    <row r="41">
      <c r="E41" s="28"/>
    </row>
    <row r="42">
      <c r="E42" s="28"/>
    </row>
    <row r="43">
      <c r="E43" s="28"/>
    </row>
    <row r="44">
      <c r="E44" s="28"/>
    </row>
    <row r="45">
      <c r="E45" s="28"/>
    </row>
    <row r="46">
      <c r="E46" s="28"/>
    </row>
    <row r="47">
      <c r="E47" s="28"/>
    </row>
    <row r="48">
      <c r="E48" s="28"/>
    </row>
    <row r="49">
      <c r="E49" s="28"/>
    </row>
    <row r="50">
      <c r="E50" s="28"/>
    </row>
    <row r="51">
      <c r="E51" s="28"/>
    </row>
    <row r="52">
      <c r="E52" s="28"/>
    </row>
    <row r="53">
      <c r="E53" s="28"/>
    </row>
    <row r="54">
      <c r="E54" s="28"/>
    </row>
    <row r="55">
      <c r="E55" s="28"/>
    </row>
    <row r="56">
      <c r="E56" s="28"/>
    </row>
    <row r="57">
      <c r="E57" s="28"/>
    </row>
    <row r="58">
      <c r="E58" s="28"/>
    </row>
    <row r="59">
      <c r="E59" s="28"/>
    </row>
    <row r="60">
      <c r="E60" s="28"/>
    </row>
    <row r="61">
      <c r="E61" s="28"/>
    </row>
    <row r="62">
      <c r="E62" s="28"/>
    </row>
    <row r="63">
      <c r="E63" s="28"/>
    </row>
    <row r="64">
      <c r="E64" s="28"/>
    </row>
    <row r="65">
      <c r="E65" s="28"/>
    </row>
    <row r="66">
      <c r="E66" s="28"/>
    </row>
    <row r="67">
      <c r="E67" s="28"/>
    </row>
    <row r="68">
      <c r="E68" s="28"/>
    </row>
    <row r="69">
      <c r="E69" s="28"/>
    </row>
    <row r="70">
      <c r="E70" s="28"/>
    </row>
    <row r="71">
      <c r="E71" s="28"/>
    </row>
    <row r="72">
      <c r="E72" s="28"/>
    </row>
    <row r="73">
      <c r="E73" s="28"/>
    </row>
    <row r="74">
      <c r="E74" s="28"/>
    </row>
    <row r="75">
      <c r="E75" s="28"/>
    </row>
    <row r="76">
      <c r="E76" s="28"/>
    </row>
    <row r="77">
      <c r="E77" s="28"/>
    </row>
    <row r="78">
      <c r="E78" s="28"/>
    </row>
    <row r="79">
      <c r="E79" s="28"/>
    </row>
    <row r="80">
      <c r="E80" s="28"/>
    </row>
    <row r="81">
      <c r="E81" s="28"/>
    </row>
    <row r="82">
      <c r="E82" s="28"/>
    </row>
    <row r="83">
      <c r="E83" s="28"/>
    </row>
    <row r="84">
      <c r="E84" s="28"/>
    </row>
    <row r="85">
      <c r="E85" s="28"/>
    </row>
    <row r="86">
      <c r="E86" s="28"/>
    </row>
    <row r="87">
      <c r="E87" s="28"/>
    </row>
    <row r="88">
      <c r="E88" s="28"/>
    </row>
    <row r="89">
      <c r="E89" s="28"/>
    </row>
    <row r="90">
      <c r="E90" s="28"/>
    </row>
    <row r="91">
      <c r="E91" s="28"/>
    </row>
    <row r="92">
      <c r="E92" s="28"/>
    </row>
    <row r="93">
      <c r="E93" s="28"/>
    </row>
    <row r="94">
      <c r="E94" s="28"/>
    </row>
    <row r="95">
      <c r="E95" s="28"/>
    </row>
    <row r="96">
      <c r="E96" s="28"/>
    </row>
    <row r="97">
      <c r="E97" s="28"/>
    </row>
    <row r="98">
      <c r="E98" s="28"/>
    </row>
    <row r="99">
      <c r="E99" s="28"/>
    </row>
    <row r="100">
      <c r="E100" s="28"/>
    </row>
    <row r="101">
      <c r="E101" s="28"/>
    </row>
    <row r="102">
      <c r="E102" s="28"/>
    </row>
    <row r="103">
      <c r="E103" s="28"/>
    </row>
    <row r="104">
      <c r="E104" s="28"/>
    </row>
    <row r="105">
      <c r="E105" s="28"/>
    </row>
    <row r="106">
      <c r="E106" s="28"/>
    </row>
    <row r="107">
      <c r="E107" s="28"/>
    </row>
    <row r="108">
      <c r="E108" s="28"/>
    </row>
    <row r="109">
      <c r="E109" s="28"/>
    </row>
    <row r="110">
      <c r="E110" s="28"/>
    </row>
    <row r="111">
      <c r="E111" s="28"/>
    </row>
    <row r="112">
      <c r="E112" s="28"/>
    </row>
    <row r="113">
      <c r="E113" s="28"/>
    </row>
    <row r="114">
      <c r="E114" s="28"/>
    </row>
    <row r="115">
      <c r="E115" s="28"/>
    </row>
    <row r="116">
      <c r="E116" s="28"/>
    </row>
    <row r="117">
      <c r="E117" s="28"/>
    </row>
    <row r="118">
      <c r="E118" s="28"/>
    </row>
    <row r="119">
      <c r="E119" s="28"/>
    </row>
    <row r="120">
      <c r="E120" s="28"/>
    </row>
    <row r="121">
      <c r="E121" s="28"/>
    </row>
    <row r="122">
      <c r="E122" s="28"/>
    </row>
    <row r="123">
      <c r="E123" s="28"/>
    </row>
    <row r="124">
      <c r="E124" s="28"/>
    </row>
    <row r="125">
      <c r="E125" s="28"/>
    </row>
    <row r="126">
      <c r="E126" s="28"/>
    </row>
    <row r="127">
      <c r="E127" s="28"/>
    </row>
    <row r="128">
      <c r="E128" s="28"/>
    </row>
    <row r="129">
      <c r="E129" s="28"/>
    </row>
    <row r="130">
      <c r="E130" s="28"/>
    </row>
    <row r="131">
      <c r="E131" s="28"/>
    </row>
    <row r="132">
      <c r="E132" s="28"/>
    </row>
    <row r="133">
      <c r="E133" s="28"/>
    </row>
    <row r="134">
      <c r="E134" s="28"/>
    </row>
    <row r="135">
      <c r="E135" s="28"/>
    </row>
    <row r="136">
      <c r="E136" s="28"/>
    </row>
    <row r="137">
      <c r="E137" s="28"/>
    </row>
    <row r="138">
      <c r="E138" s="28"/>
    </row>
    <row r="139">
      <c r="E139" s="28"/>
    </row>
    <row r="140">
      <c r="E140" s="28"/>
    </row>
    <row r="141">
      <c r="E141" s="28"/>
    </row>
    <row r="142">
      <c r="E142" s="28"/>
    </row>
    <row r="143">
      <c r="E143" s="28"/>
    </row>
    <row r="144">
      <c r="E144" s="28"/>
    </row>
    <row r="145">
      <c r="E145" s="28"/>
    </row>
    <row r="146">
      <c r="E146" s="28"/>
    </row>
    <row r="147">
      <c r="E147" s="28"/>
    </row>
    <row r="148">
      <c r="E148" s="28"/>
    </row>
    <row r="149">
      <c r="E149" s="28"/>
    </row>
    <row r="150">
      <c r="E150" s="28"/>
    </row>
    <row r="151">
      <c r="E151" s="28"/>
    </row>
    <row r="152">
      <c r="E152" s="28"/>
    </row>
    <row r="153">
      <c r="E153" s="28"/>
    </row>
    <row r="154">
      <c r="E154" s="28"/>
    </row>
    <row r="155">
      <c r="E155" s="28"/>
    </row>
    <row r="156">
      <c r="E156" s="28"/>
    </row>
    <row r="157">
      <c r="E157" s="28"/>
    </row>
    <row r="158">
      <c r="E158" s="28"/>
    </row>
    <row r="159">
      <c r="E159" s="28"/>
    </row>
    <row r="160">
      <c r="E160" s="28"/>
    </row>
    <row r="161">
      <c r="E161" s="28"/>
    </row>
    <row r="162">
      <c r="E162" s="28"/>
    </row>
    <row r="163">
      <c r="E163" s="28"/>
    </row>
    <row r="164">
      <c r="E164" s="28"/>
    </row>
    <row r="165">
      <c r="E165" s="28"/>
    </row>
    <row r="166">
      <c r="E166" s="28"/>
    </row>
    <row r="167">
      <c r="E167" s="28"/>
    </row>
    <row r="168">
      <c r="E168" s="28"/>
    </row>
    <row r="169">
      <c r="E169" s="28"/>
    </row>
    <row r="170">
      <c r="E170" s="28"/>
    </row>
    <row r="171">
      <c r="E171" s="28"/>
    </row>
    <row r="172">
      <c r="E172" s="28"/>
    </row>
    <row r="173">
      <c r="E173" s="28"/>
    </row>
    <row r="174">
      <c r="E174" s="28"/>
    </row>
    <row r="175">
      <c r="E175" s="28"/>
    </row>
    <row r="176">
      <c r="E176" s="28"/>
    </row>
    <row r="177">
      <c r="E177" s="28"/>
    </row>
    <row r="178">
      <c r="E178" s="28"/>
    </row>
    <row r="179">
      <c r="E179" s="28"/>
    </row>
    <row r="180">
      <c r="E180" s="28"/>
    </row>
    <row r="181">
      <c r="E181" s="28"/>
    </row>
    <row r="182">
      <c r="E182" s="28"/>
    </row>
    <row r="183">
      <c r="E183" s="28"/>
    </row>
    <row r="184">
      <c r="E184" s="28"/>
    </row>
    <row r="185">
      <c r="E185" s="28"/>
    </row>
    <row r="186">
      <c r="E186" s="28"/>
    </row>
    <row r="187">
      <c r="E187" s="28"/>
    </row>
    <row r="188">
      <c r="E188" s="28"/>
    </row>
    <row r="189">
      <c r="E189" s="28"/>
    </row>
    <row r="190">
      <c r="E190" s="28"/>
    </row>
    <row r="191">
      <c r="E191" s="28"/>
    </row>
    <row r="192">
      <c r="E192" s="28"/>
    </row>
    <row r="193">
      <c r="E193" s="28"/>
    </row>
    <row r="194">
      <c r="E194" s="28"/>
    </row>
    <row r="195">
      <c r="E195" s="28"/>
    </row>
    <row r="196">
      <c r="E196" s="28"/>
    </row>
    <row r="197">
      <c r="E197" s="28"/>
    </row>
    <row r="198">
      <c r="E198" s="28"/>
    </row>
    <row r="199">
      <c r="E199" s="28"/>
    </row>
    <row r="200">
      <c r="E200" s="28"/>
    </row>
    <row r="201">
      <c r="E201" s="28"/>
    </row>
    <row r="202">
      <c r="E202" s="28"/>
    </row>
    <row r="203">
      <c r="E203" s="28"/>
    </row>
    <row r="204">
      <c r="E204" s="28"/>
    </row>
    <row r="205">
      <c r="E205" s="28"/>
    </row>
    <row r="206">
      <c r="E206" s="28"/>
    </row>
    <row r="207">
      <c r="E207" s="28"/>
    </row>
    <row r="208">
      <c r="E208" s="28"/>
    </row>
    <row r="209">
      <c r="E209" s="28"/>
    </row>
    <row r="210">
      <c r="E210" s="28"/>
    </row>
    <row r="211">
      <c r="E211" s="28"/>
    </row>
    <row r="212">
      <c r="E212" s="28"/>
    </row>
    <row r="213">
      <c r="E213" s="28"/>
    </row>
    <row r="214">
      <c r="E214" s="28"/>
    </row>
    <row r="215">
      <c r="E215" s="28"/>
    </row>
    <row r="216">
      <c r="E216" s="28"/>
    </row>
    <row r="217">
      <c r="E217" s="28"/>
    </row>
    <row r="218">
      <c r="E218" s="28"/>
    </row>
    <row r="219">
      <c r="E219" s="28"/>
    </row>
    <row r="220">
      <c r="E220" s="28"/>
    </row>
    <row r="221">
      <c r="E221" s="28"/>
    </row>
    <row r="222">
      <c r="E222" s="28"/>
    </row>
    <row r="223">
      <c r="E223" s="28"/>
    </row>
    <row r="224">
      <c r="E224" s="28"/>
    </row>
    <row r="225">
      <c r="E225" s="28"/>
    </row>
    <row r="226">
      <c r="E226" s="28"/>
    </row>
    <row r="227">
      <c r="E227" s="28"/>
    </row>
    <row r="228">
      <c r="E228" s="28"/>
    </row>
    <row r="229">
      <c r="E229" s="28"/>
    </row>
    <row r="230">
      <c r="E230" s="28"/>
    </row>
    <row r="231">
      <c r="E231" s="28"/>
    </row>
    <row r="232">
      <c r="E232" s="28"/>
    </row>
    <row r="233">
      <c r="E233" s="28"/>
    </row>
    <row r="234">
      <c r="E234" s="28"/>
    </row>
    <row r="235">
      <c r="E235" s="28"/>
    </row>
    <row r="236">
      <c r="E236" s="28"/>
    </row>
    <row r="237">
      <c r="E237" s="28"/>
    </row>
    <row r="238">
      <c r="E238" s="28"/>
    </row>
    <row r="239">
      <c r="E239" s="28"/>
    </row>
    <row r="240">
      <c r="E240" s="28"/>
    </row>
    <row r="241">
      <c r="E241" s="28"/>
    </row>
    <row r="242">
      <c r="E242" s="28"/>
    </row>
    <row r="243">
      <c r="E243" s="28"/>
    </row>
    <row r="244">
      <c r="E244" s="28"/>
    </row>
    <row r="245">
      <c r="E245" s="28"/>
    </row>
    <row r="246">
      <c r="E246" s="28"/>
    </row>
    <row r="247">
      <c r="E247" s="28"/>
    </row>
    <row r="248">
      <c r="E248" s="28"/>
    </row>
    <row r="249">
      <c r="E249" s="28"/>
    </row>
    <row r="250">
      <c r="E250" s="28"/>
    </row>
    <row r="251">
      <c r="E251" s="28"/>
    </row>
    <row r="252">
      <c r="E252" s="28"/>
    </row>
    <row r="253">
      <c r="E253" s="28"/>
    </row>
    <row r="254">
      <c r="E254" s="28"/>
    </row>
    <row r="255">
      <c r="E255" s="28"/>
    </row>
    <row r="256">
      <c r="E256" s="28"/>
    </row>
    <row r="257">
      <c r="E257" s="28"/>
    </row>
    <row r="258">
      <c r="E258" s="28"/>
    </row>
    <row r="259">
      <c r="E259" s="28"/>
    </row>
    <row r="260">
      <c r="E260" s="28"/>
    </row>
    <row r="261">
      <c r="E261" s="28"/>
    </row>
    <row r="262">
      <c r="E262" s="28"/>
    </row>
    <row r="263">
      <c r="E263" s="28"/>
    </row>
    <row r="264">
      <c r="E264" s="28"/>
    </row>
    <row r="265">
      <c r="E265" s="28"/>
    </row>
    <row r="266">
      <c r="E266" s="28"/>
    </row>
    <row r="267">
      <c r="E267" s="28"/>
    </row>
    <row r="268">
      <c r="E268" s="28"/>
    </row>
    <row r="269">
      <c r="E269" s="28"/>
    </row>
    <row r="270">
      <c r="E270" s="28"/>
    </row>
    <row r="271">
      <c r="E271" s="28"/>
    </row>
    <row r="272">
      <c r="E272" s="28"/>
    </row>
    <row r="273">
      <c r="E273" s="28"/>
    </row>
    <row r="274">
      <c r="E274" s="28"/>
    </row>
    <row r="275">
      <c r="E275" s="28"/>
    </row>
    <row r="276">
      <c r="E276" s="28"/>
    </row>
    <row r="277">
      <c r="E277" s="28"/>
    </row>
    <row r="278">
      <c r="E278" s="28"/>
    </row>
    <row r="279">
      <c r="E279" s="28"/>
    </row>
    <row r="280">
      <c r="E280" s="28"/>
    </row>
    <row r="281">
      <c r="E281" s="28"/>
    </row>
    <row r="282">
      <c r="E282" s="28"/>
    </row>
    <row r="283">
      <c r="E283" s="28"/>
    </row>
    <row r="284">
      <c r="E284" s="28"/>
    </row>
    <row r="285">
      <c r="E285" s="28"/>
    </row>
    <row r="286">
      <c r="E286" s="28"/>
    </row>
    <row r="287">
      <c r="E287" s="28"/>
    </row>
    <row r="288">
      <c r="E288" s="28"/>
    </row>
    <row r="289">
      <c r="E289" s="28"/>
    </row>
    <row r="290">
      <c r="E290" s="28"/>
    </row>
    <row r="291">
      <c r="E291" s="28"/>
    </row>
    <row r="292">
      <c r="E292" s="28"/>
    </row>
    <row r="293">
      <c r="E293" s="28"/>
    </row>
    <row r="294">
      <c r="E294" s="28"/>
    </row>
    <row r="295">
      <c r="E295" s="28"/>
    </row>
    <row r="296">
      <c r="E296" s="28"/>
    </row>
    <row r="297">
      <c r="E297" s="28"/>
    </row>
    <row r="298">
      <c r="E298" s="28"/>
    </row>
    <row r="299">
      <c r="E299" s="28"/>
    </row>
    <row r="300">
      <c r="E300" s="28"/>
    </row>
    <row r="301">
      <c r="E301" s="28"/>
    </row>
    <row r="302">
      <c r="E302" s="28"/>
    </row>
    <row r="303">
      <c r="E303" s="28"/>
    </row>
    <row r="304">
      <c r="E304" s="28"/>
    </row>
    <row r="305">
      <c r="E305" s="28"/>
    </row>
    <row r="306">
      <c r="E306" s="28"/>
    </row>
    <row r="307">
      <c r="E307" s="28"/>
    </row>
    <row r="308">
      <c r="E308" s="28"/>
    </row>
    <row r="309">
      <c r="E309" s="28"/>
    </row>
    <row r="310">
      <c r="E310" s="28"/>
    </row>
    <row r="311">
      <c r="E311" s="28"/>
    </row>
    <row r="312">
      <c r="E312" s="28"/>
    </row>
    <row r="313">
      <c r="E313" s="28"/>
    </row>
    <row r="314">
      <c r="E314" s="28"/>
    </row>
    <row r="315">
      <c r="E315" s="28"/>
    </row>
    <row r="316">
      <c r="E316" s="28"/>
    </row>
    <row r="317">
      <c r="E317" s="28"/>
    </row>
    <row r="318">
      <c r="E318" s="28"/>
    </row>
    <row r="319">
      <c r="E319" s="28"/>
    </row>
    <row r="320">
      <c r="E320" s="28"/>
    </row>
    <row r="321">
      <c r="E321" s="28"/>
    </row>
    <row r="322">
      <c r="E322" s="28"/>
    </row>
    <row r="323">
      <c r="E323" s="28"/>
    </row>
    <row r="324">
      <c r="E324" s="28"/>
    </row>
    <row r="325">
      <c r="E325" s="28"/>
    </row>
    <row r="326">
      <c r="E326" s="28"/>
    </row>
    <row r="327">
      <c r="E327" s="28"/>
    </row>
    <row r="328">
      <c r="E328" s="28"/>
    </row>
    <row r="329">
      <c r="E329" s="28"/>
    </row>
    <row r="330">
      <c r="E330" s="28"/>
    </row>
    <row r="331">
      <c r="E331" s="28"/>
    </row>
    <row r="332">
      <c r="E332" s="28"/>
    </row>
    <row r="333">
      <c r="E333" s="28"/>
    </row>
    <row r="334">
      <c r="E334" s="28"/>
    </row>
    <row r="335">
      <c r="E335" s="28"/>
    </row>
    <row r="336">
      <c r="E336" s="28"/>
    </row>
    <row r="337">
      <c r="E337" s="28"/>
    </row>
    <row r="338">
      <c r="E338" s="28"/>
    </row>
    <row r="339">
      <c r="E339" s="28"/>
    </row>
    <row r="340">
      <c r="E340" s="28"/>
    </row>
    <row r="341">
      <c r="E341" s="28"/>
    </row>
    <row r="342">
      <c r="E342" s="28"/>
    </row>
    <row r="343">
      <c r="E343" s="28"/>
    </row>
    <row r="344">
      <c r="E344" s="28"/>
    </row>
    <row r="345">
      <c r="E345" s="28"/>
    </row>
    <row r="346">
      <c r="E346" s="28"/>
    </row>
    <row r="347">
      <c r="E347" s="28"/>
    </row>
    <row r="348">
      <c r="E348" s="28"/>
    </row>
    <row r="349">
      <c r="E349" s="28"/>
    </row>
    <row r="350">
      <c r="E350" s="28"/>
    </row>
    <row r="351">
      <c r="E351" s="28"/>
    </row>
    <row r="352">
      <c r="E352" s="28"/>
    </row>
    <row r="353">
      <c r="E353" s="28"/>
    </row>
    <row r="354">
      <c r="E354" s="28"/>
    </row>
    <row r="355">
      <c r="E355" s="28"/>
    </row>
    <row r="356">
      <c r="E356" s="28"/>
    </row>
    <row r="357">
      <c r="E357" s="28"/>
    </row>
    <row r="358">
      <c r="E358" s="28"/>
    </row>
    <row r="359">
      <c r="E359" s="28"/>
    </row>
    <row r="360">
      <c r="E360" s="28"/>
    </row>
    <row r="361">
      <c r="E361" s="28"/>
    </row>
    <row r="362">
      <c r="E362" s="28"/>
    </row>
    <row r="363">
      <c r="E363" s="28"/>
    </row>
    <row r="364">
      <c r="E364" s="28"/>
    </row>
    <row r="365">
      <c r="E365" s="28"/>
    </row>
    <row r="366">
      <c r="E366" s="28"/>
    </row>
    <row r="367">
      <c r="E367" s="28"/>
    </row>
    <row r="368">
      <c r="E368" s="28"/>
    </row>
    <row r="369">
      <c r="E369" s="28"/>
    </row>
    <row r="370">
      <c r="E370" s="28"/>
    </row>
    <row r="371">
      <c r="E371" s="28"/>
    </row>
    <row r="372">
      <c r="E372" s="28"/>
    </row>
    <row r="373">
      <c r="E373" s="28"/>
    </row>
    <row r="374">
      <c r="E374" s="28"/>
    </row>
    <row r="375">
      <c r="E375" s="28"/>
    </row>
    <row r="376">
      <c r="E376" s="28"/>
    </row>
    <row r="377">
      <c r="E377" s="28"/>
    </row>
    <row r="378">
      <c r="E378" s="28"/>
    </row>
    <row r="379">
      <c r="E379" s="28"/>
    </row>
    <row r="380">
      <c r="E380" s="28"/>
    </row>
    <row r="381">
      <c r="E381" s="28"/>
    </row>
    <row r="382">
      <c r="E382" s="28"/>
    </row>
    <row r="383">
      <c r="E383" s="28"/>
    </row>
    <row r="384">
      <c r="E384" s="28"/>
    </row>
    <row r="385">
      <c r="E385" s="28"/>
    </row>
    <row r="386">
      <c r="E386" s="28"/>
    </row>
    <row r="387">
      <c r="E387" s="28"/>
    </row>
    <row r="388">
      <c r="E388" s="28"/>
    </row>
    <row r="389">
      <c r="E389" s="28"/>
    </row>
    <row r="390">
      <c r="E390" s="28"/>
    </row>
    <row r="391">
      <c r="E391" s="28"/>
    </row>
    <row r="392">
      <c r="E392" s="28"/>
    </row>
    <row r="393">
      <c r="E393" s="28"/>
    </row>
    <row r="394">
      <c r="E394" s="28"/>
    </row>
    <row r="395">
      <c r="E395" s="28"/>
    </row>
    <row r="396">
      <c r="E396" s="28"/>
    </row>
    <row r="397">
      <c r="E397" s="28"/>
    </row>
    <row r="398">
      <c r="E398" s="28"/>
    </row>
    <row r="399">
      <c r="E399" s="28"/>
    </row>
    <row r="400">
      <c r="E400" s="28"/>
    </row>
    <row r="401">
      <c r="E401" s="28"/>
    </row>
    <row r="402">
      <c r="E402" s="28"/>
    </row>
    <row r="403">
      <c r="E403" s="28"/>
    </row>
    <row r="404">
      <c r="E404" s="28"/>
    </row>
    <row r="405">
      <c r="E405" s="28"/>
    </row>
    <row r="406">
      <c r="E406" s="28"/>
    </row>
    <row r="407">
      <c r="E407" s="28"/>
    </row>
    <row r="408">
      <c r="E408" s="28"/>
    </row>
    <row r="409">
      <c r="E409" s="28"/>
    </row>
    <row r="410">
      <c r="E410" s="28"/>
    </row>
    <row r="411">
      <c r="E411" s="28"/>
    </row>
    <row r="412">
      <c r="E412" s="28"/>
    </row>
    <row r="413">
      <c r="E413" s="28"/>
    </row>
    <row r="414">
      <c r="E414" s="28"/>
    </row>
    <row r="415">
      <c r="E415" s="28"/>
    </row>
    <row r="416">
      <c r="E416" s="28"/>
    </row>
    <row r="417">
      <c r="E417" s="28"/>
    </row>
    <row r="418">
      <c r="E418" s="28"/>
    </row>
    <row r="419">
      <c r="E419" s="28"/>
    </row>
    <row r="420">
      <c r="E420" s="28"/>
    </row>
    <row r="421">
      <c r="E421" s="28"/>
    </row>
    <row r="422">
      <c r="E422" s="28"/>
    </row>
    <row r="423">
      <c r="E423" s="28"/>
    </row>
    <row r="424">
      <c r="E424" s="28"/>
    </row>
    <row r="425">
      <c r="E425" s="28"/>
    </row>
    <row r="426">
      <c r="E426" s="28"/>
    </row>
    <row r="427">
      <c r="E427" s="28"/>
    </row>
    <row r="428">
      <c r="E428" s="28"/>
    </row>
    <row r="429">
      <c r="E429" s="28"/>
    </row>
    <row r="430">
      <c r="E430" s="28"/>
    </row>
    <row r="431">
      <c r="E431" s="28"/>
    </row>
    <row r="432">
      <c r="E432" s="28"/>
    </row>
    <row r="433">
      <c r="E433" s="28"/>
    </row>
    <row r="434">
      <c r="E434" s="28"/>
    </row>
    <row r="435">
      <c r="E435" s="28"/>
    </row>
    <row r="436">
      <c r="E436" s="28"/>
    </row>
    <row r="437">
      <c r="E437" s="28"/>
    </row>
    <row r="438">
      <c r="E438" s="28"/>
    </row>
    <row r="439">
      <c r="E439" s="28"/>
    </row>
    <row r="440">
      <c r="E440" s="28"/>
    </row>
    <row r="441">
      <c r="E441" s="28"/>
    </row>
    <row r="442">
      <c r="E442" s="28"/>
    </row>
    <row r="443">
      <c r="E443" s="28"/>
    </row>
    <row r="444">
      <c r="E444" s="28"/>
    </row>
    <row r="445">
      <c r="E445" s="28"/>
    </row>
    <row r="446">
      <c r="E446" s="28"/>
    </row>
    <row r="447">
      <c r="E447" s="28"/>
    </row>
    <row r="448">
      <c r="E448" s="28"/>
    </row>
    <row r="449">
      <c r="E449" s="28"/>
    </row>
    <row r="450">
      <c r="E450" s="28"/>
    </row>
    <row r="451">
      <c r="E451" s="28"/>
    </row>
    <row r="452">
      <c r="E452" s="28"/>
    </row>
    <row r="453">
      <c r="E453" s="28"/>
    </row>
    <row r="454">
      <c r="E454" s="28"/>
    </row>
    <row r="455">
      <c r="E455" s="28"/>
    </row>
    <row r="456">
      <c r="E456" s="28"/>
    </row>
    <row r="457">
      <c r="E457" s="28"/>
    </row>
    <row r="458">
      <c r="E458" s="28"/>
    </row>
    <row r="459">
      <c r="E459" s="28"/>
    </row>
    <row r="460">
      <c r="E460" s="28"/>
    </row>
    <row r="461">
      <c r="E461" s="28"/>
    </row>
    <row r="462">
      <c r="E462" s="28"/>
    </row>
    <row r="463">
      <c r="E463" s="28"/>
    </row>
    <row r="464">
      <c r="E464" s="28"/>
    </row>
    <row r="465">
      <c r="E465" s="28"/>
    </row>
    <row r="466">
      <c r="E466" s="28"/>
    </row>
    <row r="467">
      <c r="E467" s="28"/>
    </row>
    <row r="468">
      <c r="E468" s="28"/>
    </row>
    <row r="469">
      <c r="E469" s="28"/>
    </row>
    <row r="470">
      <c r="E470" s="28"/>
    </row>
    <row r="471">
      <c r="E471" s="28"/>
    </row>
    <row r="472">
      <c r="E472" s="28"/>
    </row>
    <row r="473">
      <c r="E473" s="28"/>
    </row>
    <row r="474">
      <c r="E474" s="28"/>
    </row>
    <row r="475">
      <c r="E475" s="28"/>
    </row>
    <row r="476">
      <c r="E476" s="28"/>
    </row>
    <row r="477">
      <c r="E477" s="28"/>
    </row>
    <row r="478">
      <c r="E478" s="28"/>
    </row>
    <row r="479">
      <c r="E479" s="28"/>
    </row>
    <row r="480">
      <c r="E480" s="28"/>
    </row>
    <row r="481">
      <c r="E481" s="28"/>
    </row>
    <row r="482">
      <c r="E482" s="28"/>
    </row>
    <row r="483">
      <c r="E483" s="28"/>
    </row>
    <row r="484">
      <c r="E484" s="28"/>
    </row>
    <row r="485">
      <c r="E485" s="28"/>
    </row>
    <row r="486">
      <c r="E486" s="28"/>
    </row>
    <row r="487">
      <c r="E487" s="28"/>
    </row>
    <row r="488">
      <c r="E488" s="28"/>
    </row>
    <row r="489">
      <c r="E489" s="28"/>
    </row>
    <row r="490">
      <c r="E490" s="28"/>
    </row>
    <row r="491">
      <c r="E491" s="28"/>
    </row>
    <row r="492">
      <c r="E492" s="28"/>
    </row>
    <row r="493">
      <c r="E493" s="28"/>
    </row>
    <row r="494">
      <c r="E494" s="28"/>
    </row>
    <row r="495">
      <c r="E495" s="28"/>
    </row>
    <row r="496">
      <c r="E496" s="28"/>
    </row>
    <row r="497">
      <c r="E497" s="28"/>
    </row>
    <row r="498">
      <c r="E498" s="28"/>
    </row>
    <row r="499">
      <c r="E499" s="28"/>
    </row>
    <row r="500">
      <c r="E500" s="28"/>
    </row>
    <row r="501">
      <c r="E501" s="28"/>
    </row>
    <row r="502">
      <c r="E502" s="28"/>
    </row>
    <row r="503">
      <c r="E503" s="28"/>
    </row>
    <row r="504">
      <c r="E504" s="28"/>
    </row>
    <row r="505">
      <c r="E505" s="28"/>
    </row>
    <row r="506">
      <c r="E506" s="28"/>
    </row>
    <row r="507">
      <c r="E507" s="28"/>
    </row>
    <row r="508">
      <c r="E508" s="28"/>
    </row>
    <row r="509">
      <c r="E509" s="28"/>
    </row>
    <row r="510">
      <c r="E510" s="28"/>
    </row>
    <row r="511">
      <c r="E511" s="28"/>
    </row>
    <row r="512">
      <c r="E512" s="28"/>
    </row>
    <row r="513">
      <c r="E513" s="28"/>
    </row>
    <row r="514">
      <c r="E514" s="28"/>
    </row>
    <row r="515">
      <c r="E515" s="28"/>
    </row>
    <row r="516">
      <c r="E516" s="28"/>
    </row>
    <row r="517">
      <c r="E517" s="28"/>
    </row>
    <row r="518">
      <c r="E518" s="28"/>
    </row>
    <row r="519">
      <c r="E519" s="28"/>
    </row>
    <row r="520">
      <c r="E520" s="28"/>
    </row>
    <row r="521">
      <c r="E521" s="28"/>
    </row>
    <row r="522">
      <c r="E522" s="28"/>
    </row>
    <row r="523">
      <c r="E523" s="28"/>
    </row>
    <row r="524">
      <c r="E524" s="28"/>
    </row>
    <row r="525">
      <c r="E525" s="28"/>
    </row>
    <row r="526">
      <c r="E526" s="28"/>
    </row>
    <row r="527">
      <c r="E527" s="28"/>
    </row>
    <row r="528">
      <c r="E528" s="28"/>
    </row>
    <row r="529">
      <c r="E529" s="28"/>
    </row>
    <row r="530">
      <c r="E530" s="28"/>
    </row>
    <row r="531">
      <c r="E531" s="28"/>
    </row>
    <row r="532">
      <c r="E532" s="28"/>
    </row>
    <row r="533">
      <c r="E533" s="28"/>
    </row>
    <row r="534">
      <c r="E534" s="28"/>
    </row>
    <row r="535">
      <c r="E535" s="28"/>
    </row>
    <row r="536">
      <c r="E536" s="28"/>
    </row>
    <row r="537">
      <c r="E537" s="28"/>
    </row>
    <row r="538">
      <c r="E538" s="28"/>
    </row>
    <row r="539">
      <c r="E539" s="28"/>
    </row>
    <row r="540">
      <c r="E540" s="28"/>
    </row>
    <row r="541">
      <c r="E541" s="28"/>
    </row>
    <row r="542">
      <c r="E542" s="28"/>
    </row>
    <row r="543">
      <c r="E543" s="28"/>
    </row>
    <row r="544">
      <c r="E544" s="28"/>
    </row>
    <row r="545">
      <c r="E545" s="28"/>
    </row>
    <row r="546">
      <c r="E546" s="28"/>
    </row>
    <row r="547">
      <c r="E547" s="28"/>
    </row>
    <row r="548">
      <c r="E548" s="28"/>
    </row>
    <row r="549">
      <c r="E549" s="28"/>
    </row>
    <row r="550">
      <c r="E550" s="28"/>
    </row>
    <row r="551">
      <c r="E551" s="28"/>
    </row>
    <row r="552">
      <c r="E552" s="28"/>
    </row>
    <row r="553">
      <c r="E553" s="28"/>
    </row>
    <row r="554">
      <c r="E554" s="28"/>
    </row>
    <row r="555">
      <c r="E555" s="28"/>
    </row>
    <row r="556">
      <c r="E556" s="28"/>
    </row>
    <row r="557">
      <c r="E557" s="28"/>
    </row>
    <row r="558">
      <c r="E558" s="28"/>
    </row>
    <row r="559">
      <c r="E559" s="28"/>
    </row>
    <row r="560">
      <c r="E560" s="28"/>
    </row>
    <row r="561">
      <c r="E561" s="28"/>
    </row>
    <row r="562">
      <c r="E562" s="28"/>
    </row>
    <row r="563">
      <c r="E563" s="28"/>
    </row>
    <row r="564">
      <c r="E564" s="28"/>
    </row>
    <row r="565">
      <c r="E565" s="28"/>
    </row>
    <row r="566">
      <c r="E566" s="28"/>
    </row>
    <row r="567">
      <c r="E567" s="28"/>
    </row>
    <row r="568">
      <c r="E568" s="28"/>
    </row>
    <row r="569">
      <c r="E569" s="28"/>
    </row>
    <row r="570">
      <c r="E570" s="28"/>
    </row>
    <row r="571">
      <c r="E571" s="28"/>
    </row>
    <row r="572">
      <c r="E572" s="28"/>
    </row>
    <row r="573">
      <c r="E573" s="28"/>
    </row>
    <row r="574">
      <c r="E574" s="28"/>
    </row>
    <row r="575">
      <c r="E575" s="28"/>
    </row>
    <row r="576">
      <c r="E576" s="28"/>
    </row>
    <row r="577">
      <c r="E577" s="28"/>
    </row>
    <row r="578">
      <c r="E578" s="28"/>
    </row>
    <row r="579">
      <c r="E579" s="28"/>
    </row>
    <row r="580">
      <c r="E580" s="28"/>
    </row>
    <row r="581">
      <c r="E581" s="28"/>
    </row>
    <row r="582">
      <c r="E582" s="28"/>
    </row>
    <row r="583">
      <c r="E583" s="28"/>
    </row>
    <row r="584">
      <c r="E584" s="28"/>
    </row>
    <row r="585">
      <c r="E585" s="28"/>
    </row>
    <row r="586">
      <c r="E586" s="28"/>
    </row>
    <row r="587">
      <c r="E587" s="28"/>
    </row>
    <row r="588">
      <c r="E588" s="28"/>
    </row>
    <row r="589">
      <c r="E589" s="28"/>
    </row>
    <row r="590">
      <c r="E590" s="28"/>
    </row>
    <row r="591">
      <c r="E591" s="28"/>
    </row>
    <row r="592">
      <c r="E592" s="28"/>
    </row>
    <row r="593">
      <c r="E593" s="28"/>
    </row>
    <row r="594">
      <c r="E594" s="28"/>
    </row>
    <row r="595">
      <c r="E595" s="28"/>
    </row>
    <row r="596">
      <c r="E596" s="28"/>
    </row>
    <row r="597">
      <c r="E597" s="28"/>
    </row>
    <row r="598">
      <c r="E598" s="28"/>
    </row>
    <row r="599">
      <c r="E599" s="28"/>
    </row>
    <row r="600">
      <c r="E600" s="28"/>
    </row>
    <row r="601">
      <c r="E601" s="28"/>
    </row>
    <row r="602">
      <c r="E602" s="28"/>
    </row>
    <row r="603">
      <c r="E603" s="28"/>
    </row>
    <row r="604">
      <c r="E604" s="28"/>
    </row>
    <row r="605">
      <c r="E605" s="28"/>
    </row>
    <row r="606">
      <c r="E606" s="28"/>
    </row>
    <row r="607">
      <c r="E607" s="28"/>
    </row>
    <row r="608">
      <c r="E608" s="28"/>
    </row>
    <row r="609">
      <c r="E609" s="28"/>
    </row>
    <row r="610">
      <c r="E610" s="28"/>
    </row>
    <row r="611">
      <c r="E611" s="28"/>
    </row>
    <row r="612">
      <c r="E612" s="28"/>
    </row>
    <row r="613">
      <c r="E613" s="28"/>
    </row>
    <row r="614">
      <c r="E614" s="28"/>
    </row>
    <row r="615">
      <c r="E615" s="28"/>
    </row>
    <row r="616">
      <c r="E616" s="28"/>
    </row>
    <row r="617">
      <c r="E617" s="28"/>
    </row>
    <row r="618">
      <c r="E618" s="28"/>
    </row>
    <row r="619">
      <c r="E619" s="28"/>
    </row>
    <row r="620">
      <c r="E620" s="28"/>
    </row>
    <row r="621">
      <c r="E621" s="28"/>
    </row>
    <row r="622">
      <c r="E622" s="28"/>
    </row>
    <row r="623">
      <c r="E623" s="28"/>
    </row>
    <row r="624">
      <c r="E624" s="28"/>
    </row>
    <row r="625">
      <c r="E625" s="28"/>
    </row>
    <row r="626">
      <c r="E626" s="28"/>
    </row>
    <row r="627">
      <c r="E627" s="28"/>
    </row>
    <row r="628">
      <c r="E628" s="28"/>
    </row>
    <row r="629">
      <c r="E629" s="28"/>
    </row>
    <row r="630">
      <c r="E630" s="28"/>
    </row>
    <row r="631">
      <c r="E631" s="28"/>
    </row>
    <row r="632">
      <c r="E632" s="28"/>
    </row>
    <row r="633">
      <c r="E633" s="28"/>
    </row>
    <row r="634">
      <c r="E634" s="28"/>
    </row>
    <row r="635">
      <c r="E635" s="28"/>
    </row>
    <row r="636">
      <c r="E636" s="28"/>
    </row>
    <row r="637">
      <c r="E637" s="28"/>
    </row>
    <row r="638">
      <c r="E638" s="28"/>
    </row>
    <row r="639">
      <c r="E639" s="28"/>
    </row>
    <row r="640">
      <c r="E640" s="28"/>
    </row>
    <row r="641">
      <c r="E641" s="28"/>
    </row>
    <row r="642">
      <c r="E642" s="28"/>
    </row>
    <row r="643">
      <c r="E643" s="28"/>
    </row>
    <row r="644">
      <c r="E644" s="28"/>
    </row>
    <row r="645">
      <c r="E645" s="28"/>
    </row>
    <row r="646">
      <c r="E646" s="28"/>
    </row>
    <row r="647">
      <c r="E647" s="28"/>
    </row>
    <row r="648">
      <c r="E648" s="28"/>
    </row>
    <row r="649">
      <c r="E649" s="28"/>
    </row>
    <row r="650">
      <c r="E650" s="28"/>
    </row>
    <row r="651">
      <c r="E651" s="28"/>
    </row>
    <row r="652">
      <c r="E652" s="28"/>
    </row>
    <row r="653">
      <c r="E653" s="28"/>
    </row>
    <row r="654">
      <c r="E654" s="28"/>
    </row>
    <row r="655">
      <c r="E655" s="28"/>
    </row>
    <row r="656">
      <c r="E656" s="28"/>
    </row>
    <row r="657">
      <c r="E657" s="28"/>
    </row>
    <row r="658">
      <c r="E658" s="28"/>
    </row>
    <row r="659">
      <c r="E659" s="28"/>
    </row>
    <row r="660">
      <c r="E660" s="28"/>
    </row>
    <row r="661">
      <c r="E661" s="28"/>
    </row>
    <row r="662">
      <c r="E662" s="28"/>
    </row>
    <row r="663">
      <c r="E663" s="28"/>
    </row>
    <row r="664">
      <c r="E664" s="28"/>
    </row>
    <row r="665">
      <c r="E665" s="28"/>
    </row>
    <row r="666">
      <c r="E666" s="28"/>
    </row>
    <row r="667">
      <c r="E667" s="28"/>
    </row>
    <row r="668">
      <c r="E668" s="28"/>
    </row>
    <row r="669">
      <c r="E669" s="28"/>
    </row>
    <row r="670">
      <c r="E670" s="28"/>
    </row>
    <row r="671">
      <c r="E671" s="28"/>
    </row>
    <row r="672">
      <c r="E672" s="28"/>
    </row>
    <row r="673">
      <c r="E673" s="28"/>
    </row>
    <row r="674">
      <c r="E674" s="28"/>
    </row>
    <row r="675">
      <c r="E675" s="28"/>
    </row>
    <row r="676">
      <c r="E676" s="28"/>
    </row>
    <row r="677">
      <c r="E677" s="28"/>
    </row>
    <row r="678">
      <c r="E678" s="28"/>
    </row>
    <row r="679">
      <c r="E679" s="28"/>
    </row>
    <row r="680">
      <c r="E680" s="28"/>
    </row>
    <row r="681">
      <c r="E681" s="28"/>
    </row>
    <row r="682">
      <c r="E682" s="28"/>
    </row>
    <row r="683">
      <c r="E683" s="28"/>
    </row>
    <row r="684">
      <c r="E684" s="28"/>
    </row>
    <row r="685">
      <c r="E685" s="28"/>
    </row>
    <row r="686">
      <c r="E686" s="28"/>
    </row>
    <row r="687">
      <c r="E687" s="28"/>
    </row>
    <row r="688">
      <c r="E688" s="28"/>
    </row>
    <row r="689">
      <c r="E689" s="28"/>
    </row>
    <row r="690">
      <c r="E690" s="28"/>
    </row>
    <row r="691">
      <c r="E691" s="28"/>
    </row>
    <row r="692">
      <c r="E692" s="28"/>
    </row>
    <row r="693">
      <c r="E693" s="28"/>
    </row>
    <row r="694">
      <c r="E694" s="28"/>
    </row>
    <row r="695">
      <c r="E695" s="28"/>
    </row>
    <row r="696">
      <c r="E696" s="28"/>
    </row>
    <row r="697">
      <c r="E697" s="28"/>
    </row>
    <row r="698">
      <c r="E698" s="28"/>
    </row>
    <row r="699">
      <c r="E699" s="28"/>
    </row>
    <row r="700">
      <c r="E700" s="28"/>
    </row>
    <row r="701">
      <c r="E701" s="28"/>
    </row>
    <row r="702">
      <c r="E702" s="28"/>
    </row>
    <row r="703">
      <c r="E703" s="28"/>
    </row>
    <row r="704">
      <c r="E704" s="28"/>
    </row>
    <row r="705">
      <c r="E705" s="28"/>
    </row>
    <row r="706">
      <c r="E706" s="28"/>
    </row>
    <row r="707">
      <c r="E707" s="28"/>
    </row>
    <row r="708">
      <c r="E708" s="28"/>
    </row>
    <row r="709">
      <c r="E709" s="28"/>
    </row>
    <row r="710">
      <c r="E710" s="28"/>
    </row>
    <row r="711">
      <c r="E711" s="28"/>
    </row>
    <row r="712">
      <c r="E712" s="28"/>
    </row>
    <row r="713">
      <c r="E713" s="28"/>
    </row>
    <row r="714">
      <c r="E714" s="28"/>
    </row>
    <row r="715">
      <c r="E715" s="28"/>
    </row>
    <row r="716">
      <c r="E716" s="28"/>
    </row>
    <row r="717">
      <c r="E717" s="28"/>
    </row>
    <row r="718">
      <c r="E718" s="28"/>
    </row>
    <row r="719">
      <c r="E719" s="28"/>
    </row>
    <row r="720">
      <c r="E720" s="28"/>
    </row>
    <row r="721">
      <c r="E721" s="28"/>
    </row>
    <row r="722">
      <c r="E722" s="28"/>
    </row>
    <row r="723">
      <c r="E723" s="28"/>
    </row>
    <row r="724">
      <c r="E724" s="28"/>
    </row>
    <row r="725">
      <c r="E725" s="28"/>
    </row>
    <row r="726">
      <c r="E726" s="28"/>
    </row>
    <row r="727">
      <c r="E727" s="28"/>
    </row>
    <row r="728">
      <c r="E728" s="28"/>
    </row>
    <row r="729">
      <c r="E729" s="28"/>
    </row>
    <row r="730">
      <c r="E730" s="28"/>
    </row>
    <row r="731">
      <c r="E731" s="28"/>
    </row>
    <row r="732">
      <c r="E732" s="28"/>
    </row>
    <row r="733">
      <c r="E733" s="28"/>
    </row>
    <row r="734">
      <c r="E734" s="28"/>
    </row>
    <row r="735">
      <c r="E735" s="28"/>
    </row>
    <row r="736">
      <c r="E736" s="28"/>
    </row>
    <row r="737">
      <c r="E737" s="28"/>
    </row>
    <row r="738">
      <c r="E738" s="28"/>
    </row>
    <row r="739">
      <c r="E739" s="28"/>
    </row>
    <row r="740">
      <c r="E740" s="28"/>
    </row>
    <row r="741">
      <c r="E741" s="28"/>
    </row>
    <row r="742">
      <c r="E742" s="28"/>
    </row>
    <row r="743">
      <c r="E743" s="28"/>
    </row>
    <row r="744">
      <c r="E744" s="28"/>
    </row>
    <row r="745">
      <c r="E745" s="28"/>
    </row>
    <row r="746">
      <c r="E746" s="28"/>
    </row>
    <row r="747">
      <c r="E747" s="28"/>
    </row>
    <row r="748">
      <c r="E748" s="28"/>
    </row>
    <row r="749">
      <c r="E749" s="28"/>
    </row>
    <row r="750">
      <c r="E750" s="28"/>
    </row>
    <row r="751">
      <c r="E751" s="28"/>
    </row>
    <row r="752">
      <c r="E752" s="28"/>
    </row>
    <row r="753">
      <c r="E753" s="28"/>
    </row>
    <row r="754">
      <c r="E754" s="28"/>
    </row>
    <row r="755">
      <c r="E755" s="28"/>
    </row>
    <row r="756">
      <c r="E756" s="28"/>
    </row>
    <row r="757">
      <c r="E757" s="28"/>
    </row>
    <row r="758">
      <c r="E758" s="28"/>
    </row>
    <row r="759">
      <c r="E759" s="28"/>
    </row>
    <row r="760">
      <c r="E760" s="28"/>
    </row>
    <row r="761">
      <c r="E761" s="28"/>
    </row>
    <row r="762">
      <c r="E762" s="28"/>
    </row>
    <row r="763">
      <c r="E763" s="28"/>
    </row>
    <row r="764">
      <c r="E764" s="28"/>
    </row>
    <row r="765">
      <c r="E765" s="28"/>
    </row>
    <row r="766">
      <c r="E766" s="28"/>
    </row>
    <row r="767">
      <c r="E767" s="28"/>
    </row>
    <row r="768">
      <c r="E768" s="28"/>
    </row>
    <row r="769">
      <c r="E769" s="28"/>
    </row>
    <row r="770">
      <c r="E770" s="28"/>
    </row>
    <row r="771">
      <c r="E771" s="28"/>
    </row>
    <row r="772">
      <c r="E772" s="28"/>
    </row>
    <row r="773">
      <c r="E773" s="28"/>
    </row>
    <row r="774">
      <c r="E774" s="28"/>
    </row>
    <row r="775">
      <c r="E775" s="28"/>
    </row>
    <row r="776">
      <c r="E776" s="28"/>
    </row>
    <row r="777">
      <c r="E777" s="28"/>
    </row>
    <row r="778">
      <c r="E778" s="28"/>
    </row>
    <row r="779">
      <c r="E779" s="28"/>
    </row>
    <row r="780">
      <c r="E780" s="28"/>
    </row>
    <row r="781">
      <c r="E781" s="28"/>
    </row>
    <row r="782">
      <c r="E782" s="28"/>
    </row>
    <row r="783">
      <c r="E783" s="28"/>
    </row>
    <row r="784">
      <c r="E784" s="28"/>
    </row>
    <row r="785">
      <c r="E785" s="28"/>
    </row>
    <row r="786">
      <c r="E786" s="28"/>
    </row>
    <row r="787">
      <c r="E787" s="28"/>
    </row>
    <row r="788">
      <c r="E788" s="28"/>
    </row>
    <row r="789">
      <c r="E789" s="28"/>
    </row>
    <row r="790">
      <c r="E790" s="28"/>
    </row>
    <row r="791">
      <c r="E791" s="28"/>
    </row>
    <row r="792">
      <c r="E792" s="28"/>
    </row>
    <row r="793">
      <c r="E793" s="28"/>
    </row>
    <row r="794">
      <c r="E794" s="28"/>
    </row>
    <row r="795">
      <c r="E795" s="28"/>
    </row>
    <row r="796">
      <c r="E796" s="28"/>
    </row>
    <row r="797">
      <c r="E797" s="28"/>
    </row>
    <row r="798">
      <c r="E798" s="28"/>
    </row>
    <row r="799">
      <c r="E799" s="28"/>
    </row>
    <row r="800">
      <c r="E800" s="28"/>
    </row>
    <row r="801">
      <c r="E801" s="28"/>
    </row>
    <row r="802">
      <c r="E802" s="28"/>
    </row>
    <row r="803">
      <c r="E803" s="28"/>
    </row>
    <row r="804">
      <c r="E804" s="28"/>
    </row>
    <row r="805">
      <c r="E805" s="28"/>
    </row>
    <row r="806">
      <c r="E806" s="28"/>
    </row>
    <row r="807">
      <c r="E807" s="28"/>
    </row>
    <row r="808">
      <c r="E808" s="28"/>
    </row>
    <row r="809">
      <c r="E809" s="28"/>
    </row>
    <row r="810">
      <c r="E810" s="28"/>
    </row>
    <row r="811">
      <c r="E811" s="28"/>
    </row>
    <row r="812">
      <c r="E812" s="28"/>
    </row>
    <row r="813">
      <c r="E813" s="28"/>
    </row>
    <row r="814">
      <c r="E814" s="28"/>
    </row>
    <row r="815">
      <c r="E815" s="28"/>
    </row>
    <row r="816">
      <c r="E816" s="28"/>
    </row>
    <row r="817">
      <c r="E817" s="28"/>
    </row>
    <row r="818">
      <c r="E818" s="28"/>
    </row>
    <row r="819">
      <c r="E819" s="28"/>
    </row>
    <row r="820">
      <c r="E820" s="28"/>
    </row>
    <row r="821">
      <c r="E821" s="28"/>
    </row>
    <row r="822">
      <c r="E822" s="28"/>
    </row>
    <row r="823">
      <c r="E823" s="28"/>
    </row>
    <row r="824">
      <c r="E824" s="28"/>
    </row>
    <row r="825">
      <c r="E825" s="28"/>
    </row>
    <row r="826">
      <c r="E826" s="28"/>
    </row>
    <row r="827">
      <c r="E827" s="28"/>
    </row>
    <row r="828">
      <c r="E828" s="28"/>
    </row>
    <row r="829">
      <c r="E829" s="28"/>
    </row>
    <row r="830">
      <c r="E830" s="28"/>
    </row>
    <row r="831">
      <c r="E831" s="28"/>
    </row>
    <row r="832">
      <c r="E832" s="28"/>
    </row>
    <row r="833">
      <c r="E833" s="28"/>
    </row>
    <row r="834">
      <c r="E834" s="28"/>
    </row>
    <row r="835">
      <c r="E835" s="28"/>
    </row>
    <row r="836">
      <c r="E836" s="28"/>
    </row>
    <row r="837">
      <c r="E837" s="28"/>
    </row>
    <row r="838">
      <c r="E838" s="28"/>
    </row>
    <row r="839">
      <c r="E839" s="28"/>
    </row>
    <row r="840">
      <c r="E840" s="28"/>
    </row>
    <row r="841">
      <c r="E841" s="28"/>
    </row>
    <row r="842">
      <c r="E842" s="28"/>
    </row>
    <row r="843">
      <c r="E843" s="28"/>
    </row>
    <row r="844">
      <c r="E844" s="28"/>
    </row>
    <row r="845">
      <c r="E845" s="28"/>
    </row>
    <row r="846">
      <c r="E846" s="28"/>
    </row>
    <row r="847">
      <c r="E847" s="28"/>
    </row>
    <row r="848">
      <c r="E848" s="28"/>
    </row>
    <row r="849">
      <c r="E849" s="28"/>
    </row>
    <row r="850">
      <c r="E850" s="28"/>
    </row>
    <row r="851">
      <c r="E851" s="28"/>
    </row>
    <row r="852">
      <c r="E852" s="28"/>
    </row>
    <row r="853">
      <c r="E853" s="28"/>
    </row>
    <row r="854">
      <c r="E854" s="28"/>
    </row>
    <row r="855">
      <c r="E855" s="28"/>
    </row>
    <row r="856">
      <c r="E856" s="28"/>
    </row>
    <row r="857">
      <c r="E857" s="28"/>
    </row>
    <row r="858">
      <c r="E858" s="28"/>
    </row>
    <row r="859">
      <c r="E859" s="28"/>
    </row>
    <row r="860">
      <c r="E860" s="28"/>
    </row>
    <row r="861">
      <c r="E861" s="28"/>
    </row>
    <row r="862">
      <c r="E862" s="28"/>
    </row>
    <row r="863">
      <c r="E863" s="28"/>
    </row>
    <row r="864">
      <c r="E864" s="28"/>
    </row>
    <row r="865">
      <c r="E865" s="28"/>
    </row>
    <row r="866">
      <c r="E866" s="28"/>
    </row>
    <row r="867">
      <c r="E867" s="28"/>
    </row>
    <row r="868">
      <c r="E868" s="28"/>
    </row>
    <row r="869">
      <c r="E869" s="28"/>
    </row>
    <row r="870">
      <c r="E870" s="28"/>
    </row>
    <row r="871">
      <c r="E871" s="28"/>
    </row>
    <row r="872">
      <c r="E872" s="28"/>
    </row>
    <row r="873">
      <c r="E873" s="28"/>
    </row>
    <row r="874">
      <c r="E874" s="28"/>
    </row>
    <row r="875">
      <c r="E875" s="28"/>
    </row>
    <row r="876">
      <c r="E876" s="28"/>
    </row>
    <row r="877">
      <c r="E877" s="28"/>
    </row>
    <row r="878">
      <c r="E878" s="28"/>
    </row>
    <row r="879">
      <c r="E879" s="28"/>
    </row>
    <row r="880">
      <c r="E880" s="28"/>
    </row>
    <row r="881">
      <c r="E881" s="28"/>
    </row>
    <row r="882">
      <c r="E882" s="28"/>
    </row>
    <row r="883">
      <c r="E883" s="28"/>
    </row>
    <row r="884">
      <c r="E884" s="28"/>
    </row>
    <row r="885">
      <c r="E885" s="28"/>
    </row>
    <row r="886">
      <c r="E886" s="28"/>
    </row>
    <row r="887">
      <c r="E887" s="28"/>
    </row>
    <row r="888">
      <c r="E888" s="28"/>
    </row>
    <row r="889">
      <c r="E889" s="28"/>
    </row>
    <row r="890">
      <c r="E890" s="28"/>
    </row>
    <row r="891">
      <c r="E891" s="28"/>
    </row>
    <row r="892">
      <c r="E892" s="28"/>
    </row>
    <row r="893">
      <c r="E893" s="28"/>
    </row>
    <row r="894">
      <c r="E894" s="28"/>
    </row>
    <row r="895">
      <c r="E895" s="28"/>
    </row>
    <row r="896">
      <c r="E896" s="28"/>
    </row>
    <row r="897">
      <c r="E897" s="28"/>
    </row>
    <row r="898">
      <c r="E898" s="28"/>
    </row>
    <row r="899">
      <c r="E899" s="28"/>
    </row>
    <row r="900">
      <c r="E900" s="28"/>
    </row>
    <row r="901">
      <c r="E901" s="28"/>
    </row>
    <row r="902">
      <c r="E902" s="28"/>
    </row>
    <row r="903">
      <c r="E903" s="28"/>
    </row>
    <row r="904">
      <c r="E904" s="28"/>
    </row>
    <row r="905">
      <c r="E905" s="28"/>
    </row>
    <row r="906">
      <c r="E906" s="28"/>
    </row>
    <row r="907">
      <c r="E907" s="28"/>
    </row>
    <row r="908">
      <c r="E908" s="28"/>
    </row>
    <row r="909">
      <c r="E909" s="28"/>
    </row>
    <row r="910">
      <c r="E910" s="28"/>
    </row>
    <row r="911">
      <c r="E911" s="28"/>
    </row>
    <row r="912">
      <c r="E912" s="28"/>
    </row>
    <row r="913">
      <c r="E913" s="28"/>
    </row>
    <row r="914">
      <c r="E914" s="28"/>
    </row>
    <row r="915">
      <c r="E915" s="28"/>
    </row>
    <row r="916">
      <c r="E916" s="28"/>
    </row>
    <row r="917">
      <c r="E917" s="28"/>
    </row>
    <row r="918">
      <c r="E918" s="28"/>
    </row>
    <row r="919">
      <c r="E919" s="28"/>
    </row>
    <row r="920">
      <c r="E920" s="28"/>
    </row>
    <row r="921">
      <c r="E921" s="28"/>
    </row>
    <row r="922">
      <c r="E922" s="28"/>
    </row>
    <row r="923">
      <c r="E923" s="28"/>
    </row>
    <row r="924">
      <c r="E924" s="28"/>
    </row>
    <row r="925">
      <c r="E925" s="28"/>
    </row>
    <row r="926">
      <c r="E926" s="28"/>
    </row>
    <row r="927">
      <c r="E927" s="28"/>
    </row>
    <row r="928">
      <c r="E928" s="28"/>
    </row>
    <row r="929">
      <c r="E929" s="28"/>
    </row>
    <row r="930">
      <c r="E930" s="28"/>
    </row>
    <row r="931">
      <c r="E931" s="28"/>
    </row>
    <row r="932">
      <c r="E932" s="28"/>
    </row>
    <row r="933">
      <c r="E933" s="28"/>
    </row>
    <row r="934">
      <c r="E934" s="28"/>
    </row>
    <row r="935">
      <c r="E935" s="28"/>
    </row>
    <row r="936">
      <c r="E936" s="28"/>
    </row>
    <row r="937">
      <c r="E937" s="28"/>
    </row>
    <row r="938">
      <c r="E938" s="28"/>
    </row>
    <row r="939">
      <c r="E939" s="28"/>
    </row>
    <row r="940">
      <c r="E940" s="28"/>
    </row>
    <row r="941">
      <c r="E941" s="28"/>
    </row>
    <row r="942">
      <c r="E942" s="28"/>
    </row>
    <row r="943">
      <c r="E943" s="28"/>
    </row>
    <row r="944">
      <c r="E944" s="28"/>
    </row>
    <row r="945">
      <c r="E945" s="28"/>
    </row>
    <row r="946">
      <c r="E946" s="28"/>
    </row>
    <row r="947">
      <c r="E947" s="28"/>
    </row>
    <row r="948">
      <c r="E948" s="28"/>
    </row>
    <row r="949">
      <c r="E949" s="28"/>
    </row>
    <row r="950">
      <c r="E950" s="28"/>
    </row>
    <row r="951">
      <c r="E951" s="28"/>
    </row>
    <row r="952">
      <c r="E952" s="28"/>
    </row>
    <row r="953">
      <c r="E953" s="28"/>
    </row>
    <row r="954">
      <c r="E954" s="28"/>
    </row>
    <row r="955">
      <c r="E955" s="28"/>
    </row>
    <row r="956">
      <c r="E956" s="28"/>
    </row>
    <row r="957">
      <c r="E957" s="28"/>
    </row>
    <row r="958">
      <c r="E958" s="28"/>
    </row>
    <row r="959">
      <c r="E959" s="28"/>
    </row>
    <row r="960">
      <c r="E960" s="28"/>
    </row>
    <row r="961">
      <c r="E961" s="28"/>
    </row>
    <row r="962">
      <c r="E962" s="28"/>
    </row>
    <row r="963">
      <c r="E963" s="28"/>
    </row>
    <row r="964">
      <c r="E964" s="28"/>
    </row>
    <row r="965">
      <c r="E965" s="28"/>
    </row>
    <row r="966">
      <c r="E966" s="28"/>
    </row>
    <row r="967">
      <c r="E967" s="28"/>
    </row>
    <row r="968">
      <c r="E968" s="28"/>
    </row>
    <row r="969">
      <c r="E969" s="28"/>
    </row>
  </sheetData>
  <drawing r:id="rId1"/>
</worksheet>
</file>