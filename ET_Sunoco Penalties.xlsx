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tdonaghy/Documents/SLAPP lawsuit/Bad Neighbor report/OtC files/"/>
    </mc:Choice>
  </mc:AlternateContent>
  <xr:revisionPtr revIDLastSave="0" documentId="13_ncr:1_{7E109AE1-07C6-C742-9DF6-76823D968203}" xr6:coauthVersionLast="47" xr6:coauthVersionMax="47" xr10:uidLastSave="{00000000-0000-0000-0000-000000000000}"/>
  <bookViews>
    <workbookView xWindow="0" yWindow="500" windowWidth="27680" windowHeight="17500" activeTab="1" xr2:uid="{00000000-000D-0000-FFFF-FFFF00000000}"/>
  </bookViews>
  <sheets>
    <sheet name="Summary" sheetId="1" r:id="rId1"/>
    <sheet name="Penalties" sheetId="2" r:id="rId2"/>
  </sheets>
  <definedNames>
    <definedName name="_xlnm._FilterDatabase" localSheetId="1" hidden="1">Penalties!$A$1:$L$135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B16" i="1"/>
  <c r="C15" i="1"/>
  <c r="B15" i="1"/>
  <c r="C14" i="1"/>
  <c r="B14" i="1"/>
  <c r="C13" i="1"/>
  <c r="B13" i="1"/>
  <c r="B12" i="1"/>
  <c r="B11" i="1"/>
  <c r="B10" i="1"/>
  <c r="C9" i="1"/>
  <c r="B9" i="1"/>
  <c r="B8" i="1"/>
  <c r="C7" i="1"/>
  <c r="B7" i="1"/>
  <c r="C6" i="1"/>
  <c r="B6" i="1"/>
  <c r="C4" i="1"/>
  <c r="B4" i="1"/>
</calcChain>
</file>

<file path=xl/sharedStrings.xml><?xml version="1.0" encoding="utf-8"?>
<sst xmlns="http://schemas.openxmlformats.org/spreadsheetml/2006/main" count="839" uniqueCount="231">
  <si>
    <t>Summary of Energy Transfer and Sunoco-related violations in this report.</t>
  </si>
  <si>
    <t>Penalties Assessed</t>
  </si>
  <si>
    <t>Other Enforcement Costs</t>
  </si>
  <si>
    <t xml:space="preserve">Total </t>
  </si>
  <si>
    <t>Total PHMSA</t>
  </si>
  <si>
    <t>Total Other Pipeline</t>
  </si>
  <si>
    <t>Pennsylvania Penalties</t>
  </si>
  <si>
    <t>Total Refinery &amp; Terminal</t>
  </si>
  <si>
    <t>Marcus Hook Refinery Penalties (2005-2012)</t>
  </si>
  <si>
    <t>Marcus Hook Terminal Penalties (2019-2024)</t>
  </si>
  <si>
    <t>PES Penalties (2015-2018)</t>
  </si>
  <si>
    <t>Total Workplace Safety</t>
  </si>
  <si>
    <t>Total MTBE Settlements</t>
  </si>
  <si>
    <t>Total Market Manipulation</t>
  </si>
  <si>
    <t>Total Other</t>
  </si>
  <si>
    <t>Notes:</t>
  </si>
  <si>
    <t>[a] Settlement specifies a total penalty of $35 million, but not how the total is split among the Shell and Sunoco defendants. Other adjustments documented in the Consent Order may also apply here.</t>
  </si>
  <si>
    <t>[b] Settlement specifies a total penalty of $15 million, but not how the total is split among the Shell, Sunoco, and CITGO defendants.</t>
  </si>
  <si>
    <t>[c] Plaintiffs reportedly included 153 public water systems in NY, CT, PA, VA, NJ, MA, FL, CA, NM, WI and, reportedly, 7 other states. Reportedly, 12 companies, including Sunoco, settled in the MDL case for a total of $423 million. Total penalty was reported, but not how it is split among the defendants.</t>
  </si>
  <si>
    <t>[d] The Agreed Order notes that $23,145 of the assessed penalty is "deferred contingent on the timely and satisfactory compliance with all the terms of this Order."</t>
  </si>
  <si>
    <t>[e] The Enforcement Matter summary notes that $28,927 of the assessed penalty is "Deferred for Expedited Settlement"</t>
  </si>
  <si>
    <t>[f] The Enforcement Matter summary notes that $30,805 of the assessed penalty is "Deferred for Expedited Settlement"</t>
  </si>
  <si>
    <t>[g] The Enforcement Matter summary notes that $31,790 of the assessed penalty is "Deferred for Expedited Settlement"</t>
  </si>
  <si>
    <t>[h] Documents obtained through public records request from Pennsylvania Dept of Environmental Protection and hosted on documentcloud.</t>
  </si>
  <si>
    <t>[i] Documents obtained through public records request to the City of Philadelphia and hosted on documentcloud.</t>
  </si>
  <si>
    <t>[j] EPA Fact Sheet links to the initial Consent Decree and the following amendments.</t>
  </si>
  <si>
    <t>[k] The original Memorandum of Agreement for penalties and costs in this case called for payments totally $9,881,322.33. However, in an Amendment filed in June 2017 both parties agreed to change yearly payments of $1.5M to a single payment of $1.5M, reducing the total costs. See footnote 198 in the Order to Show Cause. The Amendment is available through FERC's eLibrary (Docket No. CP15-93-000)</t>
  </si>
  <si>
    <t>[l] The incident at Barbers Hill was reported to PHMSA under report no. 20090268, but the incident at Cromswell Tank Farm was not.</t>
  </si>
  <si>
    <t>[m] The ECHO record for this violations mentions a $5,000 compliance cost, but we do not include that here as it was not explicitly mentioned in the EPA's Consent Agreement</t>
  </si>
  <si>
    <t>penalty_ID</t>
  </si>
  <si>
    <t>Entity</t>
  </si>
  <si>
    <t>Facility</t>
  </si>
  <si>
    <t>States</t>
  </si>
  <si>
    <t>Date of Penalty</t>
  </si>
  <si>
    <t>Penalty</t>
  </si>
  <si>
    <t>Other Costs</t>
  </si>
  <si>
    <t>Enforcing Agencies</t>
  </si>
  <si>
    <t>Source 1</t>
  </si>
  <si>
    <t>Source 2</t>
  </si>
  <si>
    <t>Notes</t>
  </si>
  <si>
    <t>Related PHMSA Report Number</t>
  </si>
  <si>
    <t>Sunoco Pipeline LP</t>
  </si>
  <si>
    <t>PHMSA</t>
  </si>
  <si>
    <t>Final Order</t>
  </si>
  <si>
    <t>Enforcement Action Details</t>
  </si>
  <si>
    <t>East Texas Pipeline</t>
  </si>
  <si>
    <t>TX</t>
  </si>
  <si>
    <t>Mid - Valley Pipeline Co</t>
  </si>
  <si>
    <t>Mid-Valley Pipeline</t>
  </si>
  <si>
    <t>KY, OH, MI</t>
  </si>
  <si>
    <t>Wolverine Pipeline Co</t>
  </si>
  <si>
    <t>MI</t>
  </si>
  <si>
    <t>PA</t>
  </si>
  <si>
    <t>20050373</t>
  </si>
  <si>
    <t>MI, OH</t>
  </si>
  <si>
    <t>20080376</t>
  </si>
  <si>
    <t>West Texas Gulf Pipeline Co</t>
  </si>
  <si>
    <t>West Texas Gulf Pipeline</t>
  </si>
  <si>
    <t>20090199</t>
  </si>
  <si>
    <t>Sunoco, Inc (R&amp;M)</t>
  </si>
  <si>
    <t>OH</t>
  </si>
  <si>
    <t>20110080</t>
  </si>
  <si>
    <t>Transwestern Pipeline Company LLC</t>
  </si>
  <si>
    <t>Transwestern Gas Pipeline</t>
  </si>
  <si>
    <t>Panhandle Eastern Pipeline Co</t>
  </si>
  <si>
    <t>Panhandle Eastern Gas Pipeline</t>
  </si>
  <si>
    <t>MO, IL</t>
  </si>
  <si>
    <t>Harbor Pipeline Co</t>
  </si>
  <si>
    <t>NJ</t>
  </si>
  <si>
    <t>20100241</t>
  </si>
  <si>
    <t>20150169</t>
  </si>
  <si>
    <t>20150099</t>
  </si>
  <si>
    <t>Energy Transfer Company</t>
  </si>
  <si>
    <t>NM</t>
  </si>
  <si>
    <t>Mariner East 2 Pipeline</t>
  </si>
  <si>
    <t>MA</t>
  </si>
  <si>
    <t>Permian Express Partners LLC</t>
  </si>
  <si>
    <t>Pegasus Pipeline</t>
  </si>
  <si>
    <t>20150454</t>
  </si>
  <si>
    <t>Permian Express II Pipeline</t>
  </si>
  <si>
    <t>Lone Star NGL Pipeline System</t>
  </si>
  <si>
    <t>Mariner East 1 Pipeline</t>
  </si>
  <si>
    <t>Rover Pipeline, LLC</t>
  </si>
  <si>
    <t>Rover Pipeline</t>
  </si>
  <si>
    <t>IL, IN, MI</t>
  </si>
  <si>
    <t>Rose Rock Midstream Operating, LLC</t>
  </si>
  <si>
    <t>Platteville Tank Farm</t>
  </si>
  <si>
    <t>CO</t>
  </si>
  <si>
    <t>DAPL-ETCO Operations Management, LLC</t>
  </si>
  <si>
    <t>Dakota Access Pipeline</t>
  </si>
  <si>
    <t>ND</t>
  </si>
  <si>
    <t>Consent Order</t>
  </si>
  <si>
    <t>Florida Gas Transmission Co</t>
  </si>
  <si>
    <t>Florida Gas Transmission Pipeline</t>
  </si>
  <si>
    <t>FL</t>
  </si>
  <si>
    <t>20190047, 20190126</t>
  </si>
  <si>
    <t>20200259</t>
  </si>
  <si>
    <t>Sea Robin Pipeline Co</t>
  </si>
  <si>
    <t>Sea Robin Gas Pipeline</t>
  </si>
  <si>
    <t>LA, Gulf of Mexico</t>
  </si>
  <si>
    <t>20200105</t>
  </si>
  <si>
    <t>ETC Northeast Pipeline</t>
  </si>
  <si>
    <t>Revolution Pipeline</t>
  </si>
  <si>
    <t>Pennsylvania DEP</t>
  </si>
  <si>
    <t>Form 10-K</t>
  </si>
  <si>
    <t>Press Release</t>
  </si>
  <si>
    <t>ETC Northeast Field Services</t>
  </si>
  <si>
    <t>B15 Well Connect Pipeline</t>
  </si>
  <si>
    <t>Pennsylvania PUC</t>
  </si>
  <si>
    <t>PUC Docket</t>
  </si>
  <si>
    <t>Sunoco Pipeline</t>
  </si>
  <si>
    <t>Consent Assessment</t>
  </si>
  <si>
    <t>Media</t>
  </si>
  <si>
    <t>Sunoco R&amp;M, Sun Oil Company</t>
  </si>
  <si>
    <t>North Ship Line</t>
  </si>
  <si>
    <t>U.S. EPA, DOJ, DOI</t>
  </si>
  <si>
    <t>ECHO</t>
  </si>
  <si>
    <t>Sunoco Pipeline, Mid Valley Pipeline</t>
  </si>
  <si>
    <t>KY</t>
  </si>
  <si>
    <t>U.S. EPA, DOJ, Kentucky</t>
  </si>
  <si>
    <t>Sunoco Inc. R&amp;M</t>
  </si>
  <si>
    <t>La Porte Plant</t>
  </si>
  <si>
    <t>Texas Commission on Environmental Quality</t>
  </si>
  <si>
    <t>Enforcement Matter</t>
  </si>
  <si>
    <t>[f]</t>
  </si>
  <si>
    <t>Sun Pipe Line, Mid Valley Pipeline</t>
  </si>
  <si>
    <t>LA</t>
  </si>
  <si>
    <t>U.S. EPA, DOJ</t>
  </si>
  <si>
    <t>Barbers Hill Station, Cromwell Tank Farm</t>
  </si>
  <si>
    <t>TX, OK</t>
  </si>
  <si>
    <t>[l]</t>
  </si>
  <si>
    <t>20090268</t>
  </si>
  <si>
    <t xml:space="preserve">Rover Pipeline </t>
  </si>
  <si>
    <t>Ohio SHPO</t>
  </si>
  <si>
    <t>Memorandum of Agreement</t>
  </si>
  <si>
    <t>MOU/Order of Show Cause</t>
  </si>
  <si>
    <t>[k]</t>
  </si>
  <si>
    <t>U.S. EPA, DOJ, PHMSA</t>
  </si>
  <si>
    <t>PHMSA report number 20080331</t>
  </si>
  <si>
    <t>20080331</t>
  </si>
  <si>
    <t>TX, LA, OK</t>
  </si>
  <si>
    <t>U.S. EPA, DOJ, LDEQ</t>
  </si>
  <si>
    <t>Hudson to Fostoria Pipeline</t>
  </si>
  <si>
    <t>U.S. EPA</t>
  </si>
  <si>
    <t>Lone Star NGL Fractionators</t>
  </si>
  <si>
    <t>Mont Belvieu Fractionators</t>
  </si>
  <si>
    <t>ETC Field Services</t>
  </si>
  <si>
    <t>Keystone Gas Plant</t>
  </si>
  <si>
    <t>ETC Texas Pipeline</t>
  </si>
  <si>
    <t>Jal #3 Natural Gas Plant</t>
  </si>
  <si>
    <t>New Mexico Environment Dept.</t>
  </si>
  <si>
    <t>Settlement Agreement</t>
  </si>
  <si>
    <t>Energy Transfer GC NGL Fractionators</t>
  </si>
  <si>
    <t>Dubach Cryogenic Plant</t>
  </si>
  <si>
    <t>Louisiana Department of Environmental Quality</t>
  </si>
  <si>
    <t>Consent Agreement</t>
  </si>
  <si>
    <t>Sunoco Inc.</t>
  </si>
  <si>
    <t>Four Refineries (Toledo, Tulsa, Marcus Hook, Philadelphia Refineries)</t>
  </si>
  <si>
    <t>PA, OH, OK</t>
  </si>
  <si>
    <t>EPA Fact Sheet, [c]</t>
  </si>
  <si>
    <t>[j]</t>
  </si>
  <si>
    <t>Marcus Hook Refinery</t>
  </si>
  <si>
    <t>Consent Order and Agreement</t>
  </si>
  <si>
    <t>[h]</t>
  </si>
  <si>
    <t>Sunoco Partners Marketing &amp; Terminal</t>
  </si>
  <si>
    <t>Marcus Hook - Claymont Facility</t>
  </si>
  <si>
    <t>DE</t>
  </si>
  <si>
    <t>Delaware DNREC</t>
  </si>
  <si>
    <t>Enforcement Record</t>
  </si>
  <si>
    <t>Assessment of Civil Penalty</t>
  </si>
  <si>
    <t>Consent Assessment of Civil Penalty</t>
  </si>
  <si>
    <t>Marcus Hook - Disposal Site</t>
  </si>
  <si>
    <t>Sunoco Partners Marketing &amp; Terminals</t>
  </si>
  <si>
    <t>Energy Transfer Marketing &amp; Terminals, Sunoco Partners Marketing &amp; Terminal</t>
  </si>
  <si>
    <t>Four Facilities (Darby Creek Tank Farm, Fort Mifflin, Twin Oaks Terminal, Marcus Hook Terminal)</t>
  </si>
  <si>
    <t>Energy Transfer Marketing &amp; Terminals</t>
  </si>
  <si>
    <t>Marcus Hook Terminal</t>
  </si>
  <si>
    <t>Technical Review Memo</t>
  </si>
  <si>
    <t>Sunoco LP</t>
  </si>
  <si>
    <t>PES Refinery</t>
  </si>
  <si>
    <t>Settlement Letter</t>
  </si>
  <si>
    <t>[i]</t>
  </si>
  <si>
    <t>Consent Assessment and Settlment Agreement</t>
  </si>
  <si>
    <t>Pennsylvania DEP, U.S. EPA</t>
  </si>
  <si>
    <t>Frankford Chemical Facility</t>
  </si>
  <si>
    <t>City of Philadelphia AMS</t>
  </si>
  <si>
    <t>Eagle Point Refinery</t>
  </si>
  <si>
    <t>New Jersey DEP</t>
  </si>
  <si>
    <t>U.S. EPA, DOJ, New Jersey</t>
  </si>
  <si>
    <t>Eagle Point Terminal</t>
  </si>
  <si>
    <t>Energy Transfer R&amp;M</t>
  </si>
  <si>
    <t>Toledo Refinery</t>
  </si>
  <si>
    <t>U.S. EPA/DOJ</t>
  </si>
  <si>
    <t>Tulsa Refinery</t>
  </si>
  <si>
    <t>OK</t>
  </si>
  <si>
    <t>Administrative Settlement</t>
  </si>
  <si>
    <t>Inkster Terminal</t>
  </si>
  <si>
    <t>Nederland Terminal</t>
  </si>
  <si>
    <t>Agreed Order</t>
  </si>
  <si>
    <t>[d]</t>
  </si>
  <si>
    <t>Birmingham Facility</t>
  </si>
  <si>
    <t>AL</t>
  </si>
  <si>
    <t>[m]</t>
  </si>
  <si>
    <t>Aloha Petroleum</t>
  </si>
  <si>
    <t>Kahului Terminal</t>
  </si>
  <si>
    <t>HI</t>
  </si>
  <si>
    <t>U.S. OSHA</t>
  </si>
  <si>
    <t>Inspection Detail</t>
  </si>
  <si>
    <t>(MTBE contamination)</t>
  </si>
  <si>
    <t>multiple</t>
  </si>
  <si>
    <t>share unknown</t>
  </si>
  <si>
    <t>U.S. Southern District of New York</t>
  </si>
  <si>
    <t>[c]</t>
  </si>
  <si>
    <t>NH</t>
  </si>
  <si>
    <t>New Hampshire Attorney General</t>
  </si>
  <si>
    <t>[a]</t>
  </si>
  <si>
    <t>Sunoco Inc., Sunoco Inc. R&amp;M</t>
  </si>
  <si>
    <t>New Jersey Attorney General</t>
  </si>
  <si>
    <t>VT</t>
  </si>
  <si>
    <t>Vermont Attorney General</t>
  </si>
  <si>
    <t>RI</t>
  </si>
  <si>
    <t>Rhode Island Attorney General</t>
  </si>
  <si>
    <t>[b]</t>
  </si>
  <si>
    <t>Energy Transfer Partners, 3 subsidiaries</t>
  </si>
  <si>
    <t>(market manipulation)</t>
  </si>
  <si>
    <t>Commodity Futures Trading Commission</t>
  </si>
  <si>
    <t>Energy Transfer Partners</t>
  </si>
  <si>
    <t>FERC</t>
  </si>
  <si>
    <t>(false claims)</t>
  </si>
  <si>
    <t>Massachusetts Attorney General</t>
  </si>
  <si>
    <t>(RFS violations)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</si>
</sst>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m/d/yyyy"/>
    <numFmt numFmtId="166" formatCode="&quot;$&quot;#,##0.00"/>
  </numFmts>
  <fonts count="17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i/>
      <sz val="10"/>
      <color theme="1"/>
      <name val="Arial"/>
      <scheme val="minor"/>
    </font>
    <font>
      <i/>
      <sz val="10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rgb="FF252525"/>
      <name val="Arial"/>
    </font>
    <font>
      <sz val="10"/>
      <color rgb="FF000000"/>
      <name val="Arial"/>
    </font>
    <font>
      <u/>
      <sz val="10"/>
      <color rgb="FF0000FF"/>
      <name val="Arial"/>
    </font>
  </fonts>
  <fills count="4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164" fontId="2" fillId="2" borderId="0" xfId="0" applyNumberFormat="1" applyFont="1" applyFill="1"/>
    <xf numFmtId="0" fontId="3" fillId="3" borderId="0" xfId="0" applyFont="1" applyFill="1" applyAlignment="1">
      <alignment horizontal="right"/>
    </xf>
    <xf numFmtId="164" fontId="3" fillId="3" borderId="0" xfId="0" applyNumberFormat="1" applyFont="1" applyFill="1"/>
    <xf numFmtId="0" fontId="2" fillId="3" borderId="0" xfId="0" applyFont="1" applyFill="1"/>
    <xf numFmtId="164" fontId="4" fillId="3" borderId="0" xfId="0" applyNumberFormat="1" applyFont="1" applyFill="1" applyAlignment="1">
      <alignment horizontal="right"/>
    </xf>
    <xf numFmtId="3" fontId="5" fillId="0" borderId="0" xfId="0" applyNumberFormat="1" applyFont="1" applyAlignment="1">
      <alignment horizontal="center" wrapText="1"/>
    </xf>
    <xf numFmtId="0" fontId="5" fillId="0" borderId="0" xfId="0" applyFont="1" applyAlignment="1">
      <alignment horizontal="left" wrapText="1"/>
    </xf>
    <xf numFmtId="165" fontId="5" fillId="0" borderId="0" xfId="0" applyNumberFormat="1" applyFont="1" applyAlignment="1">
      <alignment horizontal="left" wrapText="1"/>
    </xf>
    <xf numFmtId="164" fontId="5" fillId="0" borderId="0" xfId="0" applyNumberFormat="1" applyFont="1" applyAlignment="1">
      <alignment horizontal="left" wrapText="1"/>
    </xf>
    <xf numFmtId="0" fontId="5" fillId="0" borderId="0" xfId="0" applyFont="1" applyAlignment="1">
      <alignment horizontal="left"/>
    </xf>
    <xf numFmtId="49" fontId="5" fillId="0" borderId="0" xfId="0" applyNumberFormat="1" applyFont="1" applyAlignment="1">
      <alignment horizontal="left" wrapText="1"/>
    </xf>
    <xf numFmtId="0" fontId="6" fillId="0" borderId="0" xfId="0" applyFont="1" applyAlignment="1">
      <alignment horizontal="left"/>
    </xf>
    <xf numFmtId="165" fontId="6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right"/>
    </xf>
    <xf numFmtId="166" fontId="6" fillId="0" borderId="0" xfId="0" applyNumberFormat="1" applyFont="1"/>
    <xf numFmtId="166" fontId="7" fillId="0" borderId="0" xfId="0" applyNumberFormat="1" applyFont="1"/>
    <xf numFmtId="166" fontId="8" fillId="0" borderId="0" xfId="0" applyNumberFormat="1" applyFont="1" applyAlignment="1">
      <alignment horizontal="left"/>
    </xf>
    <xf numFmtId="166" fontId="6" fillId="0" borderId="0" xfId="0" applyNumberFormat="1" applyFont="1" applyAlignment="1">
      <alignment horizontal="left"/>
    </xf>
    <xf numFmtId="49" fontId="6" fillId="0" borderId="0" xfId="0" applyNumberFormat="1" applyFont="1" applyAlignment="1">
      <alignment horizontal="left"/>
    </xf>
    <xf numFmtId="3" fontId="6" fillId="0" borderId="0" xfId="0" applyNumberFormat="1" applyFont="1" applyAlignment="1">
      <alignment horizontal="right"/>
    </xf>
    <xf numFmtId="165" fontId="2" fillId="0" borderId="0" xfId="0" applyNumberFormat="1" applyFont="1"/>
    <xf numFmtId="0" fontId="9" fillId="0" borderId="0" xfId="0" applyFont="1"/>
    <xf numFmtId="0" fontId="10" fillId="0" borderId="0" xfId="0" applyFont="1" applyAlignment="1">
      <alignment horizontal="left"/>
    </xf>
    <xf numFmtId="164" fontId="11" fillId="0" borderId="0" xfId="0" applyNumberFormat="1" applyFont="1"/>
    <xf numFmtId="0" fontId="12" fillId="0" borderId="0" xfId="0" applyFont="1"/>
    <xf numFmtId="0" fontId="13" fillId="0" borderId="0" xfId="0" applyFont="1" applyAlignment="1">
      <alignment horizontal="left"/>
    </xf>
    <xf numFmtId="164" fontId="14" fillId="0" borderId="0" xfId="0" applyNumberFormat="1" applyFont="1" applyAlignment="1">
      <alignment horizontal="right"/>
    </xf>
    <xf numFmtId="0" fontId="15" fillId="0" borderId="0" xfId="0" applyFont="1" applyAlignment="1">
      <alignment horizontal="left"/>
    </xf>
    <xf numFmtId="49" fontId="16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164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164" fontId="6" fillId="0" borderId="0" xfId="0" applyNumberFormat="1" applyFont="1"/>
    <xf numFmtId="0" fontId="0" fillId="0" borderId="0" xfId="0" applyAlignment="1"/>
    <xf numFmtId="0" fontId="2" fillId="0" borderId="0" xfId="0" applyFont="1" applyAlignment="1"/>
    <xf numFmtId="164" fontId="2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files.dep.state.pa.us/RegionalResources/SWRO/SWROPortalFiles/COA-2021-07-16-ETP-395980.pdf" TargetMode="External"/><Relationship Id="rId21" Type="http://schemas.openxmlformats.org/officeDocument/2006/relationships/hyperlink" Target="https://primis.phmsa.dot.gov/enforcement-data/case/320085002" TargetMode="External"/><Relationship Id="rId63" Type="http://schemas.openxmlformats.org/officeDocument/2006/relationships/hyperlink" Target="https://primis.phmsa.dot.gov/enforcement-documents/420175021/420175021_Corrected%20Final%20Order_12202018.pdf" TargetMode="External"/><Relationship Id="rId159" Type="http://schemas.openxmlformats.org/officeDocument/2006/relationships/hyperlink" Target="https://www.ahs.dep.pa.gov/NewsRoomPublic/articleviewer.aspx?id=22327&amp;typeid=1" TargetMode="External"/><Relationship Id="rId170" Type="http://schemas.openxmlformats.org/officeDocument/2006/relationships/hyperlink" Target="https://www.gem.wiki/Rover_Pipeline" TargetMode="External"/><Relationship Id="rId226" Type="http://schemas.openxmlformats.org/officeDocument/2006/relationships/hyperlink" Target="https://echo.epa.gov/enforcement-case-report?activity_id=3602499523" TargetMode="External"/><Relationship Id="rId268" Type="http://schemas.openxmlformats.org/officeDocument/2006/relationships/hyperlink" Target="https://www.osha.gov/ords/imis/establishment.inspection_detail?id=306475328" TargetMode="External"/><Relationship Id="rId32" Type="http://schemas.openxmlformats.org/officeDocument/2006/relationships/hyperlink" Target="https://primis.phmsa.dot.gov/enforcement-documents/120125019/120125019_Final%20Order_06132013.pdf" TargetMode="External"/><Relationship Id="rId74" Type="http://schemas.openxmlformats.org/officeDocument/2006/relationships/hyperlink" Target="https://primis.phmsa.dot.gov/enforcement-documents/420165011/420165011_Final%20Order_11152019.pdf" TargetMode="External"/><Relationship Id="rId128" Type="http://schemas.openxmlformats.org/officeDocument/2006/relationships/hyperlink" Target="https://www.gem.wiki/Mariner_East_2_NGL_Pipeline" TargetMode="External"/><Relationship Id="rId5" Type="http://schemas.openxmlformats.org/officeDocument/2006/relationships/hyperlink" Target="https://primis.phmsa.dot.gov/enforcement-documents/420055011/420055011_Final%20Order_11152005.pdf" TargetMode="External"/><Relationship Id="rId181" Type="http://schemas.openxmlformats.org/officeDocument/2006/relationships/hyperlink" Target="https://www.tceq.texas.gov/assets/public/comm_exec/agendas/comm/backup/Agendas/2018/05-23-2018/0761AIR.pdf" TargetMode="External"/><Relationship Id="rId237" Type="http://schemas.openxmlformats.org/officeDocument/2006/relationships/hyperlink" Target="https://www.documentcloud.org/documents/26206546-settlement-letter-10292014/" TargetMode="External"/><Relationship Id="rId279" Type="http://schemas.openxmlformats.org/officeDocument/2006/relationships/hyperlink" Target="https://www.cftc.gov/PressRoom/PressReleases/5471-08" TargetMode="External"/><Relationship Id="rId43" Type="http://schemas.openxmlformats.org/officeDocument/2006/relationships/hyperlink" Target="https://primis.phmsa.dot.gov/enforcement-documents/420155009/420155009_Final%20Order_11032015.pdf" TargetMode="External"/><Relationship Id="rId139" Type="http://schemas.openxmlformats.org/officeDocument/2006/relationships/hyperlink" Target="https://stateimpact.npr.org/pennsylvania/2020/01/17/sunoco-fined-2-million-for-mariner-east-spills-in-raystown-lake/" TargetMode="External"/><Relationship Id="rId85" Type="http://schemas.openxmlformats.org/officeDocument/2006/relationships/hyperlink" Target="https://primis.phmsa.dot.gov/enforcement-data/case/120205001" TargetMode="External"/><Relationship Id="rId150" Type="http://schemas.openxmlformats.org/officeDocument/2006/relationships/hyperlink" Target="https://www.ahs.dep.pa.gov/NewsRoomPublic/articleviewer.aspx?id=21987&amp;typeid=1" TargetMode="External"/><Relationship Id="rId171" Type="http://schemas.openxmlformats.org/officeDocument/2006/relationships/hyperlink" Target="https://www.desmog.com/wp-content/uploads/files/Memo%20of%20Agreement.pdf" TargetMode="External"/><Relationship Id="rId192" Type="http://schemas.openxmlformats.org/officeDocument/2006/relationships/hyperlink" Target="https://yosemite.epa.gov/OA/RHC/EPAAdmin.nsf/Filings/09A42EF0EC72D75285258A3D0068C998/$File/3354.pdf" TargetMode="External"/><Relationship Id="rId206" Type="http://schemas.openxmlformats.org/officeDocument/2006/relationships/hyperlink" Target="https://www.documentcloud.org/documents/26206462-sunoco-executed-cacp-5312005/" TargetMode="External"/><Relationship Id="rId227" Type="http://schemas.openxmlformats.org/officeDocument/2006/relationships/hyperlink" Target="https://files.dep.state.pa.us/RegionalResources/SERO/SEROPortalFiles/Community%20Info/ETMT/March%206,%202024,%20DEP%20Technical%20Review%20Memo%20Associated%20with%20Significant%20Modification%20to%20TVOP%20No.%2023-00119.pdf" TargetMode="External"/><Relationship Id="rId248" Type="http://schemas.openxmlformats.org/officeDocument/2006/relationships/hyperlink" Target="https://yosemite.epa.gov/oa/rhc/epaadmin.nsf/Filings/8322709A3D13C0798525764F0063E403/$File/Sunoco%20Chemcials%20Frankford%20Plant.pdf" TargetMode="External"/><Relationship Id="rId269" Type="http://schemas.openxmlformats.org/officeDocument/2006/relationships/hyperlink" Target="https://www.osha.gov/ords/imis/establishment.inspection_detail?id=311447981" TargetMode="External"/><Relationship Id="rId12" Type="http://schemas.openxmlformats.org/officeDocument/2006/relationships/hyperlink" Target="https://primis.phmsa.dot.gov/enforcement-documents/120055005/120055005_Decision%20onPetitionforReconsideration_07272009.pdf" TargetMode="External"/><Relationship Id="rId33" Type="http://schemas.openxmlformats.org/officeDocument/2006/relationships/hyperlink" Target="https://primis.phmsa.dot.gov/enforcement-data/case/120125019" TargetMode="External"/><Relationship Id="rId108" Type="http://schemas.openxmlformats.org/officeDocument/2006/relationships/hyperlink" Target="https://www.gem.wiki/Florida_Gas_Transmission_Pipeline" TargetMode="External"/><Relationship Id="rId129" Type="http://schemas.openxmlformats.org/officeDocument/2006/relationships/hyperlink" Target="https://files.dep.state.pa.us/ProgramIntegration/PA%20Pipeline%20Portal/MarinerEastII/Consent%20Assessment%20of%20Civil%20Penalty%20-%20August%202,%202018.pdf" TargetMode="External"/><Relationship Id="rId280" Type="http://schemas.openxmlformats.org/officeDocument/2006/relationships/hyperlink" Target="https://www.cftc.gov/sites/default/files/idc/groups/public/@lrenforcementactions/documents/legalpleading/enfetporder031708.pdf" TargetMode="External"/><Relationship Id="rId54" Type="http://schemas.openxmlformats.org/officeDocument/2006/relationships/hyperlink" Target="https://primis.phmsa.dot.gov/enforcement-documents/420165020/420165020_Final%20Order_09152017.pdf" TargetMode="External"/><Relationship Id="rId75" Type="http://schemas.openxmlformats.org/officeDocument/2006/relationships/hyperlink" Target="https://primis.phmsa.dot.gov/enforcement-data/case/420165011" TargetMode="External"/><Relationship Id="rId96" Type="http://schemas.openxmlformats.org/officeDocument/2006/relationships/hyperlink" Target="https://primis.phmsa.dot.gov/enforcement-documents/32021049NOPV/32021049NOPV_Consent%20Agreement%20and%20Order_01112022_%2821-211190%29_text.pdf" TargetMode="External"/><Relationship Id="rId140" Type="http://schemas.openxmlformats.org/officeDocument/2006/relationships/hyperlink" Target="https://www.gem.wiki/Mariner_East_2_NGL_Pipeline" TargetMode="External"/><Relationship Id="rId161" Type="http://schemas.openxmlformats.org/officeDocument/2006/relationships/hyperlink" Target="https://echo.epa.gov/enforcement-case-report?id=03-2001-0236" TargetMode="External"/><Relationship Id="rId182" Type="http://schemas.openxmlformats.org/officeDocument/2006/relationships/hyperlink" Target="https://echo.epa.gov/enforcement-case-report?activity_id=3601761014" TargetMode="External"/><Relationship Id="rId217" Type="http://schemas.openxmlformats.org/officeDocument/2006/relationships/hyperlink" Target="https://www.documentcloud.org/documents/26206496-sunoco-executed-cacp-9212010/" TargetMode="External"/><Relationship Id="rId6" Type="http://schemas.openxmlformats.org/officeDocument/2006/relationships/hyperlink" Target="https://primis.phmsa.dot.gov/enforcement-data/case/420055011" TargetMode="External"/><Relationship Id="rId238" Type="http://schemas.openxmlformats.org/officeDocument/2006/relationships/hyperlink" Target="https://echo.epa.gov/enforcement-case-report?activity_id=3600397536" TargetMode="External"/><Relationship Id="rId259" Type="http://schemas.openxmlformats.org/officeDocument/2006/relationships/hyperlink" Target="https://echo.epa.gov/enforcement-case-report?id=EF-2011-7842" TargetMode="External"/><Relationship Id="rId23" Type="http://schemas.openxmlformats.org/officeDocument/2006/relationships/hyperlink" Target="https://primis.phmsa.dot.gov/enforcement-data/case/120095003" TargetMode="External"/><Relationship Id="rId119" Type="http://schemas.openxmlformats.org/officeDocument/2006/relationships/hyperlink" Target="https://www.gem.wiki/Revolution_Pipeline" TargetMode="External"/><Relationship Id="rId270" Type="http://schemas.openxmlformats.org/officeDocument/2006/relationships/hyperlink" Target="https://www.osha.gov/ords/imis/establishment.inspection_detail?id=312487457" TargetMode="External"/><Relationship Id="rId44" Type="http://schemas.openxmlformats.org/officeDocument/2006/relationships/hyperlink" Target="https://primis.phmsa.dot.gov/enforcement-data/case/420155009" TargetMode="External"/><Relationship Id="rId65" Type="http://schemas.openxmlformats.org/officeDocument/2006/relationships/hyperlink" Target="https://www.gem.wiki/Mid-Valley_Oil_Pipeline" TargetMode="External"/><Relationship Id="rId86" Type="http://schemas.openxmlformats.org/officeDocument/2006/relationships/hyperlink" Target="https://www.gem.wiki/Rover_Pipeline" TargetMode="External"/><Relationship Id="rId130" Type="http://schemas.openxmlformats.org/officeDocument/2006/relationships/hyperlink" Target="https://www.ahs.dep.pa.gov/NewsRoomPublic/SearchResults.aspx?id=21523&amp;typeid=1" TargetMode="External"/><Relationship Id="rId151" Type="http://schemas.openxmlformats.org/officeDocument/2006/relationships/hyperlink" Target="https://www.gem.wiki/Mariner_East_2_NGL_Pipeline" TargetMode="External"/><Relationship Id="rId172" Type="http://schemas.openxmlformats.org/officeDocument/2006/relationships/hyperlink" Target="https://www.ferc.gov/sites/default/files/2021-03/C-6-IN19-4-000.pdf" TargetMode="External"/><Relationship Id="rId193" Type="http://schemas.openxmlformats.org/officeDocument/2006/relationships/hyperlink" Target="https://www.epa.gov/archive/epapages/newsroom_archive/newsreleases/0997a679117ce952852570220061c98b.html" TargetMode="External"/><Relationship Id="rId207" Type="http://schemas.openxmlformats.org/officeDocument/2006/relationships/hyperlink" Target="https://www.ahs.dep.pa.gov/NewsRoomPublic/SearchResults.aspx?id=481&amp;typeid=1" TargetMode="External"/><Relationship Id="rId228" Type="http://schemas.openxmlformats.org/officeDocument/2006/relationships/hyperlink" Target="https://echo.epa.gov/enforcement-case-report?activity_id=3602907678" TargetMode="External"/><Relationship Id="rId249" Type="http://schemas.openxmlformats.org/officeDocument/2006/relationships/hyperlink" Target="https://echo.epa.gov/enforcement-case-report?id=03-2008-0150" TargetMode="External"/><Relationship Id="rId13" Type="http://schemas.openxmlformats.org/officeDocument/2006/relationships/hyperlink" Target="https://primis.phmsa.dot.gov/enforcement-data/case/120055005" TargetMode="External"/><Relationship Id="rId109" Type="http://schemas.openxmlformats.org/officeDocument/2006/relationships/hyperlink" Target="https://primis.phmsa.dot.gov/enforcement-documents/42022032NOPV/42022032NOPV_Final%20Order_05212024_(20-190995).pdf" TargetMode="External"/><Relationship Id="rId260" Type="http://schemas.openxmlformats.org/officeDocument/2006/relationships/hyperlink" Target="https://yosemite.epa.gov/OA/RHC/EPAAdmin.nsf/Filings/84E9A1B8B2D5560B85258161001BC075/$File/SDWA-05-2017-0001%20FINAL%20CAFO%20AFTER%20PN%207-17-2017.PDF" TargetMode="External"/><Relationship Id="rId281" Type="http://schemas.openxmlformats.org/officeDocument/2006/relationships/hyperlink" Target="https://web.archive.org/web/20150908112527/http:/www.ferc.gov/media/news-releases/2009/2009-3/09-21-09.asp" TargetMode="External"/><Relationship Id="rId34" Type="http://schemas.openxmlformats.org/officeDocument/2006/relationships/hyperlink" Target="https://www.gem.wiki/Transwestern_Gas_Pipeline" TargetMode="External"/><Relationship Id="rId55" Type="http://schemas.openxmlformats.org/officeDocument/2006/relationships/hyperlink" Target="https://primis.phmsa.dot.gov/enforcement-data/case/420165020" TargetMode="External"/><Relationship Id="rId76" Type="http://schemas.openxmlformats.org/officeDocument/2006/relationships/hyperlink" Target="https://www.energytransfer.com/crude-oil/" TargetMode="External"/><Relationship Id="rId97" Type="http://schemas.openxmlformats.org/officeDocument/2006/relationships/hyperlink" Target="https://primis.phmsa.dot.gov/enforcement-data/case/32021049NOPV" TargetMode="External"/><Relationship Id="rId120" Type="http://schemas.openxmlformats.org/officeDocument/2006/relationships/hyperlink" Target="https://www.puc.pa.gov/docket/M-2020-3004646" TargetMode="External"/><Relationship Id="rId141" Type="http://schemas.openxmlformats.org/officeDocument/2006/relationships/hyperlink" Target="https://files.dep.state.pa.us/ProgramIntegration/PA%20Pipeline%20Portal/MarinerEastII/8_4_2020%20IR%20CACP.pdf" TargetMode="External"/><Relationship Id="rId7" Type="http://schemas.openxmlformats.org/officeDocument/2006/relationships/hyperlink" Target="https://www.gem.wiki/Mid-Valley_Oil_Pipeline" TargetMode="External"/><Relationship Id="rId162" Type="http://schemas.openxmlformats.org/officeDocument/2006/relationships/hyperlink" Target="https://www.gem.wiki/Mid-Valley_Oil_Pipeline" TargetMode="External"/><Relationship Id="rId183" Type="http://schemas.openxmlformats.org/officeDocument/2006/relationships/hyperlink" Target="https://www.tceq.texas.gov/assets/public/comm_exec/agendas/comm/backup/Agendas/2019/05-22-2019/0306AIR.pdf" TargetMode="External"/><Relationship Id="rId218" Type="http://schemas.openxmlformats.org/officeDocument/2006/relationships/hyperlink" Target="https://echo.epa.gov/enforcement-case-report?id=PA000A0000E00000000274422" TargetMode="External"/><Relationship Id="rId239" Type="http://schemas.openxmlformats.org/officeDocument/2006/relationships/hyperlink" Target="https://www.documentcloud.org/documents/26206471-sunoco-phiadelphia-refinery-casa-06-22-2015/" TargetMode="External"/><Relationship Id="rId250" Type="http://schemas.openxmlformats.org/officeDocument/2006/relationships/hyperlink" Target="https://www.sec.gov/Archives/edgar/data/95304/000119312509037075/d10k.htm" TargetMode="External"/><Relationship Id="rId271" Type="http://schemas.openxmlformats.org/officeDocument/2006/relationships/hyperlink" Target="https://www.sec.gov/Archives/edgar/data/95304/000119312510038658/d10k.htm" TargetMode="External"/><Relationship Id="rId24" Type="http://schemas.openxmlformats.org/officeDocument/2006/relationships/hyperlink" Target="https://www.energytransfer.com/crude-oil/" TargetMode="External"/><Relationship Id="rId45" Type="http://schemas.openxmlformats.org/officeDocument/2006/relationships/hyperlink" Target="https://primis.phmsa.dot.gov/enforcement-documents/120145005/120145005_Final%20Order_01132016.pdf" TargetMode="External"/><Relationship Id="rId66" Type="http://schemas.openxmlformats.org/officeDocument/2006/relationships/hyperlink" Target="https://primis.phmsa.dot.gov/enforcement-documents/220175003/220175003_Final%20Order_05032019.pdf" TargetMode="External"/><Relationship Id="rId87" Type="http://schemas.openxmlformats.org/officeDocument/2006/relationships/hyperlink" Target="https://primis.phmsa.dot.gov/enforcement-documents/120191001/120191001_Final%20Order_05182020_text.pdf" TargetMode="External"/><Relationship Id="rId110" Type="http://schemas.openxmlformats.org/officeDocument/2006/relationships/hyperlink" Target="https://primis.phmsa.dot.gov/enforcement-data/case/42022032NOPV" TargetMode="External"/><Relationship Id="rId131" Type="http://schemas.openxmlformats.org/officeDocument/2006/relationships/hyperlink" Target="https://www.gem.wiki/Mariner_East_2_NGL_Pipeline" TargetMode="External"/><Relationship Id="rId152" Type="http://schemas.openxmlformats.org/officeDocument/2006/relationships/hyperlink" Target="https://files.dep.state.pa.us/RegionalResources/SERO/SEROPortalFiles/Community%20Info/MarshCreekLake/Marsh_Creek_Lake_COA.pdf" TargetMode="External"/><Relationship Id="rId173" Type="http://schemas.openxmlformats.org/officeDocument/2006/relationships/hyperlink" Target="https://www.gem.wiki/Mid-Valley_Oil_Pipeline" TargetMode="External"/><Relationship Id="rId194" Type="http://schemas.openxmlformats.org/officeDocument/2006/relationships/hyperlink" Target="https://www.epa.gov/enforcement/sunoco-petroleum-refinery-settlement" TargetMode="External"/><Relationship Id="rId208" Type="http://schemas.openxmlformats.org/officeDocument/2006/relationships/hyperlink" Target="https://www.documentcloud.org/documents/26206504-sunoco-executed-cacp-10252005/" TargetMode="External"/><Relationship Id="rId229" Type="http://schemas.openxmlformats.org/officeDocument/2006/relationships/hyperlink" Target="https://files.dep.state.pa.us/RegionalResources/SERO/SEROPortalFiles/Community%20Info/ETMT/March%206,%202024,%20DEP%20Technical%20Review%20Memo%20Associated%20with%20Significant%20Modification%20to%20TVOP%20No.%2023-00119.pdf" TargetMode="External"/><Relationship Id="rId240" Type="http://schemas.openxmlformats.org/officeDocument/2006/relationships/hyperlink" Target="https://echo.epa.gov/enforcement-case-report?activity_id=3600450803" TargetMode="External"/><Relationship Id="rId261" Type="http://schemas.openxmlformats.org/officeDocument/2006/relationships/hyperlink" Target="https://echo.epa.gov/enforcement-case-report?id=05-2017-4702" TargetMode="External"/><Relationship Id="rId14" Type="http://schemas.openxmlformats.org/officeDocument/2006/relationships/hyperlink" Target="https://primis.phmsa.dot.gov/enforcement-documents/120075001/120075001_FinalOrder_09022009.pdf" TargetMode="External"/><Relationship Id="rId35" Type="http://schemas.openxmlformats.org/officeDocument/2006/relationships/hyperlink" Target="https://primis.phmsa.dot.gov/enforcement-documents/420131002/420131002_Final%20Order_08222013_text.pdf" TargetMode="External"/><Relationship Id="rId56" Type="http://schemas.openxmlformats.org/officeDocument/2006/relationships/hyperlink" Target="https://www.gem.wiki/Mariner_East_2_NGL_Pipeline" TargetMode="External"/><Relationship Id="rId77" Type="http://schemas.openxmlformats.org/officeDocument/2006/relationships/hyperlink" Target="https://primis.phmsa.dot.gov/enforcement-documents/420165022/420165022_Corrected%20Final%20Order_12092019.pdf" TargetMode="External"/><Relationship Id="rId100" Type="http://schemas.openxmlformats.org/officeDocument/2006/relationships/hyperlink" Target="https://www.gem.wiki/Florida_Gas_Transmission_Pipeline" TargetMode="External"/><Relationship Id="rId282" Type="http://schemas.openxmlformats.org/officeDocument/2006/relationships/hyperlink" Target="https://www.cftc.gov/PressRoom/PressReleases/8267-20" TargetMode="External"/><Relationship Id="rId8" Type="http://schemas.openxmlformats.org/officeDocument/2006/relationships/hyperlink" Target="https://primis.phmsa.dot.gov/enforcement-documents/320035022/320035022_Final%20Order_01032006.pdf" TargetMode="External"/><Relationship Id="rId98" Type="http://schemas.openxmlformats.org/officeDocument/2006/relationships/hyperlink" Target="https://primis.phmsa.dot.gov/enforcement-documents/42022010NOPV/42022010NOPV_Final%20Order_09192022_%2821-199751%29_text.pdf" TargetMode="External"/><Relationship Id="rId121" Type="http://schemas.openxmlformats.org/officeDocument/2006/relationships/hyperlink" Target="https://www.puc.pa.gov/press-release/2021/puc-approves-nearly-2-million-settlement-for-safety-probe-of-2018-pipeline-failure-and-fire-in-beaver-county" TargetMode="External"/><Relationship Id="rId142" Type="http://schemas.openxmlformats.org/officeDocument/2006/relationships/hyperlink" Target="https://www.ahs.dep.pa.gov/NewsRoomPublic/SearchResults.aspx?id=21854&amp;typeid=1" TargetMode="External"/><Relationship Id="rId163" Type="http://schemas.openxmlformats.org/officeDocument/2006/relationships/hyperlink" Target="https://echo.epa.gov/enforcement-case-report?id=04-2005-9015" TargetMode="External"/><Relationship Id="rId184" Type="http://schemas.openxmlformats.org/officeDocument/2006/relationships/hyperlink" Target="https://echo.epa.gov/enforcement-case-report?activity_id=3601475592" TargetMode="External"/><Relationship Id="rId219" Type="http://schemas.openxmlformats.org/officeDocument/2006/relationships/hyperlink" Target="https://www.documentcloud.org/documents/26206498-sunoco-executed-cacp-8312011/" TargetMode="External"/><Relationship Id="rId230" Type="http://schemas.openxmlformats.org/officeDocument/2006/relationships/hyperlink" Target="https://echo.epa.gov/enforcement-case-report?activity_id=3603356749" TargetMode="External"/><Relationship Id="rId251" Type="http://schemas.openxmlformats.org/officeDocument/2006/relationships/hyperlink" Target="https://echo.epa.gov/enforcement-case-report?id=NJ000A0000340150000500499" TargetMode="External"/><Relationship Id="rId25" Type="http://schemas.openxmlformats.org/officeDocument/2006/relationships/hyperlink" Target="https://primis.phmsa.dot.gov/enforcement-documents/420105010/420105010_Final%20Order_08012012.pdf" TargetMode="External"/><Relationship Id="rId46" Type="http://schemas.openxmlformats.org/officeDocument/2006/relationships/hyperlink" Target="https://primis.phmsa.dot.gov/enforcement-data/case/120145005" TargetMode="External"/><Relationship Id="rId67" Type="http://schemas.openxmlformats.org/officeDocument/2006/relationships/hyperlink" Target="https://primis.phmsa.dot.gov/enforcement-data/case/220175003" TargetMode="External"/><Relationship Id="rId272" Type="http://schemas.openxmlformats.org/officeDocument/2006/relationships/hyperlink" Target="https://web.archive.org/web/20170705091252/https:/www.osha.gov/news/newsreleases/region3/12032009" TargetMode="External"/><Relationship Id="rId88" Type="http://schemas.openxmlformats.org/officeDocument/2006/relationships/hyperlink" Target="https://primis.phmsa.dot.gov/enforcement-data/case/120191001" TargetMode="External"/><Relationship Id="rId111" Type="http://schemas.openxmlformats.org/officeDocument/2006/relationships/hyperlink" Target="https://www.gem.wiki/Revolution_Pipeline" TargetMode="External"/><Relationship Id="rId132" Type="http://schemas.openxmlformats.org/officeDocument/2006/relationships/hyperlink" Target="https://files.dep.state.pa.us/ProgramIntegration/PA%20Pipeline%20Portal/MarinerEastII/8-20-19%20-%20CACP%20-%20Inadvertent%20Return.pdf" TargetMode="External"/><Relationship Id="rId153" Type="http://schemas.openxmlformats.org/officeDocument/2006/relationships/hyperlink" Target="https://www.ahs.dep.pa.gov/NewsRoomPublic/SearchResults.aspx?id=22027&amp;typeid=1" TargetMode="External"/><Relationship Id="rId174" Type="http://schemas.openxmlformats.org/officeDocument/2006/relationships/hyperlink" Target="https://echo.epa.gov/enforcement-case-report?id=04-2011-9024" TargetMode="External"/><Relationship Id="rId195" Type="http://schemas.openxmlformats.org/officeDocument/2006/relationships/hyperlink" Target="https://echo.epa.gov/enforcement-case-report?id=PA000A0000E00000000093958" TargetMode="External"/><Relationship Id="rId209" Type="http://schemas.openxmlformats.org/officeDocument/2006/relationships/hyperlink" Target="https://www.ahs.dep.pa.gov/NewsRoomPublic/SearchResults.aspx?id=2211&amp;typeid=1" TargetMode="External"/><Relationship Id="rId220" Type="http://schemas.openxmlformats.org/officeDocument/2006/relationships/hyperlink" Target="https://echo.epa.gov/enforcement-case-report?id=PA000A0000E00000000284922" TargetMode="External"/><Relationship Id="rId241" Type="http://schemas.openxmlformats.org/officeDocument/2006/relationships/hyperlink" Target="https://www.documentcloud.org/documents/26206537-5142015-settlement-letter/" TargetMode="External"/><Relationship Id="rId15" Type="http://schemas.openxmlformats.org/officeDocument/2006/relationships/hyperlink" Target="https://primis.phmsa.dot.gov/enforcement-data/case/120075001" TargetMode="External"/><Relationship Id="rId36" Type="http://schemas.openxmlformats.org/officeDocument/2006/relationships/hyperlink" Target="https://primis.phmsa.dot.gov/enforcement-data/case/420131002" TargetMode="External"/><Relationship Id="rId57" Type="http://schemas.openxmlformats.org/officeDocument/2006/relationships/hyperlink" Target="https://primis.phmsa.dot.gov/enforcement-documents/120175016/120175016_Final%20Order_09152017.pdf" TargetMode="External"/><Relationship Id="rId262" Type="http://schemas.openxmlformats.org/officeDocument/2006/relationships/hyperlink" Target="https://www14.tceq.texas.gov/epic/CIO/index.cfm?fuseaction=search.download&amp;agy_dkt_num_txt=2018-1184-AIR-E&amp;agenda_dt=01/15/2020" TargetMode="External"/><Relationship Id="rId283" Type="http://schemas.openxmlformats.org/officeDocument/2006/relationships/hyperlink" Target="https://web.archive.org/web/20120522002439/http:/www.mass.gov/ago/news-and-updates/press-releases/2012/2012-04-09-sunoco-reimbursement.html" TargetMode="External"/><Relationship Id="rId78" Type="http://schemas.openxmlformats.org/officeDocument/2006/relationships/hyperlink" Target="https://primis.phmsa.dot.gov/enforcement-data/case/420165022" TargetMode="External"/><Relationship Id="rId99" Type="http://schemas.openxmlformats.org/officeDocument/2006/relationships/hyperlink" Target="https://primis.phmsa.dot.gov/enforcement-data/case/42022010NOPV" TargetMode="External"/><Relationship Id="rId101" Type="http://schemas.openxmlformats.org/officeDocument/2006/relationships/hyperlink" Target="https://primis.phmsa.dot.gov/enforcement-documents/42022012NOPV/42022012NOPV_Final%20Order_04212023_%2820-185585%29.pdf" TargetMode="External"/><Relationship Id="rId122" Type="http://schemas.openxmlformats.org/officeDocument/2006/relationships/hyperlink" Target="https://www.gem.wiki/Mariner_East_2_NGL_Pipeline" TargetMode="External"/><Relationship Id="rId143" Type="http://schemas.openxmlformats.org/officeDocument/2006/relationships/hyperlink" Target="https://www.puc.pa.gov/docket/C-2018-3006534" TargetMode="External"/><Relationship Id="rId164" Type="http://schemas.openxmlformats.org/officeDocument/2006/relationships/hyperlink" Target="https://www.justice.gov/archive/opa/pr/2006/August/06_enrd_534.html" TargetMode="External"/><Relationship Id="rId185" Type="http://schemas.openxmlformats.org/officeDocument/2006/relationships/hyperlink" Target="https://www.tceq.texas.gov/assets/public/comm_exec/agendas/comm/backup/Agendas/2019/07-31-2019/0809AIR.pdf" TargetMode="External"/><Relationship Id="rId9" Type="http://schemas.openxmlformats.org/officeDocument/2006/relationships/hyperlink" Target="https://primis.phmsa.dot.gov/enforcement-data/case/320035022" TargetMode="External"/><Relationship Id="rId210" Type="http://schemas.openxmlformats.org/officeDocument/2006/relationships/hyperlink" Target="https://www.documentcloud.org/documents/26206499-sunoco-executed-cacp-5152009/" TargetMode="External"/><Relationship Id="rId26" Type="http://schemas.openxmlformats.org/officeDocument/2006/relationships/hyperlink" Target="https://primis.phmsa.dot.gov/enforcement-data/case/420105010" TargetMode="External"/><Relationship Id="rId231" Type="http://schemas.openxmlformats.org/officeDocument/2006/relationships/hyperlink" Target="https://files.dep.state.pa.us/RegionalResources/SERO/SEROPortalFiles/Community%20Info/ETMT/March%206,%202024,%20DEP%20Technical%20Review%20Memo%20Associated%20with%20Significant%20Modification%20to%20TVOP%20No.%2023-00119.pdf" TargetMode="External"/><Relationship Id="rId252" Type="http://schemas.openxmlformats.org/officeDocument/2006/relationships/hyperlink" Target="https://echo.epa.gov/enforcement-case-report?id=NJ000A0000340150000500527" TargetMode="External"/><Relationship Id="rId273" Type="http://schemas.openxmlformats.org/officeDocument/2006/relationships/hyperlink" Target="https://www.weitzlux.com/firm-news/423-million-mtbe-settlement/" TargetMode="External"/><Relationship Id="rId47" Type="http://schemas.openxmlformats.org/officeDocument/2006/relationships/hyperlink" Target="https://www.energytransfer.com/crude-oil/" TargetMode="External"/><Relationship Id="rId68" Type="http://schemas.openxmlformats.org/officeDocument/2006/relationships/hyperlink" Target="https://primis.phmsa.dot.gov/enforcement-documents/320185013/320185013_Final%20Order_05032019.pdf" TargetMode="External"/><Relationship Id="rId89" Type="http://schemas.openxmlformats.org/officeDocument/2006/relationships/hyperlink" Target="https://primis.phmsa.dot.gov/enforcement-documents/320195016/320195016_Final%20Order_09032020_text.pdf" TargetMode="External"/><Relationship Id="rId112" Type="http://schemas.openxmlformats.org/officeDocument/2006/relationships/hyperlink" Target="https://files.dep.state.pa.us/ProgramIntegration/PA%20Pipeline%20Portal/RevolutionPipeline/Consent_Order_and_Agreement_01-03-2020.pdf" TargetMode="External"/><Relationship Id="rId133" Type="http://schemas.openxmlformats.org/officeDocument/2006/relationships/hyperlink" Target="https://www.ahs.dep.pa.gov/NewsRoomPublic/SearchResults.aspx?id=21740&amp;typeid=1" TargetMode="External"/><Relationship Id="rId154" Type="http://schemas.openxmlformats.org/officeDocument/2006/relationships/hyperlink" Target="https://www.gem.wiki/Mariner_East_2_NGL_Pipeline" TargetMode="External"/><Relationship Id="rId175" Type="http://schemas.openxmlformats.org/officeDocument/2006/relationships/hyperlink" Target="https://www.gem.wiki/Mid-Valley_Oil_Pipeline" TargetMode="External"/><Relationship Id="rId196" Type="http://schemas.openxmlformats.org/officeDocument/2006/relationships/hyperlink" Target="https://www.documentcloud.org/documents/26206502-sunoco-executed-coa-2282002/" TargetMode="External"/><Relationship Id="rId200" Type="http://schemas.openxmlformats.org/officeDocument/2006/relationships/hyperlink" Target="https://www.ahs.dep.pa.gov/NewsRoomPublic/SearchResults.aspx?id=6&amp;typeid=1" TargetMode="External"/><Relationship Id="rId16" Type="http://schemas.openxmlformats.org/officeDocument/2006/relationships/hyperlink" Target="https://primis.phmsa.dot.gov/enforcement-documents/420075041/420075041_FinalOrder_06172010_text.pdf" TargetMode="External"/><Relationship Id="rId221" Type="http://schemas.openxmlformats.org/officeDocument/2006/relationships/hyperlink" Target="https://www.documentcloud.org/documents/26206479-sunoco-executed-cacp-6142012/" TargetMode="External"/><Relationship Id="rId242" Type="http://schemas.openxmlformats.org/officeDocument/2006/relationships/hyperlink" Target="https://echo.epa.gov/enforcement-case-report?activity_id=3600907804" TargetMode="External"/><Relationship Id="rId263" Type="http://schemas.openxmlformats.org/officeDocument/2006/relationships/hyperlink" Target="https://echo.epa.gov/enforcement-case-report?activity_id=3601761111" TargetMode="External"/><Relationship Id="rId284" Type="http://schemas.openxmlformats.org/officeDocument/2006/relationships/hyperlink" Target="https://www.law360.com/articles/328224/sunoco-pays-2-2m-to-end-tank-leak-payment-row" TargetMode="External"/><Relationship Id="rId37" Type="http://schemas.openxmlformats.org/officeDocument/2006/relationships/hyperlink" Target="https://www.gem.wiki/Panhandle_Eastern_Gas_Pipeline" TargetMode="External"/><Relationship Id="rId58" Type="http://schemas.openxmlformats.org/officeDocument/2006/relationships/hyperlink" Target="https://primis.phmsa.dot.gov/enforcement-data/case/120175016" TargetMode="External"/><Relationship Id="rId79" Type="http://schemas.openxmlformats.org/officeDocument/2006/relationships/hyperlink" Target="https://primis.phmsa.dot.gov/enforcement-documents/420195016/420195016_Final%20Order_01142020.pdf" TargetMode="External"/><Relationship Id="rId102" Type="http://schemas.openxmlformats.org/officeDocument/2006/relationships/hyperlink" Target="https://primis.phmsa.dot.gov/enforcement-data/case/42022012NOPV" TargetMode="External"/><Relationship Id="rId123" Type="http://schemas.openxmlformats.org/officeDocument/2006/relationships/hyperlink" Target="https://files.dep.state.pa.us/programintegration/PA%20Pipeline%20Portal/MarinerEastII/Summary_of_Order/Sunoco%20Pipeline%20LP,%20Consent%20Order%20and%20Agreement%20-%20February%208,%202018.pdf" TargetMode="External"/><Relationship Id="rId144" Type="http://schemas.openxmlformats.org/officeDocument/2006/relationships/hyperlink" Target="https://www.google.com/url?q=https://www.puc.pa.gov/press-release/2020/puc-requires-remaining-life-study-enhanced-public-reporting-on-integrity-of-sunoco-s-mariner-east-1-pipeline-as-part-of-leak-settlement&amp;sa=D&amp;source=editors&amp;ust=1758214300798413&amp;usg=AOvVaw1-jGNB3L4zzEdMzKQXVwsJ" TargetMode="External"/><Relationship Id="rId90" Type="http://schemas.openxmlformats.org/officeDocument/2006/relationships/hyperlink" Target="https://primis.phmsa.dot.gov/enforcement-data/case/320195016" TargetMode="External"/><Relationship Id="rId165" Type="http://schemas.openxmlformats.org/officeDocument/2006/relationships/hyperlink" Target="https://www.tceq.texas.gov/assets/public/comm_exec/agendas/comm/backup/Agendas/2009/11-4-2009/0188air.pdf" TargetMode="External"/><Relationship Id="rId186" Type="http://schemas.openxmlformats.org/officeDocument/2006/relationships/hyperlink" Target="https://www.env.nm.gov/wp-content/uploads/2021/08/2021-08-30-ETC-SASFCO-FINAL-ETC-Signature.pdf" TargetMode="External"/><Relationship Id="rId211" Type="http://schemas.openxmlformats.org/officeDocument/2006/relationships/hyperlink" Target="https://echo.epa.gov/enforcement-case-report?id=03-2009-0298" TargetMode="External"/><Relationship Id="rId232" Type="http://schemas.openxmlformats.org/officeDocument/2006/relationships/hyperlink" Target="https://echo.epa.gov/enforcement-case-report?activity_id=3603718016" TargetMode="External"/><Relationship Id="rId253" Type="http://schemas.openxmlformats.org/officeDocument/2006/relationships/hyperlink" Target="https://echo.epa.gov/enforcement-case-report?activity_id=600077664" TargetMode="External"/><Relationship Id="rId274" Type="http://schemas.openxmlformats.org/officeDocument/2006/relationships/hyperlink" Target="https://www.nytimes.com/2008/05/08/business/worldbusiness/08iht-08oil.12683042.html" TargetMode="External"/><Relationship Id="rId27" Type="http://schemas.openxmlformats.org/officeDocument/2006/relationships/hyperlink" Target="https://www.gem.wiki/Mid-Valley_Oil_Pipeline" TargetMode="External"/><Relationship Id="rId48" Type="http://schemas.openxmlformats.org/officeDocument/2006/relationships/hyperlink" Target="https://primis.phmsa.dot.gov/enforcement-documents/420155012/420155012_Final%20Order_12012016.pdf" TargetMode="External"/><Relationship Id="rId69" Type="http://schemas.openxmlformats.org/officeDocument/2006/relationships/hyperlink" Target="https://primis.phmsa.dot.gov/enforcement-data/case/320185013" TargetMode="External"/><Relationship Id="rId113" Type="http://schemas.openxmlformats.org/officeDocument/2006/relationships/hyperlink" Target="https://ir.energytransfer.com/node/37586/html" TargetMode="External"/><Relationship Id="rId134" Type="http://schemas.openxmlformats.org/officeDocument/2006/relationships/hyperlink" Target="https://www.gem.wiki/Mariner_East_2_NGL_Pipeline" TargetMode="External"/><Relationship Id="rId80" Type="http://schemas.openxmlformats.org/officeDocument/2006/relationships/hyperlink" Target="https://primis.phmsa.dot.gov/enforcement-data/case/420195016" TargetMode="External"/><Relationship Id="rId155" Type="http://schemas.openxmlformats.org/officeDocument/2006/relationships/hyperlink" Target="https://files.dep.state.pa.us/ProgramIntegration/PA%20Pipeline%20Portal/MarinerEastII/2023/CACP_ME2_June_2023_Berks_Blair_Cambria_Chester_Cumberland_Delaware_Perry_York-SPLP%20Executed(2676793.1)_7-6-23.pdf" TargetMode="External"/><Relationship Id="rId176" Type="http://schemas.openxmlformats.org/officeDocument/2006/relationships/hyperlink" Target="https://echo.epa.gov/enforcement-case-report?id=06-2016-4882" TargetMode="External"/><Relationship Id="rId197" Type="http://schemas.openxmlformats.org/officeDocument/2006/relationships/hyperlink" Target="https://echo.epa.gov/enforcement-case-report?id=DE000A0000100030002100079" TargetMode="External"/><Relationship Id="rId201" Type="http://schemas.openxmlformats.org/officeDocument/2006/relationships/hyperlink" Target="https://echo.epa.gov/enforcement-case-report?id=PA000A0000E00000000120438" TargetMode="External"/><Relationship Id="rId222" Type="http://schemas.openxmlformats.org/officeDocument/2006/relationships/hyperlink" Target="https://news.delaware.gov/2018/03/16/dnrec-issues-conciliation-order-consent-sunoco-partners-marketing-terminals-lp-addressing-alleged-air-pollution-violations/" TargetMode="External"/><Relationship Id="rId243" Type="http://schemas.openxmlformats.org/officeDocument/2006/relationships/hyperlink" Target="https://yosemite.epa.gov/oa/rhc/epaadmin.nsf/CAFOs%20and%20ESAs/4BC0FD32CD72754A852580910021423D/$File/Philadelphia%20Energy%20Solutions,%20Refining%20&amp;%20Marketing%20LLC,%20RCRA,%20SCAFO.pdf" TargetMode="External"/><Relationship Id="rId264" Type="http://schemas.openxmlformats.org/officeDocument/2006/relationships/hyperlink" Target="https://yosemite.epa.gov/OA/RHC/EPAAdmin.nsf/Filings/70DEB70F6E145D25852588B7006096D4/$File/Sunoco,%20LLC;%20Docket%20No.CAFO.9.8.22.CAA-04-2022-0213(b).pdf" TargetMode="External"/><Relationship Id="rId285" Type="http://schemas.openxmlformats.org/officeDocument/2006/relationships/hyperlink" Target="https://echo.epa.gov/enforcement-case-report?id=EF-2012-7974" TargetMode="External"/><Relationship Id="rId17" Type="http://schemas.openxmlformats.org/officeDocument/2006/relationships/hyperlink" Target="https://primis.phmsa.dot.gov/enforcement-data/case/420075041" TargetMode="External"/><Relationship Id="rId38" Type="http://schemas.openxmlformats.org/officeDocument/2006/relationships/hyperlink" Target="https://primis.phmsa.dot.gov/enforcement-documents/320131015/320131015_Final%20Order_04092014.pdf" TargetMode="External"/><Relationship Id="rId59" Type="http://schemas.openxmlformats.org/officeDocument/2006/relationships/hyperlink" Target="https://primis.phmsa.dot.gov/enforcement-documents/120185009/120185009_Final%20Order_07242018_text.pdf" TargetMode="External"/><Relationship Id="rId103" Type="http://schemas.openxmlformats.org/officeDocument/2006/relationships/hyperlink" Target="https://primis.phmsa.dot.gov/enforcement-documents/42022040NOPV/42022040NOPV_Final%20Order_06302023_%2821-202527%29_text.pdf" TargetMode="External"/><Relationship Id="rId124" Type="http://schemas.openxmlformats.org/officeDocument/2006/relationships/hyperlink" Target="https://ir.energytransfer.com/node/20656/html" TargetMode="External"/><Relationship Id="rId70" Type="http://schemas.openxmlformats.org/officeDocument/2006/relationships/hyperlink" Target="https://www.energytransfer.com/crude-oil/" TargetMode="External"/><Relationship Id="rId91" Type="http://schemas.openxmlformats.org/officeDocument/2006/relationships/hyperlink" Target="https://www.gem.wiki/Panhandle_Eastern_Gas_Pipeline" TargetMode="External"/><Relationship Id="rId145" Type="http://schemas.openxmlformats.org/officeDocument/2006/relationships/hyperlink" Target="https://www.gem.wiki/Mariner_East_2_NGL_Pipeline" TargetMode="External"/><Relationship Id="rId166" Type="http://schemas.openxmlformats.org/officeDocument/2006/relationships/hyperlink" Target="https://www.gem.wiki/Mid-Valley_Oil_Pipeline" TargetMode="External"/><Relationship Id="rId187" Type="http://schemas.openxmlformats.org/officeDocument/2006/relationships/hyperlink" Target="https://www.env.nm.gov/wp-content/uploads/2021/08/2021-08-30-NMED-settles-air-enforcement-case.pdf" TargetMode="External"/><Relationship Id="rId1" Type="http://schemas.openxmlformats.org/officeDocument/2006/relationships/hyperlink" Target="https://primis.phmsa.dot.gov/enforcement-documents/120025005/120025005_final%20order_06232003_text.pdf" TargetMode="External"/><Relationship Id="rId212" Type="http://schemas.openxmlformats.org/officeDocument/2006/relationships/hyperlink" Target="https://www.epa.gov/archive/epapages/newsroom_archive/newsreleases/3b8e42668647c0dc8525764a0062f314.html" TargetMode="External"/><Relationship Id="rId233" Type="http://schemas.openxmlformats.org/officeDocument/2006/relationships/hyperlink" Target="https://files.dep.state.pa.us/RegionalResources/SERO/SEROPortalFiles/Community%20Info/ETMT/March%206,%202024,%20DEP%20Technical%20Review%20Memo%20Associated%20with%20Significant%20Modification%20to%20TVOP%20No.%2023-00119.pdf" TargetMode="External"/><Relationship Id="rId254" Type="http://schemas.openxmlformats.org/officeDocument/2006/relationships/hyperlink" Target="https://www.law360.com/articles/94941/sunoco-to-pay-1-5m-over-nj-refinery-waste-levels" TargetMode="External"/><Relationship Id="rId28" Type="http://schemas.openxmlformats.org/officeDocument/2006/relationships/hyperlink" Target="https://primis-uat.phmsa.dot.gov/enforcement-documents/320105012/320105012_Final%20Order_08302012.pdf" TargetMode="External"/><Relationship Id="rId49" Type="http://schemas.openxmlformats.org/officeDocument/2006/relationships/hyperlink" Target="https://primis.phmsa.dot.gov/enforcement-data/case/420155012" TargetMode="External"/><Relationship Id="rId114" Type="http://schemas.openxmlformats.org/officeDocument/2006/relationships/hyperlink" Target="https://www.gem.wiki/Revolution_Pipeline" TargetMode="External"/><Relationship Id="rId275" Type="http://schemas.openxmlformats.org/officeDocument/2006/relationships/hyperlink" Target="https://s3.amazonaws.com/fcmd/documents/documents/000/002/733/original/royal-dutch-shell-new-hampshire-mtbe_settlement.pdf?1423021331" TargetMode="External"/><Relationship Id="rId60" Type="http://schemas.openxmlformats.org/officeDocument/2006/relationships/hyperlink" Target="https://primis.phmsa.dot.gov/enforcement-data/case/120185009" TargetMode="External"/><Relationship Id="rId81" Type="http://schemas.openxmlformats.org/officeDocument/2006/relationships/hyperlink" Target="https://www.gem.wiki/Panhandle_Eastern_Gas_Pipeline" TargetMode="External"/><Relationship Id="rId135" Type="http://schemas.openxmlformats.org/officeDocument/2006/relationships/hyperlink" Target="https://files.dep.state.pa.us/ProgramIntegration/PA%20Pipeline%20Portal/MarinerEastII/8-21-19%20-%20CACP%20-%20Cumberland%20County.pdf" TargetMode="External"/><Relationship Id="rId156" Type="http://schemas.openxmlformats.org/officeDocument/2006/relationships/hyperlink" Target="https://www.ahs.dep.pa.gov/NewsRoomPublic/articleviewer.aspx?id=22327&amp;typeid=1" TargetMode="External"/><Relationship Id="rId177" Type="http://schemas.openxmlformats.org/officeDocument/2006/relationships/hyperlink" Target="https://www.justice.gov/archives/opa/pr/sunoco-pipeline-lp-pay-more-54-million-and-take-oil-spill-prevention-steps-settle-claims" TargetMode="External"/><Relationship Id="rId198" Type="http://schemas.openxmlformats.org/officeDocument/2006/relationships/hyperlink" Target="https://den.test.dnrec.delaware.gov/Reports/ViewReport.ashx?rid=35&amp;EnforcementID=9197&amp;reportFormat=PDF" TargetMode="External"/><Relationship Id="rId202" Type="http://schemas.openxmlformats.org/officeDocument/2006/relationships/hyperlink" Target="https://www.documentcloud.org/documents/26206491-sunoco-executed-cacp-642003/" TargetMode="External"/><Relationship Id="rId223" Type="http://schemas.openxmlformats.org/officeDocument/2006/relationships/hyperlink" Target="https://echo.epa.gov/enforcement-case-report?activity_id=3601377511" TargetMode="External"/><Relationship Id="rId244" Type="http://schemas.openxmlformats.org/officeDocument/2006/relationships/hyperlink" Target="https://echo.epa.gov/enforcement-case-report?activity_id=3601171755" TargetMode="External"/><Relationship Id="rId18" Type="http://schemas.openxmlformats.org/officeDocument/2006/relationships/hyperlink" Target="https://primis.phmsa.dot.gov/enforcement-documents/420075040/420075040_Final%20Order_12162010.pdf" TargetMode="External"/><Relationship Id="rId39" Type="http://schemas.openxmlformats.org/officeDocument/2006/relationships/hyperlink" Target="https://primis.phmsa.dot.gov/enforcement-data/case/320131015" TargetMode="External"/><Relationship Id="rId265" Type="http://schemas.openxmlformats.org/officeDocument/2006/relationships/hyperlink" Target="https://echo.epa.gov/enforcement-case-report?id=04-2022-0213" TargetMode="External"/><Relationship Id="rId286" Type="http://schemas.openxmlformats.org/officeDocument/2006/relationships/hyperlink" Target="https://subscriber.politicopro.com/article/eenews/2012/04/23/30-companies-settle-with-epa-over-fraudulent-credits-147889" TargetMode="External"/><Relationship Id="rId50" Type="http://schemas.openxmlformats.org/officeDocument/2006/relationships/hyperlink" Target="https://primis.phmsa.dot.gov/enforcement-documents/120135021/120135021_Final%20Order_12022016.pdf" TargetMode="External"/><Relationship Id="rId104" Type="http://schemas.openxmlformats.org/officeDocument/2006/relationships/hyperlink" Target="https://primis.phmsa.dot.gov/enforcement-data/case/42022040NOPV" TargetMode="External"/><Relationship Id="rId125" Type="http://schemas.openxmlformats.org/officeDocument/2006/relationships/hyperlink" Target="https://www.gem.wiki/Mariner_East_2_NGL_Pipeline" TargetMode="External"/><Relationship Id="rId146" Type="http://schemas.openxmlformats.org/officeDocument/2006/relationships/hyperlink" Target="https://files.dep.state.pa.us/Newsroom/NewsroomPortalFiles/DEP.PFBC_SPLP_SnitzCOA_2_12_2021.pdf" TargetMode="External"/><Relationship Id="rId167" Type="http://schemas.openxmlformats.org/officeDocument/2006/relationships/hyperlink" Target="https://www.justice.gov/archive/opa/pr/2006/August/06_enrd_534.html" TargetMode="External"/><Relationship Id="rId188" Type="http://schemas.openxmlformats.org/officeDocument/2006/relationships/hyperlink" Target="https://echo.epa.gov/enforcement-case-report?id=06-2022-3375" TargetMode="External"/><Relationship Id="rId71" Type="http://schemas.openxmlformats.org/officeDocument/2006/relationships/hyperlink" Target="https://primis.phmsa.dot.gov/enforcement-documents/420165034/420165034_Final%20Order_11142019.pdf" TargetMode="External"/><Relationship Id="rId92" Type="http://schemas.openxmlformats.org/officeDocument/2006/relationships/hyperlink" Target="https://primis.phmsa.dot.gov/enforcement-documents/320201005/320201005_Final%20Order_12042020_text.pdf" TargetMode="External"/><Relationship Id="rId213" Type="http://schemas.openxmlformats.org/officeDocument/2006/relationships/hyperlink" Target="https://www.sec.gov/Archives/edgar/data/95304/000119312510038658/d10k.htm" TargetMode="External"/><Relationship Id="rId234" Type="http://schemas.openxmlformats.org/officeDocument/2006/relationships/hyperlink" Target="https://echo.epa.gov/enforcement-case-report?activity_id=3604184270" TargetMode="External"/><Relationship Id="rId2" Type="http://schemas.openxmlformats.org/officeDocument/2006/relationships/hyperlink" Target="https://primis.phmsa.dot.gov/enforcement-data/case/120025005" TargetMode="External"/><Relationship Id="rId29" Type="http://schemas.openxmlformats.org/officeDocument/2006/relationships/hyperlink" Target="https://primis.phmsa.dot.gov/enforcement-data/case/320105012" TargetMode="External"/><Relationship Id="rId255" Type="http://schemas.openxmlformats.org/officeDocument/2006/relationships/hyperlink" Target="https://echo.epa.gov/enforcement-case-report?activity_id=3600894156" TargetMode="External"/><Relationship Id="rId276" Type="http://schemas.openxmlformats.org/officeDocument/2006/relationships/hyperlink" Target="https://nj.gov/oag/newsreleases18/pr20180312a.html" TargetMode="External"/><Relationship Id="rId40" Type="http://schemas.openxmlformats.org/officeDocument/2006/relationships/hyperlink" Target="https://primis.phmsa.dot.gov/enforcement-documents/120125013/120125013_Final%20Order_08272014.pdf" TargetMode="External"/><Relationship Id="rId115" Type="http://schemas.openxmlformats.org/officeDocument/2006/relationships/hyperlink" Target="https://files.dep.state.pa.us/RegionalResources/SWRO/SWROPortalFiles/ETC%202.26.2021%20COA%20ETC%20DEP%20signed.pdf" TargetMode="External"/><Relationship Id="rId136" Type="http://schemas.openxmlformats.org/officeDocument/2006/relationships/hyperlink" Target="https://www.ahs.dep.pa.gov/NewsRoomPublic/SearchResults.aspx?id=21740&amp;typeid=1" TargetMode="External"/><Relationship Id="rId157" Type="http://schemas.openxmlformats.org/officeDocument/2006/relationships/hyperlink" Target="https://www.gem.wiki/Mariner_East_2_NGL_Pipeline" TargetMode="External"/><Relationship Id="rId178" Type="http://schemas.openxmlformats.org/officeDocument/2006/relationships/hyperlink" Target="https://echo.epa.gov/enforcement-case-report?id=05-2015-7338" TargetMode="External"/><Relationship Id="rId61" Type="http://schemas.openxmlformats.org/officeDocument/2006/relationships/hyperlink" Target="https://primis.phmsa.dot.gov/enforcement-documents/120185010/120185010_Final%20Order_09182018_text.pdf" TargetMode="External"/><Relationship Id="rId82" Type="http://schemas.openxmlformats.org/officeDocument/2006/relationships/hyperlink" Target="https://primis.phmsa.dot.gov/enforcement-documents/320191004/320191004_Final%20Order_04302020_text.pdf" TargetMode="External"/><Relationship Id="rId199" Type="http://schemas.openxmlformats.org/officeDocument/2006/relationships/hyperlink" Target="https://www.documentcloud.org/documents/26206469-sunoco-executed-assessment-of-civil-penalty-9272002/" TargetMode="External"/><Relationship Id="rId203" Type="http://schemas.openxmlformats.org/officeDocument/2006/relationships/hyperlink" Target="https://echo.epa.gov/enforcement-case-report?id=PA000A0000E00000000098474" TargetMode="External"/><Relationship Id="rId19" Type="http://schemas.openxmlformats.org/officeDocument/2006/relationships/hyperlink" Target="https://primis.phmsa.dot.gov/enforcement-data/case/420075040" TargetMode="External"/><Relationship Id="rId224" Type="http://schemas.openxmlformats.org/officeDocument/2006/relationships/hyperlink" Target="https://echo.epa.gov/enforcement-case-report?activity_id=3602499385" TargetMode="External"/><Relationship Id="rId245" Type="http://schemas.openxmlformats.org/officeDocument/2006/relationships/hyperlink" Target="https://www.documentcloud.org/documents/26206516-ams-nov-2016-09-29-settlement-payment-2-to-ams-dated-2017-06-05-1/" TargetMode="External"/><Relationship Id="rId266" Type="http://schemas.openxmlformats.org/officeDocument/2006/relationships/hyperlink" Target="https://echo.epa.gov/enforcement-case-report?id=09-2025-1083" TargetMode="External"/><Relationship Id="rId30" Type="http://schemas.openxmlformats.org/officeDocument/2006/relationships/hyperlink" Target="https://primis.phmsa.dot.gov/enforcement-documents/320095016/320095016_Final%20Order_12312012_text.pdf" TargetMode="External"/><Relationship Id="rId105" Type="http://schemas.openxmlformats.org/officeDocument/2006/relationships/hyperlink" Target="https://www.gem.wiki/Sea_Robin_Gas_Pipeline" TargetMode="External"/><Relationship Id="rId126" Type="http://schemas.openxmlformats.org/officeDocument/2006/relationships/hyperlink" Target="https://files.dep.state.pa.us/ProgramIntegration/PA%20Pipeline%20Portal/MarinerEastII/Consent%20Assessment%20of%20Civil%20Penalty.pdf" TargetMode="External"/><Relationship Id="rId147" Type="http://schemas.openxmlformats.org/officeDocument/2006/relationships/hyperlink" Target="https://www.ahs.dep.pa.gov/NewsRoomPublic/articleviewer.aspx?id=21921&amp;typeid=1" TargetMode="External"/><Relationship Id="rId168" Type="http://schemas.openxmlformats.org/officeDocument/2006/relationships/hyperlink" Target="https://echo.epa.gov/enforcement-case-report?id=06-2010-4881" TargetMode="External"/><Relationship Id="rId51" Type="http://schemas.openxmlformats.org/officeDocument/2006/relationships/hyperlink" Target="https://primis.phmsa.dot.gov/enforcement-data/case/120135021" TargetMode="External"/><Relationship Id="rId72" Type="http://schemas.openxmlformats.org/officeDocument/2006/relationships/hyperlink" Target="https://primis.phmsa.dot.gov/enforcement-data/case/420165034" TargetMode="External"/><Relationship Id="rId93" Type="http://schemas.openxmlformats.org/officeDocument/2006/relationships/hyperlink" Target="https://primis.phmsa.dot.gov/enforcement-data/case/320201005" TargetMode="External"/><Relationship Id="rId189" Type="http://schemas.openxmlformats.org/officeDocument/2006/relationships/hyperlink" Target="https://yosemite.epa.gov/OA/RHC/EPAAdmin.nsf/Filings/4D67A8DDB58FE724852588FA007AAC31/$File/3375.pdf" TargetMode="External"/><Relationship Id="rId3" Type="http://schemas.openxmlformats.org/officeDocument/2006/relationships/hyperlink" Target="https://primis.phmsa.dot.gov/enforcement-documents/320045030/320045030_Final%20Order_10142005.pdf" TargetMode="External"/><Relationship Id="rId214" Type="http://schemas.openxmlformats.org/officeDocument/2006/relationships/hyperlink" Target="https://echo.epa.gov/enforcement-case-report?id=PA000A0000E00000000254221" TargetMode="External"/><Relationship Id="rId235" Type="http://schemas.openxmlformats.org/officeDocument/2006/relationships/hyperlink" Target="https://www.documentcloud.org/documents/26206500-etmt-executed-cacp-11262024/" TargetMode="External"/><Relationship Id="rId256" Type="http://schemas.openxmlformats.org/officeDocument/2006/relationships/hyperlink" Target="https://web.archive.org/web/20240110183634/https:/www.justice.gov/enrd/media/1332336/dl?inline" TargetMode="External"/><Relationship Id="rId277" Type="http://schemas.openxmlformats.org/officeDocument/2006/relationships/hyperlink" Target="https://s3.amazonaws.com/fcmd/documents/documents/000/005/009/original/BP_Chevron_Exxon_Shell_Total_Valero_-_Vermont_MTBE_SETTLEMENT.pdf?1553095883" TargetMode="External"/><Relationship Id="rId116" Type="http://schemas.openxmlformats.org/officeDocument/2006/relationships/hyperlink" Target="https://www.ahs.dep.pa.gov/NewsRoomPublic/articleviewer.aspx?id=21922&amp;typeid=1" TargetMode="External"/><Relationship Id="rId137" Type="http://schemas.openxmlformats.org/officeDocument/2006/relationships/hyperlink" Target="https://www.gem.wiki/Mariner_East_2_NGL_Pipeline" TargetMode="External"/><Relationship Id="rId158" Type="http://schemas.openxmlformats.org/officeDocument/2006/relationships/hyperlink" Target="https://files.dep.state.pa.us/ProgramIntegration/PA%20Pipeline%20Portal/MarinerEastII/2023/SPLP_ME2_CACP_Exton_Library_Executed_070623.pdf" TargetMode="External"/><Relationship Id="rId20" Type="http://schemas.openxmlformats.org/officeDocument/2006/relationships/hyperlink" Target="https://primis.phmsa.dot.gov/enforcement-documents/320085002/320085002_Final%20Order_12162010.pdf" TargetMode="External"/><Relationship Id="rId41" Type="http://schemas.openxmlformats.org/officeDocument/2006/relationships/hyperlink" Target="https://primis.phmsa.dot.gov/enforcement-data/case/120125013" TargetMode="External"/><Relationship Id="rId62" Type="http://schemas.openxmlformats.org/officeDocument/2006/relationships/hyperlink" Target="https://primis.phmsa.dot.gov/enforcement-data/case/120185010" TargetMode="External"/><Relationship Id="rId83" Type="http://schemas.openxmlformats.org/officeDocument/2006/relationships/hyperlink" Target="https://primis.phmsa.dot.gov/enforcement-data/case/320191004" TargetMode="External"/><Relationship Id="rId179" Type="http://schemas.openxmlformats.org/officeDocument/2006/relationships/hyperlink" Target="https://www.epa.gov/enforcement/sunoco-pipeline-lp-clean-water-act-settlement-2017" TargetMode="External"/><Relationship Id="rId190" Type="http://schemas.openxmlformats.org/officeDocument/2006/relationships/hyperlink" Target="https://www.deq.louisiana.gov/assets/docs/General/Settlement_Agreements/2022/ETCTexas0076_Final.pdf" TargetMode="External"/><Relationship Id="rId204" Type="http://schemas.openxmlformats.org/officeDocument/2006/relationships/hyperlink" Target="https://www.documentcloud.org/documents/26206480-sunoco-executed-cacp-852003/" TargetMode="External"/><Relationship Id="rId225" Type="http://schemas.openxmlformats.org/officeDocument/2006/relationships/hyperlink" Target="https://www.documentcloud.org/documents/26206495-spmt-executed-cacp-3152019/" TargetMode="External"/><Relationship Id="rId246" Type="http://schemas.openxmlformats.org/officeDocument/2006/relationships/hyperlink" Target="https://echo.epa.gov/enforcement-case-report?activity_id=3601717473" TargetMode="External"/><Relationship Id="rId267" Type="http://schemas.openxmlformats.org/officeDocument/2006/relationships/hyperlink" Target="https://www.epa.gov/newsreleases/coordination-epa-aloha-petroleum-completes-improvements-oil-facility-maui" TargetMode="External"/><Relationship Id="rId106" Type="http://schemas.openxmlformats.org/officeDocument/2006/relationships/hyperlink" Target="https://primis.phmsa.dot.gov/enforcement-documents/42023027NOPV/42023027NOPV_Final%20Order_09222023_(22-239724).pdf" TargetMode="External"/><Relationship Id="rId127" Type="http://schemas.openxmlformats.org/officeDocument/2006/relationships/hyperlink" Target="https://www.ahs.dep.pa.gov/NewsRoomPublic/SearchResults.aspx?id=21456&amp;typeid=1" TargetMode="External"/><Relationship Id="rId10" Type="http://schemas.openxmlformats.org/officeDocument/2006/relationships/hyperlink" Target="https://primis.phmsa.dot.gov/enforcement-documents/320055024/320055024_Final%20Order_10122006.pdf" TargetMode="External"/><Relationship Id="rId31" Type="http://schemas.openxmlformats.org/officeDocument/2006/relationships/hyperlink" Target="https://primis.phmsa.dot.gov/enforcement-data/case/320095016" TargetMode="External"/><Relationship Id="rId52" Type="http://schemas.openxmlformats.org/officeDocument/2006/relationships/hyperlink" Target="https://primis.phmsa.dot.gov/enforcement-documents/420165009/420165009_Final%20Order_12072016.pdf" TargetMode="External"/><Relationship Id="rId73" Type="http://schemas.openxmlformats.org/officeDocument/2006/relationships/hyperlink" Target="https://www.energytransfer.com/crude-oil/" TargetMode="External"/><Relationship Id="rId94" Type="http://schemas.openxmlformats.org/officeDocument/2006/relationships/hyperlink" Target="https://primis.phmsa.dot.gov/enforcement-documents/32021009NOPV/32021009NOPV_Final%20Order_06092021_%2820-196716%29_text.pdf" TargetMode="External"/><Relationship Id="rId148" Type="http://schemas.openxmlformats.org/officeDocument/2006/relationships/hyperlink" Target="https://www.gem.wiki/Mariner_East_2_NGL_Pipeline" TargetMode="External"/><Relationship Id="rId169" Type="http://schemas.openxmlformats.org/officeDocument/2006/relationships/hyperlink" Target="https://www.epa.gov/enforcement/sunoco-pipeline-lp-clean-water-act-settlement" TargetMode="External"/><Relationship Id="rId4" Type="http://schemas.openxmlformats.org/officeDocument/2006/relationships/hyperlink" Target="https://primis.phmsa.dot.gov/enforcement-data/case/320045030" TargetMode="External"/><Relationship Id="rId180" Type="http://schemas.openxmlformats.org/officeDocument/2006/relationships/hyperlink" Target="https://echo.epa.gov/enforcement-case-report?activity_id=3601761604" TargetMode="External"/><Relationship Id="rId215" Type="http://schemas.openxmlformats.org/officeDocument/2006/relationships/hyperlink" Target="https://www.documentcloud.org/documents/26206473-sunoco-executed-cacp-152010/" TargetMode="External"/><Relationship Id="rId236" Type="http://schemas.openxmlformats.org/officeDocument/2006/relationships/hyperlink" Target="https://echo.epa.gov/enforcement-case-report?activity_id=3600146407" TargetMode="External"/><Relationship Id="rId257" Type="http://schemas.openxmlformats.org/officeDocument/2006/relationships/hyperlink" Target="https://www.justice.gov/archives/opa/pr/five-companies-agree-pay-72-million-settle-allegations-natural-resource-damages-watershed" TargetMode="External"/><Relationship Id="rId278" Type="http://schemas.openxmlformats.org/officeDocument/2006/relationships/hyperlink" Target="https://riag.ri.gov/press-releases/attorney-general-neronha-announces-multi-million-dollar-settlement-three-major-oil" TargetMode="External"/><Relationship Id="rId42" Type="http://schemas.openxmlformats.org/officeDocument/2006/relationships/hyperlink" Target="https://www.energytransfer.com/crude-oil/" TargetMode="External"/><Relationship Id="rId84" Type="http://schemas.openxmlformats.org/officeDocument/2006/relationships/hyperlink" Target="https://primis.phmsa.dot.gov/enforcement-documents/120205001/120205001_Final%20Order_05122020.pdf" TargetMode="External"/><Relationship Id="rId138" Type="http://schemas.openxmlformats.org/officeDocument/2006/relationships/hyperlink" Target="https://files.dep.state.pa.us/Newsroom/NewsroomPortalFiles/DEP-COA_Raystown_Lake_01-16-2020.pdf" TargetMode="External"/><Relationship Id="rId191" Type="http://schemas.openxmlformats.org/officeDocument/2006/relationships/hyperlink" Target="https://echo.epa.gov/enforcement-case-report?id=06-2023-3354" TargetMode="External"/><Relationship Id="rId205" Type="http://schemas.openxmlformats.org/officeDocument/2006/relationships/hyperlink" Target="https://echo.epa.gov/enforcement-case-report?id=PA000A0000E00000000196226" TargetMode="External"/><Relationship Id="rId247" Type="http://schemas.openxmlformats.org/officeDocument/2006/relationships/hyperlink" Target="https://www.documentcloud.org/documents/26206531-settlement-of-3202018-nov/" TargetMode="External"/><Relationship Id="rId107" Type="http://schemas.openxmlformats.org/officeDocument/2006/relationships/hyperlink" Target="https://primis.phmsa.dot.gov/enforcement-data/case/42023027NOPV" TargetMode="External"/><Relationship Id="rId11" Type="http://schemas.openxmlformats.org/officeDocument/2006/relationships/hyperlink" Target="https://primis.phmsa.dot.gov/enforcement-data/case/320055024" TargetMode="External"/><Relationship Id="rId53" Type="http://schemas.openxmlformats.org/officeDocument/2006/relationships/hyperlink" Target="https://primis.phmsa.dot.gov/enforcement-data/case/420165009" TargetMode="External"/><Relationship Id="rId149" Type="http://schemas.openxmlformats.org/officeDocument/2006/relationships/hyperlink" Target="https://files.dep.state.pa.us/ProgramIntegration/PA%20Pipeline%20Portal/MarinerEastII/2021/August_5_2021_CACP.pdf" TargetMode="External"/><Relationship Id="rId95" Type="http://schemas.openxmlformats.org/officeDocument/2006/relationships/hyperlink" Target="https://primis.phmsa.dot.gov/enforcement-data/case/32021009NOPV" TargetMode="External"/><Relationship Id="rId160" Type="http://schemas.openxmlformats.org/officeDocument/2006/relationships/hyperlink" Target="https://www.cerc.usgs.gov/orda_docs/DocHandler.ashx?task=get&amp;ID=423" TargetMode="External"/><Relationship Id="rId216" Type="http://schemas.openxmlformats.org/officeDocument/2006/relationships/hyperlink" Target="https://www.ahs.dep.pa.gov/NewsRoomPublic/SearchResults.aspx?id=14336&amp;typeid=1" TargetMode="External"/><Relationship Id="rId258" Type="http://schemas.openxmlformats.org/officeDocument/2006/relationships/hyperlink" Target="https://www.epa.gov/sites/default/files/2014-03/documents/sunocoinc.pdf" TargetMode="External"/><Relationship Id="rId22" Type="http://schemas.openxmlformats.org/officeDocument/2006/relationships/hyperlink" Target="https://primis.phmsa.dot.gov/enforcement-documents/120095003/120095003_FinalOrder_11252011.pdf" TargetMode="External"/><Relationship Id="rId64" Type="http://schemas.openxmlformats.org/officeDocument/2006/relationships/hyperlink" Target="https://primis.phmsa.dot.gov/enforcement-data/case/420175021" TargetMode="External"/><Relationship Id="rId118" Type="http://schemas.openxmlformats.org/officeDocument/2006/relationships/hyperlink" Target="https://www.ahs.dep.pa.gov/NewsRoomPublic/articleviewer.aspx?id=21984&amp;typeid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2"/>
  <sheetViews>
    <sheetView workbookViewId="0">
      <selection activeCell="B16" sqref="B16"/>
    </sheetView>
  </sheetViews>
  <sheetFormatPr baseColWidth="10" defaultColWidth="12.6640625" defaultRowHeight="15.75" customHeight="1" x14ac:dyDescent="0.15"/>
  <cols>
    <col min="1" max="1" width="37.6640625" customWidth="1"/>
    <col min="2" max="3" width="20.1640625" customWidth="1"/>
  </cols>
  <sheetData>
    <row r="1" spans="1:3" ht="15.75" customHeight="1" x14ac:dyDescent="0.15">
      <c r="A1" s="1" t="s">
        <v>0</v>
      </c>
    </row>
    <row r="3" spans="1:3" ht="15.75" customHeight="1" x14ac:dyDescent="0.15">
      <c r="B3" s="2" t="s">
        <v>1</v>
      </c>
      <c r="C3" s="2" t="s">
        <v>2</v>
      </c>
    </row>
    <row r="4" spans="1:3" ht="15.75" customHeight="1" x14ac:dyDescent="0.15">
      <c r="A4" s="3" t="s">
        <v>3</v>
      </c>
      <c r="B4" s="4">
        <f>SUM(Penalties!F:F)</f>
        <v>104751215.51000001</v>
      </c>
      <c r="C4" s="4">
        <f>SUM(Penalties!G:G)</f>
        <v>444514169.99000001</v>
      </c>
    </row>
    <row r="6" spans="1:3" ht="15.75" customHeight="1" x14ac:dyDescent="0.15">
      <c r="A6" s="3" t="s">
        <v>4</v>
      </c>
      <c r="B6" s="4">
        <f>SUMIF(Penalties!H:H,"PHMSA",Penalties!F:F)</f>
        <v>5937050</v>
      </c>
      <c r="C6" s="4">
        <f>SUMIF(Penalties!H:H,"PHMSA",Penalties!G:G)</f>
        <v>0</v>
      </c>
    </row>
    <row r="7" spans="1:3" ht="15.75" customHeight="1" x14ac:dyDescent="0.15">
      <c r="A7" s="3" t="s">
        <v>5</v>
      </c>
      <c r="B7" s="4">
        <f>SUMIFS(Penalties!F:F,Penalties!A:A,"&gt;=200",Penalties!A:A,"&lt;400")</f>
        <v>62741254.509999998</v>
      </c>
      <c r="C7" s="4">
        <f>SUMIFS(Penalties!G:G,Penalties!A:A,"&gt;=200",Penalties!A:A,"&lt;400")</f>
        <v>52615601.329999998</v>
      </c>
    </row>
    <row r="8" spans="1:3" ht="15.75" customHeight="1" x14ac:dyDescent="0.15">
      <c r="A8" s="5" t="s">
        <v>6</v>
      </c>
      <c r="B8" s="6">
        <f>SUMIFS(Penalties!F:F,Penalties!A:A,"&gt;=200",Penalties!A:A,"&lt;300")</f>
        <v>50136958</v>
      </c>
      <c r="C8" s="7"/>
    </row>
    <row r="9" spans="1:3" ht="15.75" customHeight="1" x14ac:dyDescent="0.15">
      <c r="A9" s="3" t="s">
        <v>7</v>
      </c>
      <c r="B9" s="4">
        <f>SUMIFS(Penalties!F:F,Penalties!A:A,"&gt;=400",Penalties!A:A,"&lt;500")</f>
        <v>17250311</v>
      </c>
      <c r="C9" s="4">
        <f>SUMIFS(Penalties!G:G,Penalties!A:A,"&gt;=400",Penalties!A:A,"&lt;500")</f>
        <v>298519327</v>
      </c>
    </row>
    <row r="10" spans="1:3" ht="15.75" customHeight="1" x14ac:dyDescent="0.15">
      <c r="A10" s="5" t="s">
        <v>8</v>
      </c>
      <c r="B10" s="8">
        <f>SUMIFS(Penalties!F:F,Penalties!C:C,"Marcus Hook Refinery",Penalties!A:A,"&lt;500",Penalties!E:E,"&gt;12/31/2004")</f>
        <v>2308094</v>
      </c>
      <c r="C10" s="8"/>
    </row>
    <row r="11" spans="1:3" ht="15.75" customHeight="1" x14ac:dyDescent="0.15">
      <c r="A11" s="5" t="s">
        <v>9</v>
      </c>
      <c r="B11" s="6">
        <f>SUMIFS(Penalties!F:F,Penalties!A:A,"&gt;=416",Penalties!A:A,"&lt;430")</f>
        <v>1179196</v>
      </c>
      <c r="C11" s="7"/>
    </row>
    <row r="12" spans="1:3" ht="15.75" customHeight="1" x14ac:dyDescent="0.15">
      <c r="A12" s="5" t="s">
        <v>10</v>
      </c>
      <c r="B12" s="8">
        <f>SUMIF(Penalties!C:C,"PES Refinery",Penalties!F:F)</f>
        <v>893367</v>
      </c>
      <c r="C12" s="8"/>
    </row>
    <row r="13" spans="1:3" ht="15.75" customHeight="1" x14ac:dyDescent="0.15">
      <c r="A13" s="3" t="s">
        <v>11</v>
      </c>
      <c r="B13" s="4">
        <f>SUMIFS(Penalties!F:F,Penalties!A:A,"&gt;=500",Penalties!A:A,"&lt;600")</f>
        <v>861500</v>
      </c>
      <c r="C13" s="4">
        <f>SUMIFS(Penalties!G:G,Penalties!A:A,"&gt;=500",Penalties!A:A,"&lt;600")</f>
        <v>0</v>
      </c>
    </row>
    <row r="14" spans="1:3" ht="15.75" customHeight="1" x14ac:dyDescent="0.15">
      <c r="A14" s="3" t="s">
        <v>12</v>
      </c>
      <c r="B14" s="4">
        <f>SUMIFS(Penalties!F:F,Penalties!A:A,"&gt;=600",Penalties!A:A,"&lt;700")</f>
        <v>0</v>
      </c>
      <c r="C14" s="4">
        <f>SUMIFS(Penalties!G:G,Penalties!A:A,"&gt;=600",Penalties!A:A,"&lt;700")</f>
        <v>64316666.659999996</v>
      </c>
    </row>
    <row r="15" spans="1:3" ht="15.75" customHeight="1" x14ac:dyDescent="0.15">
      <c r="A15" s="3" t="s">
        <v>13</v>
      </c>
      <c r="B15" s="4">
        <f>SUMIFS(Penalties!F:F,Penalties!A:A,"&gt;=700",Penalties!A:A,"&lt;800")</f>
        <v>15450000</v>
      </c>
      <c r="C15" s="4">
        <f>SUMIFS(Penalties!G:G,Penalties!A:A,"&gt;=700",Penalties!A:A,"&lt;800")</f>
        <v>25000000</v>
      </c>
    </row>
    <row r="16" spans="1:3" ht="15.75" customHeight="1" x14ac:dyDescent="0.15">
      <c r="A16" s="3" t="s">
        <v>14</v>
      </c>
      <c r="B16" s="4">
        <f>SUMIFS(Penalties!F:F,Penalties!A:A,"&gt;=800",Penalties!A:A,"&lt;900")</f>
        <v>2511100</v>
      </c>
      <c r="C16" s="4">
        <f>SUMIFS(Penalties!G:G,Penalties!A:A,"&gt;=800",Penalties!A:A,"&lt;900")</f>
        <v>4062575</v>
      </c>
    </row>
    <row r="19" spans="1:6" ht="15.75" customHeight="1" x14ac:dyDescent="0.15">
      <c r="A19" s="1" t="s">
        <v>15</v>
      </c>
    </row>
    <row r="20" spans="1:6" ht="15.75" customHeight="1" x14ac:dyDescent="0.15">
      <c r="A20" s="39" t="s">
        <v>16</v>
      </c>
      <c r="B20" s="38"/>
      <c r="C20" s="38"/>
      <c r="D20" s="38"/>
      <c r="E20" s="38"/>
      <c r="F20" s="38"/>
    </row>
    <row r="21" spans="1:6" ht="15.75" customHeight="1" x14ac:dyDescent="0.15">
      <c r="A21" s="39" t="s">
        <v>17</v>
      </c>
      <c r="B21" s="38"/>
      <c r="C21" s="38"/>
      <c r="D21" s="38"/>
      <c r="E21" s="38"/>
      <c r="F21" s="38"/>
    </row>
    <row r="22" spans="1:6" ht="15.75" customHeight="1" x14ac:dyDescent="0.15">
      <c r="A22" s="39" t="s">
        <v>18</v>
      </c>
      <c r="B22" s="38"/>
      <c r="C22" s="38"/>
      <c r="D22" s="38"/>
      <c r="E22" s="38"/>
      <c r="F22" s="38"/>
    </row>
    <row r="23" spans="1:6" ht="15.75" customHeight="1" x14ac:dyDescent="0.15">
      <c r="A23" s="39" t="s">
        <v>19</v>
      </c>
      <c r="B23" s="38"/>
      <c r="C23" s="38"/>
      <c r="D23" s="38"/>
      <c r="E23" s="38"/>
      <c r="F23" s="38"/>
    </row>
    <row r="24" spans="1:6" ht="15.75" customHeight="1" x14ac:dyDescent="0.15">
      <c r="A24" s="40" t="s">
        <v>20</v>
      </c>
      <c r="B24" s="38"/>
      <c r="C24" s="38"/>
      <c r="D24" s="38"/>
      <c r="E24" s="38"/>
      <c r="F24" s="38"/>
    </row>
    <row r="25" spans="1:6" ht="15.75" customHeight="1" x14ac:dyDescent="0.15">
      <c r="A25" s="39" t="s">
        <v>21</v>
      </c>
      <c r="B25" s="38"/>
      <c r="C25" s="38"/>
      <c r="D25" s="38"/>
      <c r="E25" s="38"/>
      <c r="F25" s="38"/>
    </row>
    <row r="26" spans="1:6" ht="15.75" customHeight="1" x14ac:dyDescent="0.15">
      <c r="A26" s="40" t="s">
        <v>22</v>
      </c>
      <c r="B26" s="38"/>
      <c r="C26" s="38"/>
      <c r="D26" s="38"/>
      <c r="E26" s="38"/>
      <c r="F26" s="38"/>
    </row>
    <row r="27" spans="1:6" ht="15.75" customHeight="1" x14ac:dyDescent="0.15">
      <c r="A27" s="39" t="s">
        <v>23</v>
      </c>
      <c r="B27" s="38"/>
      <c r="C27" s="38"/>
      <c r="D27" s="38"/>
      <c r="E27" s="38"/>
      <c r="F27" s="38"/>
    </row>
    <row r="28" spans="1:6" ht="15.75" customHeight="1" x14ac:dyDescent="0.15">
      <c r="A28" s="39" t="s">
        <v>24</v>
      </c>
      <c r="B28" s="38"/>
      <c r="C28" s="38"/>
      <c r="D28" s="38"/>
      <c r="E28" s="38"/>
      <c r="F28" s="38"/>
    </row>
    <row r="29" spans="1:6" ht="15.75" customHeight="1" x14ac:dyDescent="0.15">
      <c r="A29" s="39" t="s">
        <v>25</v>
      </c>
      <c r="B29" s="38"/>
      <c r="C29" s="38"/>
      <c r="D29" s="38"/>
      <c r="E29" s="38"/>
      <c r="F29" s="38"/>
    </row>
    <row r="30" spans="1:6" ht="15.75" customHeight="1" x14ac:dyDescent="0.15">
      <c r="A30" s="39" t="s">
        <v>26</v>
      </c>
      <c r="B30" s="38"/>
      <c r="C30" s="38"/>
      <c r="D30" s="38"/>
      <c r="E30" s="38"/>
      <c r="F30" s="38"/>
    </row>
    <row r="31" spans="1:6" ht="15.75" customHeight="1" x14ac:dyDescent="0.15">
      <c r="A31" s="39" t="s">
        <v>27</v>
      </c>
      <c r="B31" s="38"/>
      <c r="C31" s="38"/>
      <c r="D31" s="38"/>
      <c r="E31" s="38"/>
      <c r="F31" s="38"/>
    </row>
    <row r="32" spans="1:6" ht="15.75" customHeight="1" x14ac:dyDescent="0.15">
      <c r="A32" s="39" t="s">
        <v>28</v>
      </c>
      <c r="B32" s="38"/>
      <c r="C32" s="38"/>
      <c r="D32" s="38"/>
      <c r="E32" s="38"/>
      <c r="F32" s="3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135"/>
  <sheetViews>
    <sheetView tabSelected="1" workbookViewId="0">
      <pane xSplit="3" ySplit="1" topLeftCell="D59" activePane="bottomRight" state="frozen"/>
      <selection pane="topRight" activeCell="D1" sqref="D1"/>
      <selection pane="bottomLeft" activeCell="A2" sqref="A2"/>
      <selection pane="bottomRight" activeCell="B19" sqref="B19"/>
    </sheetView>
  </sheetViews>
  <sheetFormatPr baseColWidth="10" defaultColWidth="12.6640625" defaultRowHeight="15.75" customHeight="1" x14ac:dyDescent="0.15"/>
  <cols>
    <col min="1" max="1" width="7.6640625" customWidth="1"/>
    <col min="2" max="3" width="30.1640625" customWidth="1"/>
    <col min="4" max="4" width="8.6640625" customWidth="1"/>
    <col min="5" max="5" width="10.1640625" customWidth="1"/>
    <col min="6" max="6" width="11.33203125" customWidth="1"/>
    <col min="7" max="7" width="12.6640625" customWidth="1"/>
    <col min="8" max="8" width="20.33203125" customWidth="1"/>
    <col min="9" max="9" width="19.33203125" customWidth="1"/>
    <col min="10" max="10" width="22.5" customWidth="1"/>
    <col min="11" max="11" width="8.6640625" customWidth="1"/>
    <col min="12" max="12" width="16.6640625" customWidth="1"/>
  </cols>
  <sheetData>
    <row r="1" spans="1:12" ht="15.75" customHeight="1" x14ac:dyDescent="0.15">
      <c r="A1" s="9" t="s">
        <v>29</v>
      </c>
      <c r="B1" s="10" t="s">
        <v>30</v>
      </c>
      <c r="C1" s="10" t="s">
        <v>31</v>
      </c>
      <c r="D1" s="10" t="s">
        <v>32</v>
      </c>
      <c r="E1" s="11" t="s">
        <v>33</v>
      </c>
      <c r="F1" s="12" t="s">
        <v>34</v>
      </c>
      <c r="G1" s="12" t="s">
        <v>35</v>
      </c>
      <c r="H1" s="13" t="s">
        <v>36</v>
      </c>
      <c r="I1" s="13" t="s">
        <v>37</v>
      </c>
      <c r="J1" s="13" t="s">
        <v>38</v>
      </c>
      <c r="K1" s="13" t="s">
        <v>39</v>
      </c>
      <c r="L1" s="14" t="s">
        <v>40</v>
      </c>
    </row>
    <row r="2" spans="1:12" ht="15.75" customHeight="1" x14ac:dyDescent="0.15">
      <c r="A2" s="2">
        <v>100</v>
      </c>
      <c r="B2" s="15" t="s">
        <v>41</v>
      </c>
      <c r="C2" s="15"/>
      <c r="E2" s="16">
        <v>37795</v>
      </c>
      <c r="F2" s="17">
        <v>5000</v>
      </c>
      <c r="G2" s="17"/>
      <c r="H2" s="18" t="s">
        <v>42</v>
      </c>
      <c r="I2" s="19" t="s">
        <v>43</v>
      </c>
      <c r="J2" s="20" t="s">
        <v>44</v>
      </c>
      <c r="K2" s="21"/>
      <c r="L2" s="22"/>
    </row>
    <row r="3" spans="1:12" ht="15.75" customHeight="1" x14ac:dyDescent="0.15">
      <c r="A3" s="23">
        <v>101</v>
      </c>
      <c r="B3" s="15" t="s">
        <v>41</v>
      </c>
      <c r="C3" s="15"/>
      <c r="E3" s="24">
        <v>38639</v>
      </c>
      <c r="F3" s="17">
        <v>6200</v>
      </c>
      <c r="G3" s="17"/>
      <c r="H3" s="18" t="s">
        <v>42</v>
      </c>
      <c r="I3" s="25" t="s">
        <v>43</v>
      </c>
      <c r="J3" s="20" t="s">
        <v>44</v>
      </c>
      <c r="K3" s="21"/>
      <c r="L3" s="22"/>
    </row>
    <row r="4" spans="1:12" ht="15.75" customHeight="1" x14ac:dyDescent="0.15">
      <c r="A4" s="23">
        <v>102</v>
      </c>
      <c r="B4" s="15" t="s">
        <v>41</v>
      </c>
      <c r="C4" s="15" t="s">
        <v>45</v>
      </c>
      <c r="D4" s="2" t="s">
        <v>46</v>
      </c>
      <c r="E4" s="16">
        <v>38671</v>
      </c>
      <c r="F4" s="17">
        <v>11000</v>
      </c>
      <c r="G4" s="17"/>
      <c r="H4" s="18" t="s">
        <v>42</v>
      </c>
      <c r="I4" s="25" t="s">
        <v>43</v>
      </c>
      <c r="J4" s="20" t="s">
        <v>44</v>
      </c>
      <c r="K4" s="21"/>
      <c r="L4" s="22"/>
    </row>
    <row r="5" spans="1:12" ht="15.75" customHeight="1" x14ac:dyDescent="0.15">
      <c r="A5" s="2">
        <v>103</v>
      </c>
      <c r="B5" s="15" t="s">
        <v>47</v>
      </c>
      <c r="C5" s="26" t="s">
        <v>48</v>
      </c>
      <c r="D5" s="2" t="s">
        <v>49</v>
      </c>
      <c r="E5" s="16">
        <v>38720</v>
      </c>
      <c r="F5" s="17">
        <v>35000</v>
      </c>
      <c r="G5" s="17"/>
      <c r="H5" s="18" t="s">
        <v>42</v>
      </c>
      <c r="I5" s="25" t="s">
        <v>43</v>
      </c>
      <c r="J5" s="20" t="s">
        <v>44</v>
      </c>
      <c r="K5" s="21"/>
      <c r="L5" s="22"/>
    </row>
    <row r="6" spans="1:12" ht="15.75" customHeight="1" x14ac:dyDescent="0.15">
      <c r="A6" s="23">
        <v>104</v>
      </c>
      <c r="B6" s="15" t="s">
        <v>50</v>
      </c>
      <c r="D6" s="2" t="s">
        <v>51</v>
      </c>
      <c r="E6" s="16">
        <v>39002</v>
      </c>
      <c r="F6" s="17">
        <v>11750</v>
      </c>
      <c r="G6" s="17"/>
      <c r="H6" s="18" t="s">
        <v>42</v>
      </c>
      <c r="I6" s="25" t="s">
        <v>43</v>
      </c>
      <c r="J6" s="20" t="s">
        <v>44</v>
      </c>
      <c r="K6" s="21"/>
      <c r="L6" s="22"/>
    </row>
    <row r="7" spans="1:12" ht="15.75" customHeight="1" x14ac:dyDescent="0.15">
      <c r="A7" s="23">
        <v>105</v>
      </c>
      <c r="B7" s="15" t="s">
        <v>41</v>
      </c>
      <c r="C7" s="15"/>
      <c r="E7" s="16">
        <v>40021</v>
      </c>
      <c r="F7" s="17">
        <v>40000</v>
      </c>
      <c r="G7" s="17"/>
      <c r="H7" s="18" t="s">
        <v>42</v>
      </c>
      <c r="I7" s="19" t="s">
        <v>43</v>
      </c>
      <c r="J7" s="20" t="s">
        <v>44</v>
      </c>
      <c r="K7" s="21"/>
      <c r="L7" s="22"/>
    </row>
    <row r="8" spans="1:12" ht="15.75" customHeight="1" x14ac:dyDescent="0.15">
      <c r="A8" s="2">
        <v>106</v>
      </c>
      <c r="B8" s="15" t="s">
        <v>41</v>
      </c>
      <c r="C8" s="15"/>
      <c r="D8" s="2" t="s">
        <v>52</v>
      </c>
      <c r="E8" s="16">
        <v>40058</v>
      </c>
      <c r="F8" s="17">
        <v>150000</v>
      </c>
      <c r="G8" s="17"/>
      <c r="H8" s="18" t="s">
        <v>42</v>
      </c>
      <c r="I8" s="19" t="s">
        <v>43</v>
      </c>
      <c r="J8" s="20" t="s">
        <v>44</v>
      </c>
      <c r="K8" s="21"/>
      <c r="L8" s="22" t="s">
        <v>53</v>
      </c>
    </row>
    <row r="9" spans="1:12" ht="15.75" customHeight="1" x14ac:dyDescent="0.15">
      <c r="A9" s="23">
        <v>107</v>
      </c>
      <c r="B9" s="15" t="s">
        <v>41</v>
      </c>
      <c r="C9" s="15"/>
      <c r="D9" s="2" t="s">
        <v>46</v>
      </c>
      <c r="E9" s="16">
        <v>40346</v>
      </c>
      <c r="F9" s="17">
        <v>200000</v>
      </c>
      <c r="G9" s="17"/>
      <c r="H9" s="18" t="s">
        <v>42</v>
      </c>
      <c r="I9" s="25" t="s">
        <v>43</v>
      </c>
      <c r="J9" s="20" t="s">
        <v>44</v>
      </c>
      <c r="K9" s="21"/>
      <c r="L9" s="22"/>
    </row>
    <row r="10" spans="1:12" ht="15.75" customHeight="1" x14ac:dyDescent="0.15">
      <c r="A10" s="23">
        <v>108</v>
      </c>
      <c r="B10" s="15" t="s">
        <v>41</v>
      </c>
      <c r="C10" s="15"/>
      <c r="D10" s="2" t="s">
        <v>46</v>
      </c>
      <c r="E10" s="16">
        <v>40528</v>
      </c>
      <c r="F10" s="17">
        <v>119000</v>
      </c>
      <c r="G10" s="17"/>
      <c r="H10" s="18" t="s">
        <v>42</v>
      </c>
      <c r="I10" s="25" t="s">
        <v>43</v>
      </c>
      <c r="J10" s="20" t="s">
        <v>44</v>
      </c>
      <c r="K10" s="21"/>
      <c r="L10" s="22"/>
    </row>
    <row r="11" spans="1:12" ht="15.75" customHeight="1" x14ac:dyDescent="0.15">
      <c r="A11" s="2">
        <v>109</v>
      </c>
      <c r="B11" s="15" t="s">
        <v>41</v>
      </c>
      <c r="C11" s="15"/>
      <c r="D11" s="2" t="s">
        <v>54</v>
      </c>
      <c r="E11" s="16">
        <v>40528</v>
      </c>
      <c r="F11" s="17">
        <v>34000</v>
      </c>
      <c r="G11" s="17"/>
      <c r="H11" s="18" t="s">
        <v>42</v>
      </c>
      <c r="I11" s="19" t="s">
        <v>43</v>
      </c>
      <c r="J11" s="20" t="s">
        <v>44</v>
      </c>
      <c r="K11" s="21"/>
      <c r="L11" s="22"/>
    </row>
    <row r="12" spans="1:12" ht="15.75" customHeight="1" x14ac:dyDescent="0.15">
      <c r="A12" s="23">
        <v>110</v>
      </c>
      <c r="B12" s="15" t="s">
        <v>41</v>
      </c>
      <c r="C12" s="15"/>
      <c r="D12" s="2" t="s">
        <v>52</v>
      </c>
      <c r="E12" s="16">
        <v>40872</v>
      </c>
      <c r="F12" s="17">
        <v>232900</v>
      </c>
      <c r="G12" s="17"/>
      <c r="H12" s="18" t="s">
        <v>42</v>
      </c>
      <c r="I12" s="25" t="s">
        <v>43</v>
      </c>
      <c r="J12" s="20" t="s">
        <v>44</v>
      </c>
      <c r="K12" s="21"/>
      <c r="L12" s="22" t="s">
        <v>55</v>
      </c>
    </row>
    <row r="13" spans="1:12" ht="15.75" customHeight="1" x14ac:dyDescent="0.15">
      <c r="A13" s="23">
        <v>111</v>
      </c>
      <c r="B13" s="15" t="s">
        <v>56</v>
      </c>
      <c r="C13" s="26" t="s">
        <v>57</v>
      </c>
      <c r="D13" s="2" t="s">
        <v>46</v>
      </c>
      <c r="E13" s="16">
        <v>41122</v>
      </c>
      <c r="F13" s="17">
        <v>405000</v>
      </c>
      <c r="G13" s="17"/>
      <c r="H13" s="18" t="s">
        <v>42</v>
      </c>
      <c r="I13" s="25" t="s">
        <v>43</v>
      </c>
      <c r="J13" s="20" t="s">
        <v>44</v>
      </c>
      <c r="K13" s="21"/>
      <c r="L13" s="22" t="s">
        <v>58</v>
      </c>
    </row>
    <row r="14" spans="1:12" ht="15.75" customHeight="1" x14ac:dyDescent="0.15">
      <c r="A14" s="2">
        <v>112</v>
      </c>
      <c r="B14" s="15" t="s">
        <v>47</v>
      </c>
      <c r="C14" s="26" t="s">
        <v>48</v>
      </c>
      <c r="E14" s="16">
        <v>41151</v>
      </c>
      <c r="F14" s="17">
        <v>48700</v>
      </c>
      <c r="G14" s="17"/>
      <c r="H14" s="18" t="s">
        <v>42</v>
      </c>
      <c r="I14" s="25" t="s">
        <v>43</v>
      </c>
      <c r="J14" s="20" t="s">
        <v>44</v>
      </c>
      <c r="K14" s="21"/>
      <c r="L14" s="22"/>
    </row>
    <row r="15" spans="1:12" ht="15.75" customHeight="1" x14ac:dyDescent="0.15">
      <c r="A15" s="23">
        <v>113</v>
      </c>
      <c r="B15" s="15" t="s">
        <v>59</v>
      </c>
      <c r="C15" s="15"/>
      <c r="D15" s="2" t="s">
        <v>60</v>
      </c>
      <c r="E15" s="16">
        <v>41274</v>
      </c>
      <c r="F15" s="17">
        <v>32500</v>
      </c>
      <c r="G15" s="17"/>
      <c r="H15" s="18" t="s">
        <v>42</v>
      </c>
      <c r="I15" s="19" t="s">
        <v>43</v>
      </c>
      <c r="J15" s="20" t="s">
        <v>44</v>
      </c>
      <c r="K15" s="21"/>
      <c r="L15" s="22"/>
    </row>
    <row r="16" spans="1:12" ht="15.75" customHeight="1" x14ac:dyDescent="0.15">
      <c r="A16" s="23">
        <v>114</v>
      </c>
      <c r="B16" s="15" t="s">
        <v>41</v>
      </c>
      <c r="C16" s="15"/>
      <c r="D16" s="2" t="s">
        <v>52</v>
      </c>
      <c r="E16" s="16">
        <v>41438</v>
      </c>
      <c r="F16" s="17">
        <v>22500</v>
      </c>
      <c r="G16" s="17"/>
      <c r="H16" s="18" t="s">
        <v>42</v>
      </c>
      <c r="I16" s="27" t="s">
        <v>43</v>
      </c>
      <c r="J16" s="20" t="s">
        <v>44</v>
      </c>
      <c r="K16" s="21"/>
      <c r="L16" s="22" t="s">
        <v>61</v>
      </c>
    </row>
    <row r="17" spans="1:12" ht="15.75" customHeight="1" x14ac:dyDescent="0.15">
      <c r="A17" s="2">
        <v>115</v>
      </c>
      <c r="B17" s="15" t="s">
        <v>62</v>
      </c>
      <c r="C17" s="26" t="s">
        <v>63</v>
      </c>
      <c r="E17" s="16">
        <v>41508</v>
      </c>
      <c r="F17" s="17">
        <v>53200</v>
      </c>
      <c r="G17" s="17"/>
      <c r="H17" s="18" t="s">
        <v>42</v>
      </c>
      <c r="I17" s="25" t="s">
        <v>43</v>
      </c>
      <c r="J17" s="20" t="s">
        <v>44</v>
      </c>
      <c r="K17" s="21"/>
      <c r="L17" s="22"/>
    </row>
    <row r="18" spans="1:12" ht="15.75" customHeight="1" x14ac:dyDescent="0.15">
      <c r="A18" s="23">
        <v>116</v>
      </c>
      <c r="B18" s="15" t="s">
        <v>64</v>
      </c>
      <c r="C18" s="26" t="s">
        <v>65</v>
      </c>
      <c r="D18" s="2" t="s">
        <v>66</v>
      </c>
      <c r="E18" s="16">
        <v>41738</v>
      </c>
      <c r="F18" s="17">
        <v>92400</v>
      </c>
      <c r="G18" s="17"/>
      <c r="H18" s="18" t="s">
        <v>42</v>
      </c>
      <c r="I18" s="19" t="s">
        <v>43</v>
      </c>
      <c r="J18" s="20" t="s">
        <v>44</v>
      </c>
      <c r="K18" s="21"/>
      <c r="L18" s="22"/>
    </row>
    <row r="19" spans="1:12" ht="15.75" customHeight="1" x14ac:dyDescent="0.15">
      <c r="A19" s="23">
        <v>117</v>
      </c>
      <c r="B19" s="15" t="s">
        <v>67</v>
      </c>
      <c r="C19" s="15"/>
      <c r="D19" s="2" t="s">
        <v>68</v>
      </c>
      <c r="E19" s="16">
        <v>41878</v>
      </c>
      <c r="F19" s="17">
        <v>100000</v>
      </c>
      <c r="G19" s="17"/>
      <c r="H19" s="18" t="s">
        <v>42</v>
      </c>
      <c r="I19" s="19" t="s">
        <v>43</v>
      </c>
      <c r="J19" s="20" t="s">
        <v>44</v>
      </c>
      <c r="K19" s="21"/>
      <c r="L19" s="22" t="s">
        <v>69</v>
      </c>
    </row>
    <row r="20" spans="1:12" ht="15.75" customHeight="1" x14ac:dyDescent="0.15">
      <c r="A20" s="2">
        <v>118</v>
      </c>
      <c r="B20" s="15" t="s">
        <v>56</v>
      </c>
      <c r="C20" s="26" t="s">
        <v>57</v>
      </c>
      <c r="D20" s="2" t="s">
        <v>46</v>
      </c>
      <c r="E20" s="16">
        <v>42311</v>
      </c>
      <c r="F20" s="17">
        <v>141000</v>
      </c>
      <c r="G20" s="17"/>
      <c r="H20" s="18" t="s">
        <v>42</v>
      </c>
      <c r="I20" s="25" t="s">
        <v>43</v>
      </c>
      <c r="J20" s="20" t="s">
        <v>44</v>
      </c>
      <c r="K20" s="21"/>
      <c r="L20" s="22" t="s">
        <v>70</v>
      </c>
    </row>
    <row r="21" spans="1:12" ht="15.75" customHeight="1" x14ac:dyDescent="0.15">
      <c r="A21" s="23">
        <v>119</v>
      </c>
      <c r="B21" s="15" t="s">
        <v>41</v>
      </c>
      <c r="C21" s="15"/>
      <c r="D21" s="2" t="s">
        <v>52</v>
      </c>
      <c r="E21" s="16">
        <v>42382</v>
      </c>
      <c r="F21" s="17">
        <v>22300</v>
      </c>
      <c r="G21" s="17"/>
      <c r="H21" s="18" t="s">
        <v>42</v>
      </c>
      <c r="I21" s="27" t="s">
        <v>43</v>
      </c>
      <c r="J21" s="20" t="s">
        <v>44</v>
      </c>
      <c r="K21" s="21"/>
      <c r="L21" s="22"/>
    </row>
    <row r="22" spans="1:12" ht="15.75" customHeight="1" x14ac:dyDescent="0.15">
      <c r="A22" s="23">
        <v>120</v>
      </c>
      <c r="B22" s="15" t="s">
        <v>56</v>
      </c>
      <c r="C22" s="26" t="s">
        <v>57</v>
      </c>
      <c r="D22" s="2" t="s">
        <v>46</v>
      </c>
      <c r="E22" s="16">
        <v>42705</v>
      </c>
      <c r="F22" s="17">
        <v>207300</v>
      </c>
      <c r="G22" s="17"/>
      <c r="H22" s="18" t="s">
        <v>42</v>
      </c>
      <c r="I22" s="25" t="s">
        <v>43</v>
      </c>
      <c r="J22" s="20" t="s">
        <v>44</v>
      </c>
      <c r="K22" s="21"/>
      <c r="L22" s="22" t="s">
        <v>71</v>
      </c>
    </row>
    <row r="23" spans="1:12" ht="15.75" customHeight="1" x14ac:dyDescent="0.15">
      <c r="A23" s="2">
        <v>121</v>
      </c>
      <c r="B23" s="15" t="s">
        <v>41</v>
      </c>
      <c r="C23" s="15"/>
      <c r="D23" s="2" t="s">
        <v>52</v>
      </c>
      <c r="E23" s="16">
        <v>42706</v>
      </c>
      <c r="F23" s="17">
        <v>25900</v>
      </c>
      <c r="G23" s="17"/>
      <c r="H23" s="18" t="s">
        <v>42</v>
      </c>
      <c r="I23" s="19" t="s">
        <v>43</v>
      </c>
      <c r="J23" s="20" t="s">
        <v>44</v>
      </c>
      <c r="K23" s="21"/>
      <c r="L23" s="22"/>
    </row>
    <row r="24" spans="1:12" ht="15.75" customHeight="1" x14ac:dyDescent="0.15">
      <c r="A24" s="23">
        <v>122</v>
      </c>
      <c r="B24" s="15" t="s">
        <v>72</v>
      </c>
      <c r="C24" s="15"/>
      <c r="D24" s="2" t="s">
        <v>73</v>
      </c>
      <c r="E24" s="16">
        <v>42711</v>
      </c>
      <c r="F24" s="17">
        <v>24400</v>
      </c>
      <c r="G24" s="17"/>
      <c r="H24" s="18" t="s">
        <v>42</v>
      </c>
      <c r="I24" s="19" t="s">
        <v>43</v>
      </c>
      <c r="J24" s="20" t="s">
        <v>44</v>
      </c>
      <c r="K24" s="21"/>
      <c r="L24" s="22"/>
    </row>
    <row r="25" spans="1:12" ht="15.75" customHeight="1" x14ac:dyDescent="0.15">
      <c r="A25" s="23">
        <v>123</v>
      </c>
      <c r="B25" s="15" t="s">
        <v>41</v>
      </c>
      <c r="C25" s="15"/>
      <c r="D25" s="2" t="s">
        <v>46</v>
      </c>
      <c r="E25" s="16">
        <v>42993</v>
      </c>
      <c r="F25" s="17">
        <v>141700</v>
      </c>
      <c r="G25" s="17"/>
      <c r="H25" s="18" t="s">
        <v>42</v>
      </c>
      <c r="I25" s="25" t="s">
        <v>43</v>
      </c>
      <c r="J25" s="20" t="s">
        <v>44</v>
      </c>
      <c r="K25" s="21"/>
      <c r="L25" s="22"/>
    </row>
    <row r="26" spans="1:12" ht="15.75" customHeight="1" x14ac:dyDescent="0.15">
      <c r="A26" s="2">
        <v>124</v>
      </c>
      <c r="B26" s="15" t="s">
        <v>41</v>
      </c>
      <c r="C26" s="26" t="s">
        <v>74</v>
      </c>
      <c r="E26" s="16">
        <v>42993</v>
      </c>
      <c r="F26" s="17">
        <v>25900</v>
      </c>
      <c r="G26" s="17"/>
      <c r="H26" s="18" t="s">
        <v>42</v>
      </c>
      <c r="I26" s="19" t="s">
        <v>43</v>
      </c>
      <c r="J26" s="20" t="s">
        <v>44</v>
      </c>
      <c r="K26" s="21"/>
      <c r="L26" s="22"/>
    </row>
    <row r="27" spans="1:12" ht="15.75" customHeight="1" x14ac:dyDescent="0.15">
      <c r="A27" s="23">
        <v>125</v>
      </c>
      <c r="B27" s="15" t="s">
        <v>41</v>
      </c>
      <c r="C27" s="15"/>
      <c r="D27" s="2" t="s">
        <v>46</v>
      </c>
      <c r="E27" s="16">
        <v>43305</v>
      </c>
      <c r="F27" s="17">
        <v>163700</v>
      </c>
      <c r="G27" s="17"/>
      <c r="H27" s="18" t="s">
        <v>42</v>
      </c>
      <c r="I27" s="19" t="s">
        <v>43</v>
      </c>
      <c r="J27" s="20" t="s">
        <v>44</v>
      </c>
      <c r="K27" s="21"/>
      <c r="L27" s="22"/>
    </row>
    <row r="28" spans="1:12" ht="15.75" customHeight="1" x14ac:dyDescent="0.15">
      <c r="A28" s="23">
        <v>126</v>
      </c>
      <c r="B28" s="15" t="s">
        <v>41</v>
      </c>
      <c r="C28" s="15"/>
      <c r="D28" s="2" t="s">
        <v>75</v>
      </c>
      <c r="E28" s="16">
        <v>43361</v>
      </c>
      <c r="F28" s="17">
        <v>121200</v>
      </c>
      <c r="G28" s="17"/>
      <c r="H28" s="18" t="s">
        <v>42</v>
      </c>
      <c r="I28" s="25" t="s">
        <v>43</v>
      </c>
      <c r="J28" s="20" t="s">
        <v>44</v>
      </c>
      <c r="K28" s="21"/>
      <c r="L28" s="22"/>
    </row>
    <row r="29" spans="1:12" ht="15.75" customHeight="1" x14ac:dyDescent="0.15">
      <c r="A29" s="2">
        <v>127</v>
      </c>
      <c r="B29" s="15" t="s">
        <v>41</v>
      </c>
      <c r="C29" s="15"/>
      <c r="D29" s="2" t="s">
        <v>46</v>
      </c>
      <c r="E29" s="16">
        <v>43454</v>
      </c>
      <c r="F29" s="17">
        <v>90000</v>
      </c>
      <c r="G29" s="17"/>
      <c r="H29" s="18" t="s">
        <v>42</v>
      </c>
      <c r="I29" s="19" t="s">
        <v>43</v>
      </c>
      <c r="J29" s="20" t="s">
        <v>44</v>
      </c>
      <c r="K29" s="21"/>
      <c r="L29" s="22"/>
    </row>
    <row r="30" spans="1:12" ht="15.75" customHeight="1" x14ac:dyDescent="0.15">
      <c r="A30" s="23">
        <v>128</v>
      </c>
      <c r="B30" s="15" t="s">
        <v>47</v>
      </c>
      <c r="C30" s="26" t="s">
        <v>48</v>
      </c>
      <c r="E30" s="16">
        <v>43588</v>
      </c>
      <c r="F30" s="17">
        <v>23500</v>
      </c>
      <c r="G30" s="17"/>
      <c r="H30" s="18" t="s">
        <v>42</v>
      </c>
      <c r="I30" s="25" t="s">
        <v>43</v>
      </c>
      <c r="J30" s="20" t="s">
        <v>44</v>
      </c>
      <c r="K30" s="21"/>
      <c r="L30" s="22"/>
    </row>
    <row r="31" spans="1:12" ht="15.75" customHeight="1" x14ac:dyDescent="0.15">
      <c r="A31" s="23">
        <v>129</v>
      </c>
      <c r="B31" s="15" t="s">
        <v>76</v>
      </c>
      <c r="C31" s="15" t="s">
        <v>77</v>
      </c>
      <c r="D31" s="2" t="s">
        <v>46</v>
      </c>
      <c r="E31" s="16">
        <v>43588</v>
      </c>
      <c r="F31" s="17">
        <v>5400</v>
      </c>
      <c r="G31" s="17"/>
      <c r="H31" s="18" t="s">
        <v>42</v>
      </c>
      <c r="I31" s="28" t="s">
        <v>43</v>
      </c>
      <c r="J31" s="20" t="s">
        <v>44</v>
      </c>
      <c r="K31" s="21"/>
      <c r="L31" s="22"/>
    </row>
    <row r="32" spans="1:12" ht="15.75" customHeight="1" x14ac:dyDescent="0.15">
      <c r="A32" s="2">
        <v>130</v>
      </c>
      <c r="B32" s="15" t="s">
        <v>56</v>
      </c>
      <c r="C32" s="26" t="s">
        <v>57</v>
      </c>
      <c r="D32" s="2" t="s">
        <v>46</v>
      </c>
      <c r="E32" s="16">
        <v>43783</v>
      </c>
      <c r="F32" s="17">
        <v>251800</v>
      </c>
      <c r="G32" s="17"/>
      <c r="H32" s="18" t="s">
        <v>42</v>
      </c>
      <c r="I32" s="25" t="s">
        <v>43</v>
      </c>
      <c r="J32" s="20" t="s">
        <v>44</v>
      </c>
      <c r="K32" s="21"/>
      <c r="L32" s="22" t="s">
        <v>78</v>
      </c>
    </row>
    <row r="33" spans="1:12" ht="15.75" customHeight="1" x14ac:dyDescent="0.15">
      <c r="A33" s="23">
        <v>131</v>
      </c>
      <c r="B33" s="15" t="s">
        <v>41</v>
      </c>
      <c r="C33" s="26" t="s">
        <v>79</v>
      </c>
      <c r="D33" s="2" t="s">
        <v>46</v>
      </c>
      <c r="E33" s="16">
        <v>43784</v>
      </c>
      <c r="F33" s="17">
        <v>882600</v>
      </c>
      <c r="G33" s="17"/>
      <c r="H33" s="18" t="s">
        <v>42</v>
      </c>
      <c r="I33" s="25" t="s">
        <v>43</v>
      </c>
      <c r="J33" s="20" t="s">
        <v>44</v>
      </c>
      <c r="K33" s="21"/>
      <c r="L33" s="22"/>
    </row>
    <row r="34" spans="1:12" ht="15.75" customHeight="1" x14ac:dyDescent="0.15">
      <c r="A34" s="23">
        <v>132</v>
      </c>
      <c r="B34" s="15" t="s">
        <v>56</v>
      </c>
      <c r="C34" s="26" t="s">
        <v>57</v>
      </c>
      <c r="D34" s="2" t="s">
        <v>46</v>
      </c>
      <c r="E34" s="16">
        <v>43808</v>
      </c>
      <c r="F34" s="17">
        <v>1019200</v>
      </c>
      <c r="G34" s="17"/>
      <c r="H34" s="18" t="s">
        <v>42</v>
      </c>
      <c r="I34" s="25" t="s">
        <v>43</v>
      </c>
      <c r="J34" s="20" t="s">
        <v>44</v>
      </c>
      <c r="K34" s="21"/>
      <c r="L34" s="22" t="s">
        <v>70</v>
      </c>
    </row>
    <row r="35" spans="1:12" ht="15.75" customHeight="1" x14ac:dyDescent="0.15">
      <c r="A35" s="2">
        <v>133</v>
      </c>
      <c r="B35" s="15" t="s">
        <v>72</v>
      </c>
      <c r="C35" s="15" t="s">
        <v>80</v>
      </c>
      <c r="D35" s="2" t="s">
        <v>46</v>
      </c>
      <c r="E35" s="16">
        <v>43844</v>
      </c>
      <c r="F35" s="17">
        <v>73600</v>
      </c>
      <c r="G35" s="17"/>
      <c r="H35" s="18" t="s">
        <v>42</v>
      </c>
      <c r="I35" s="19" t="s">
        <v>43</v>
      </c>
      <c r="J35" s="20" t="s">
        <v>44</v>
      </c>
      <c r="K35" s="21"/>
      <c r="L35" s="22"/>
    </row>
    <row r="36" spans="1:12" ht="15.75" customHeight="1" x14ac:dyDescent="0.15">
      <c r="A36" s="23">
        <v>134</v>
      </c>
      <c r="B36" s="15" t="s">
        <v>64</v>
      </c>
      <c r="C36" s="26" t="s">
        <v>65</v>
      </c>
      <c r="E36" s="16">
        <v>43951</v>
      </c>
      <c r="F36" s="17">
        <v>12000</v>
      </c>
      <c r="G36" s="17"/>
      <c r="H36" s="18" t="s">
        <v>42</v>
      </c>
      <c r="I36" s="19" t="s">
        <v>43</v>
      </c>
      <c r="J36" s="20" t="s">
        <v>44</v>
      </c>
      <c r="K36" s="21"/>
      <c r="L36" s="22"/>
    </row>
    <row r="37" spans="1:12" ht="15.75" customHeight="1" x14ac:dyDescent="0.15">
      <c r="A37" s="23">
        <v>135</v>
      </c>
      <c r="B37" s="15" t="s">
        <v>41</v>
      </c>
      <c r="C37" s="15" t="s">
        <v>81</v>
      </c>
      <c r="D37" s="2" t="s">
        <v>52</v>
      </c>
      <c r="E37" s="16">
        <v>43963</v>
      </c>
      <c r="F37" s="17">
        <v>165100</v>
      </c>
      <c r="G37" s="17"/>
      <c r="H37" s="18" t="s">
        <v>42</v>
      </c>
      <c r="I37" s="25" t="s">
        <v>43</v>
      </c>
      <c r="J37" s="20" t="s">
        <v>44</v>
      </c>
      <c r="K37" s="21"/>
      <c r="L37" s="22"/>
    </row>
    <row r="38" spans="1:12" ht="15.75" customHeight="1" x14ac:dyDescent="0.15">
      <c r="A38" s="2">
        <v>136</v>
      </c>
      <c r="B38" s="15" t="s">
        <v>82</v>
      </c>
      <c r="C38" s="26" t="s">
        <v>83</v>
      </c>
      <c r="D38" s="2" t="s">
        <v>60</v>
      </c>
      <c r="E38" s="16">
        <v>43969</v>
      </c>
      <c r="F38" s="17">
        <v>50200</v>
      </c>
      <c r="G38" s="17"/>
      <c r="H38" s="18" t="s">
        <v>42</v>
      </c>
      <c r="I38" s="25" t="s">
        <v>43</v>
      </c>
      <c r="J38" s="20" t="s">
        <v>44</v>
      </c>
      <c r="K38" s="21"/>
      <c r="L38" s="22"/>
    </row>
    <row r="39" spans="1:12" ht="15.75" customHeight="1" x14ac:dyDescent="0.15">
      <c r="A39" s="23">
        <v>137</v>
      </c>
      <c r="B39" s="15" t="s">
        <v>50</v>
      </c>
      <c r="C39" s="15"/>
      <c r="D39" s="2" t="s">
        <v>84</v>
      </c>
      <c r="E39" s="16">
        <v>44077</v>
      </c>
      <c r="F39" s="17">
        <v>65800</v>
      </c>
      <c r="G39" s="17"/>
      <c r="H39" s="18" t="s">
        <v>42</v>
      </c>
      <c r="I39" s="19" t="s">
        <v>43</v>
      </c>
      <c r="J39" s="20" t="s">
        <v>44</v>
      </c>
      <c r="K39" s="21"/>
      <c r="L39" s="22"/>
    </row>
    <row r="40" spans="1:12" ht="15.75" customHeight="1" x14ac:dyDescent="0.15">
      <c r="A40" s="23">
        <v>138</v>
      </c>
      <c r="B40" s="15" t="s">
        <v>64</v>
      </c>
      <c r="C40" s="26" t="s">
        <v>65</v>
      </c>
      <c r="E40" s="16">
        <v>44169</v>
      </c>
      <c r="F40" s="17">
        <v>226500</v>
      </c>
      <c r="G40" s="17"/>
      <c r="H40" s="18" t="s">
        <v>42</v>
      </c>
      <c r="I40" s="25" t="s">
        <v>43</v>
      </c>
      <c r="J40" s="20" t="s">
        <v>44</v>
      </c>
      <c r="K40" s="21"/>
      <c r="L40" s="22"/>
    </row>
    <row r="41" spans="1:12" ht="15.75" customHeight="1" x14ac:dyDescent="0.15">
      <c r="A41" s="2">
        <v>139</v>
      </c>
      <c r="B41" s="15" t="s">
        <v>85</v>
      </c>
      <c r="C41" s="15" t="s">
        <v>86</v>
      </c>
      <c r="D41" s="2" t="s">
        <v>87</v>
      </c>
      <c r="E41" s="16">
        <v>44356</v>
      </c>
      <c r="F41" s="17">
        <v>32800</v>
      </c>
      <c r="G41" s="17"/>
      <c r="H41" s="18" t="s">
        <v>42</v>
      </c>
      <c r="I41" s="19" t="s">
        <v>43</v>
      </c>
      <c r="J41" s="20" t="s">
        <v>44</v>
      </c>
      <c r="K41" s="21"/>
      <c r="L41" s="22"/>
    </row>
    <row r="42" spans="1:12" ht="15.75" customHeight="1" x14ac:dyDescent="0.15">
      <c r="A42" s="23">
        <v>140</v>
      </c>
      <c r="B42" s="15" t="s">
        <v>88</v>
      </c>
      <c r="C42" s="15" t="s">
        <v>89</v>
      </c>
      <c r="D42" s="2" t="s">
        <v>90</v>
      </c>
      <c r="E42" s="16">
        <v>44572</v>
      </c>
      <c r="F42" s="17">
        <v>20000</v>
      </c>
      <c r="G42" s="17"/>
      <c r="H42" s="18" t="s">
        <v>42</v>
      </c>
      <c r="I42" s="25" t="s">
        <v>91</v>
      </c>
      <c r="J42" s="20" t="s">
        <v>44</v>
      </c>
      <c r="K42" s="21"/>
      <c r="L42" s="22"/>
    </row>
    <row r="43" spans="1:12" ht="15.75" customHeight="1" x14ac:dyDescent="0.15">
      <c r="A43" s="23">
        <v>141</v>
      </c>
      <c r="B43" s="15" t="s">
        <v>72</v>
      </c>
      <c r="C43" s="15" t="s">
        <v>80</v>
      </c>
      <c r="D43" s="2" t="s">
        <v>46</v>
      </c>
      <c r="E43" s="16">
        <v>44823</v>
      </c>
      <c r="F43" s="17">
        <v>57700</v>
      </c>
      <c r="G43" s="17"/>
      <c r="H43" s="18" t="s">
        <v>42</v>
      </c>
      <c r="I43" s="25" t="s">
        <v>43</v>
      </c>
      <c r="J43" s="20" t="s">
        <v>44</v>
      </c>
      <c r="K43" s="21"/>
      <c r="L43" s="22"/>
    </row>
    <row r="44" spans="1:12" ht="15.75" customHeight="1" x14ac:dyDescent="0.15">
      <c r="A44" s="2">
        <v>142</v>
      </c>
      <c r="B44" s="15" t="s">
        <v>92</v>
      </c>
      <c r="C44" s="26" t="s">
        <v>93</v>
      </c>
      <c r="D44" s="2" t="s">
        <v>94</v>
      </c>
      <c r="E44" s="16">
        <v>45037</v>
      </c>
      <c r="F44" s="17">
        <v>19300</v>
      </c>
      <c r="G44" s="17"/>
      <c r="H44" s="18" t="s">
        <v>42</v>
      </c>
      <c r="I44" s="19" t="s">
        <v>43</v>
      </c>
      <c r="J44" s="20" t="s">
        <v>44</v>
      </c>
      <c r="K44" s="21"/>
      <c r="L44" s="22" t="s">
        <v>95</v>
      </c>
    </row>
    <row r="45" spans="1:12" ht="15.75" customHeight="1" x14ac:dyDescent="0.15">
      <c r="A45" s="23">
        <v>143</v>
      </c>
      <c r="B45" s="15" t="s">
        <v>76</v>
      </c>
      <c r="C45" s="15"/>
      <c r="D45" s="2" t="s">
        <v>46</v>
      </c>
      <c r="E45" s="16">
        <v>45107</v>
      </c>
      <c r="F45" s="17">
        <v>22800</v>
      </c>
      <c r="G45" s="17"/>
      <c r="H45" s="18" t="s">
        <v>42</v>
      </c>
      <c r="I45" s="19" t="s">
        <v>43</v>
      </c>
      <c r="J45" s="20" t="s">
        <v>44</v>
      </c>
      <c r="K45" s="21"/>
      <c r="L45" s="22" t="s">
        <v>96</v>
      </c>
    </row>
    <row r="46" spans="1:12" ht="15.75" customHeight="1" x14ac:dyDescent="0.15">
      <c r="A46" s="23">
        <v>144</v>
      </c>
      <c r="B46" s="15" t="s">
        <v>97</v>
      </c>
      <c r="C46" s="26" t="s">
        <v>98</v>
      </c>
      <c r="D46" s="2" t="s">
        <v>99</v>
      </c>
      <c r="E46" s="16">
        <v>45191</v>
      </c>
      <c r="F46" s="17">
        <v>36800</v>
      </c>
      <c r="G46" s="17"/>
      <c r="H46" s="18" t="s">
        <v>42</v>
      </c>
      <c r="I46" s="19" t="s">
        <v>43</v>
      </c>
      <c r="J46" s="20" t="s">
        <v>44</v>
      </c>
      <c r="K46" s="21"/>
      <c r="L46" s="22"/>
    </row>
    <row r="47" spans="1:12" ht="15.75" customHeight="1" x14ac:dyDescent="0.15">
      <c r="A47" s="2">
        <v>145</v>
      </c>
      <c r="B47" s="15" t="s">
        <v>92</v>
      </c>
      <c r="C47" s="26" t="s">
        <v>93</v>
      </c>
      <c r="D47" s="2" t="s">
        <v>94</v>
      </c>
      <c r="E47" s="16">
        <v>45433</v>
      </c>
      <c r="F47" s="17">
        <v>409400</v>
      </c>
      <c r="G47" s="17"/>
      <c r="H47" s="18" t="s">
        <v>42</v>
      </c>
      <c r="I47" s="25" t="s">
        <v>43</v>
      </c>
      <c r="J47" s="20" t="s">
        <v>44</v>
      </c>
      <c r="K47" s="21"/>
      <c r="L47" s="22" t="s">
        <v>100</v>
      </c>
    </row>
    <row r="48" spans="1:12" ht="15.75" customHeight="1" x14ac:dyDescent="0.15">
      <c r="A48" s="23">
        <v>200</v>
      </c>
      <c r="B48" s="15" t="s">
        <v>101</v>
      </c>
      <c r="C48" s="26" t="s">
        <v>102</v>
      </c>
      <c r="D48" s="15" t="s">
        <v>52</v>
      </c>
      <c r="E48" s="16">
        <v>43833</v>
      </c>
      <c r="F48" s="17">
        <v>28611900</v>
      </c>
      <c r="G48" s="17">
        <v>2000000</v>
      </c>
      <c r="H48" s="18" t="s">
        <v>103</v>
      </c>
      <c r="I48" s="19" t="s">
        <v>91</v>
      </c>
      <c r="J48" s="20" t="s">
        <v>104</v>
      </c>
      <c r="K48" s="21"/>
      <c r="L48" s="22"/>
    </row>
    <row r="49" spans="1:12" ht="15.75" customHeight="1" x14ac:dyDescent="0.15">
      <c r="A49" s="23">
        <v>201</v>
      </c>
      <c r="B49" s="15" t="s">
        <v>101</v>
      </c>
      <c r="C49" s="26" t="s">
        <v>102</v>
      </c>
      <c r="D49" s="15" t="s">
        <v>52</v>
      </c>
      <c r="E49" s="16">
        <v>44253</v>
      </c>
      <c r="F49" s="17">
        <v>125000</v>
      </c>
      <c r="G49" s="17"/>
      <c r="H49" s="18" t="s">
        <v>103</v>
      </c>
      <c r="I49" s="29" t="s">
        <v>91</v>
      </c>
      <c r="J49" s="29" t="s">
        <v>105</v>
      </c>
      <c r="K49" s="15"/>
      <c r="L49" s="22"/>
    </row>
    <row r="50" spans="1:12" ht="15.75" customHeight="1" x14ac:dyDescent="0.15">
      <c r="A50" s="23">
        <v>202</v>
      </c>
      <c r="B50" s="15" t="s">
        <v>106</v>
      </c>
      <c r="C50" s="15" t="s">
        <v>107</v>
      </c>
      <c r="D50" s="15" t="s">
        <v>52</v>
      </c>
      <c r="E50" s="16">
        <v>44418</v>
      </c>
      <c r="F50" s="17">
        <v>140000</v>
      </c>
      <c r="G50" s="17"/>
      <c r="H50" s="18" t="s">
        <v>103</v>
      </c>
      <c r="I50" s="29" t="s">
        <v>91</v>
      </c>
      <c r="J50" s="29" t="s">
        <v>105</v>
      </c>
      <c r="K50" s="15"/>
      <c r="L50" s="22"/>
    </row>
    <row r="51" spans="1:12" ht="15.75" customHeight="1" x14ac:dyDescent="0.15">
      <c r="A51" s="23">
        <v>203</v>
      </c>
      <c r="B51" s="15" t="s">
        <v>101</v>
      </c>
      <c r="C51" s="26" t="s">
        <v>102</v>
      </c>
      <c r="D51" s="15" t="s">
        <v>52</v>
      </c>
      <c r="E51" s="16">
        <v>44518</v>
      </c>
      <c r="F51" s="17">
        <v>1000000</v>
      </c>
      <c r="G51" s="30">
        <v>975000</v>
      </c>
      <c r="H51" s="15" t="s">
        <v>108</v>
      </c>
      <c r="I51" s="29" t="s">
        <v>109</v>
      </c>
      <c r="J51" s="29" t="s">
        <v>105</v>
      </c>
      <c r="K51" s="15"/>
      <c r="L51" s="22"/>
    </row>
    <row r="52" spans="1:12" ht="15.75" customHeight="1" x14ac:dyDescent="0.15">
      <c r="A52" s="23">
        <v>210</v>
      </c>
      <c r="B52" s="15" t="s">
        <v>110</v>
      </c>
      <c r="C52" s="26" t="s">
        <v>74</v>
      </c>
      <c r="D52" s="15" t="s">
        <v>52</v>
      </c>
      <c r="E52" s="16">
        <v>43139</v>
      </c>
      <c r="F52" s="17">
        <v>12599326</v>
      </c>
      <c r="G52" s="17"/>
      <c r="H52" s="18" t="s">
        <v>103</v>
      </c>
      <c r="I52" s="29" t="s">
        <v>91</v>
      </c>
      <c r="J52" s="29" t="s">
        <v>104</v>
      </c>
      <c r="K52" s="15"/>
      <c r="L52" s="22"/>
    </row>
    <row r="53" spans="1:12" ht="13" x14ac:dyDescent="0.15">
      <c r="A53" s="23">
        <v>211</v>
      </c>
      <c r="B53" s="15" t="s">
        <v>110</v>
      </c>
      <c r="C53" s="26" t="s">
        <v>74</v>
      </c>
      <c r="D53" s="15" t="s">
        <v>52</v>
      </c>
      <c r="E53" s="16">
        <v>43217</v>
      </c>
      <c r="F53" s="17">
        <v>355622</v>
      </c>
      <c r="G53" s="17"/>
      <c r="H53" s="18" t="s">
        <v>103</v>
      </c>
      <c r="I53" s="29" t="s">
        <v>111</v>
      </c>
      <c r="J53" s="29" t="s">
        <v>105</v>
      </c>
      <c r="K53" s="15"/>
      <c r="L53" s="22"/>
    </row>
    <row r="54" spans="1:12" ht="13" x14ac:dyDescent="0.15">
      <c r="A54" s="23">
        <v>212</v>
      </c>
      <c r="B54" s="15" t="s">
        <v>110</v>
      </c>
      <c r="C54" s="26" t="s">
        <v>74</v>
      </c>
      <c r="D54" s="15" t="s">
        <v>52</v>
      </c>
      <c r="E54" s="16">
        <v>43318</v>
      </c>
      <c r="F54" s="17">
        <v>147747</v>
      </c>
      <c r="G54" s="17"/>
      <c r="H54" s="18" t="s">
        <v>103</v>
      </c>
      <c r="I54" s="29" t="s">
        <v>111</v>
      </c>
      <c r="J54" s="29" t="s">
        <v>105</v>
      </c>
      <c r="K54" s="15"/>
      <c r="L54" s="22"/>
    </row>
    <row r="55" spans="1:12" ht="13" x14ac:dyDescent="0.15">
      <c r="A55" s="23">
        <v>213</v>
      </c>
      <c r="B55" s="15" t="s">
        <v>110</v>
      </c>
      <c r="C55" s="26" t="s">
        <v>74</v>
      </c>
      <c r="D55" s="15" t="s">
        <v>52</v>
      </c>
      <c r="E55" s="16">
        <v>43697</v>
      </c>
      <c r="F55" s="17">
        <v>240840</v>
      </c>
      <c r="G55" s="17"/>
      <c r="H55" s="18" t="s">
        <v>103</v>
      </c>
      <c r="I55" s="29" t="s">
        <v>111</v>
      </c>
      <c r="J55" s="29" t="s">
        <v>105</v>
      </c>
      <c r="K55" s="15"/>
      <c r="L55" s="22"/>
    </row>
    <row r="56" spans="1:12" ht="13" x14ac:dyDescent="0.15">
      <c r="A56" s="23">
        <v>214</v>
      </c>
      <c r="B56" s="15" t="s">
        <v>110</v>
      </c>
      <c r="C56" s="26" t="s">
        <v>74</v>
      </c>
      <c r="D56" s="15" t="s">
        <v>52</v>
      </c>
      <c r="E56" s="16">
        <v>43698</v>
      </c>
      <c r="F56" s="17">
        <v>78621</v>
      </c>
      <c r="G56" s="17"/>
      <c r="H56" s="18" t="s">
        <v>103</v>
      </c>
      <c r="I56" s="29" t="s">
        <v>111</v>
      </c>
      <c r="J56" s="29" t="s">
        <v>105</v>
      </c>
      <c r="K56" s="15"/>
      <c r="L56" s="22"/>
    </row>
    <row r="57" spans="1:12" ht="13" x14ac:dyDescent="0.15">
      <c r="A57" s="23">
        <v>215</v>
      </c>
      <c r="B57" s="15" t="s">
        <v>110</v>
      </c>
      <c r="C57" s="26" t="s">
        <v>74</v>
      </c>
      <c r="D57" s="15" t="s">
        <v>52</v>
      </c>
      <c r="E57" s="16">
        <v>43833</v>
      </c>
      <c r="F57" s="17">
        <v>1956000</v>
      </c>
      <c r="G57" s="17">
        <v>1155000</v>
      </c>
      <c r="H57" s="18" t="s">
        <v>103</v>
      </c>
      <c r="I57" s="29" t="s">
        <v>91</v>
      </c>
      <c r="J57" s="29" t="s">
        <v>112</v>
      </c>
      <c r="K57" s="15"/>
      <c r="L57" s="22"/>
    </row>
    <row r="58" spans="1:12" ht="13" x14ac:dyDescent="0.15">
      <c r="A58" s="23">
        <v>216</v>
      </c>
      <c r="B58" s="15" t="s">
        <v>110</v>
      </c>
      <c r="C58" s="26" t="s">
        <v>74</v>
      </c>
      <c r="D58" s="15" t="s">
        <v>52</v>
      </c>
      <c r="E58" s="16">
        <v>44063</v>
      </c>
      <c r="F58" s="17">
        <v>355636</v>
      </c>
      <c r="G58" s="17"/>
      <c r="H58" s="18" t="s">
        <v>103</v>
      </c>
      <c r="I58" s="29" t="s">
        <v>111</v>
      </c>
      <c r="J58" s="29" t="s">
        <v>105</v>
      </c>
      <c r="K58" s="15"/>
      <c r="L58" s="22"/>
    </row>
    <row r="59" spans="1:12" ht="13" x14ac:dyDescent="0.15">
      <c r="A59" s="23">
        <v>217</v>
      </c>
      <c r="B59" s="15" t="s">
        <v>110</v>
      </c>
      <c r="C59" s="15" t="s">
        <v>81</v>
      </c>
      <c r="D59" s="15" t="s">
        <v>52</v>
      </c>
      <c r="E59" s="16">
        <v>44125</v>
      </c>
      <c r="F59" s="17">
        <v>200000</v>
      </c>
      <c r="G59" s="17"/>
      <c r="H59" s="15" t="s">
        <v>108</v>
      </c>
      <c r="I59" s="29" t="s">
        <v>109</v>
      </c>
      <c r="J59" s="29" t="s">
        <v>112</v>
      </c>
      <c r="K59" s="15"/>
      <c r="L59" s="22"/>
    </row>
    <row r="60" spans="1:12" ht="13" x14ac:dyDescent="0.15">
      <c r="A60" s="23">
        <v>218</v>
      </c>
      <c r="B60" s="15" t="s">
        <v>110</v>
      </c>
      <c r="C60" s="26" t="s">
        <v>74</v>
      </c>
      <c r="D60" s="15" t="s">
        <v>52</v>
      </c>
      <c r="E60" s="16">
        <v>44252</v>
      </c>
      <c r="F60" s="17">
        <v>497000</v>
      </c>
      <c r="G60" s="17">
        <v>25855</v>
      </c>
      <c r="H60" s="18" t="s">
        <v>103</v>
      </c>
      <c r="I60" s="29" t="s">
        <v>91</v>
      </c>
      <c r="J60" s="29" t="s">
        <v>105</v>
      </c>
      <c r="K60" s="15"/>
      <c r="L60" s="22"/>
    </row>
    <row r="61" spans="1:12" ht="13" x14ac:dyDescent="0.15">
      <c r="A61" s="23">
        <v>219</v>
      </c>
      <c r="B61" s="15" t="s">
        <v>110</v>
      </c>
      <c r="C61" s="26" t="s">
        <v>74</v>
      </c>
      <c r="D61" s="15" t="s">
        <v>52</v>
      </c>
      <c r="E61" s="16">
        <v>44424</v>
      </c>
      <c r="F61" s="17">
        <v>85666</v>
      </c>
      <c r="G61" s="17">
        <v>12424</v>
      </c>
      <c r="H61" s="18" t="s">
        <v>103</v>
      </c>
      <c r="I61" s="29" t="s">
        <v>111</v>
      </c>
      <c r="J61" s="29" t="s">
        <v>105</v>
      </c>
      <c r="K61" s="15"/>
      <c r="L61" s="22"/>
    </row>
    <row r="62" spans="1:12" ht="13" x14ac:dyDescent="0.15">
      <c r="A62" s="23">
        <v>220</v>
      </c>
      <c r="B62" s="15" t="s">
        <v>110</v>
      </c>
      <c r="C62" s="26" t="s">
        <v>74</v>
      </c>
      <c r="D62" s="15" t="s">
        <v>52</v>
      </c>
      <c r="E62" s="16">
        <v>44536</v>
      </c>
      <c r="F62" s="17">
        <v>341000</v>
      </c>
      <c r="G62" s="17">
        <v>4000000</v>
      </c>
      <c r="H62" s="18" t="s">
        <v>103</v>
      </c>
      <c r="I62" s="29" t="s">
        <v>111</v>
      </c>
      <c r="J62" s="29" t="s">
        <v>105</v>
      </c>
      <c r="K62" s="15"/>
      <c r="L62" s="22"/>
    </row>
    <row r="63" spans="1:12" ht="13" x14ac:dyDescent="0.15">
      <c r="A63" s="23">
        <v>221</v>
      </c>
      <c r="B63" s="15" t="s">
        <v>110</v>
      </c>
      <c r="C63" s="26" t="s">
        <v>74</v>
      </c>
      <c r="D63" s="31" t="s">
        <v>52</v>
      </c>
      <c r="E63" s="16">
        <v>45113</v>
      </c>
      <c r="F63" s="17">
        <v>390000</v>
      </c>
      <c r="G63" s="17"/>
      <c r="H63" s="18" t="s">
        <v>103</v>
      </c>
      <c r="I63" s="28" t="s">
        <v>111</v>
      </c>
      <c r="J63" s="29" t="s">
        <v>105</v>
      </c>
      <c r="K63" s="15"/>
      <c r="L63" s="22"/>
    </row>
    <row r="64" spans="1:12" ht="13" x14ac:dyDescent="0.15">
      <c r="A64" s="23">
        <v>222</v>
      </c>
      <c r="B64" s="15" t="s">
        <v>110</v>
      </c>
      <c r="C64" s="26" t="s">
        <v>74</v>
      </c>
      <c r="D64" s="31" t="s">
        <v>52</v>
      </c>
      <c r="E64" s="16">
        <v>45113</v>
      </c>
      <c r="F64" s="17">
        <v>270000</v>
      </c>
      <c r="G64" s="17"/>
      <c r="H64" s="18" t="s">
        <v>103</v>
      </c>
      <c r="I64" s="28" t="s">
        <v>111</v>
      </c>
      <c r="J64" s="29" t="s">
        <v>105</v>
      </c>
      <c r="K64" s="15"/>
      <c r="L64" s="22"/>
    </row>
    <row r="65" spans="1:12" ht="13" x14ac:dyDescent="0.15">
      <c r="A65" s="23">
        <v>230</v>
      </c>
      <c r="B65" s="22" t="s">
        <v>113</v>
      </c>
      <c r="C65" s="22" t="s">
        <v>114</v>
      </c>
      <c r="D65" s="22" t="s">
        <v>52</v>
      </c>
      <c r="E65" s="16">
        <v>38623</v>
      </c>
      <c r="F65" s="17">
        <v>2742600</v>
      </c>
      <c r="G65" s="17">
        <v>865000</v>
      </c>
      <c r="H65" s="22" t="s">
        <v>115</v>
      </c>
      <c r="I65" s="28" t="s">
        <v>91</v>
      </c>
      <c r="J65" s="32" t="s">
        <v>116</v>
      </c>
      <c r="K65" s="22"/>
      <c r="L65" s="22"/>
    </row>
    <row r="66" spans="1:12" ht="13" x14ac:dyDescent="0.15">
      <c r="A66" s="23">
        <v>300</v>
      </c>
      <c r="B66" s="15" t="s">
        <v>117</v>
      </c>
      <c r="C66" s="26" t="s">
        <v>48</v>
      </c>
      <c r="D66" s="15" t="s">
        <v>118</v>
      </c>
      <c r="E66" s="16">
        <v>38944</v>
      </c>
      <c r="F66" s="17">
        <v>2570000</v>
      </c>
      <c r="G66" s="17">
        <v>9085000</v>
      </c>
      <c r="H66" s="15" t="s">
        <v>119</v>
      </c>
      <c r="I66" s="29" t="s">
        <v>116</v>
      </c>
      <c r="J66" s="29" t="s">
        <v>105</v>
      </c>
      <c r="K66" s="15"/>
      <c r="L66" s="22"/>
    </row>
    <row r="67" spans="1:12" ht="13" x14ac:dyDescent="0.15">
      <c r="A67" s="23">
        <v>300</v>
      </c>
      <c r="B67" s="15" t="s">
        <v>120</v>
      </c>
      <c r="C67" s="15" t="s">
        <v>121</v>
      </c>
      <c r="D67" s="15" t="s">
        <v>46</v>
      </c>
      <c r="E67" s="16">
        <v>40089</v>
      </c>
      <c r="F67" s="17">
        <v>123220</v>
      </c>
      <c r="G67" s="17"/>
      <c r="H67" s="22" t="s">
        <v>122</v>
      </c>
      <c r="I67" s="29" t="s">
        <v>123</v>
      </c>
      <c r="J67" s="33"/>
      <c r="K67" s="15" t="s">
        <v>124</v>
      </c>
      <c r="L67" s="22"/>
    </row>
    <row r="68" spans="1:12" ht="13" x14ac:dyDescent="0.15">
      <c r="A68" s="23">
        <v>301</v>
      </c>
      <c r="B68" s="15" t="s">
        <v>125</v>
      </c>
      <c r="C68" s="26" t="s">
        <v>48</v>
      </c>
      <c r="D68" s="15" t="s">
        <v>126</v>
      </c>
      <c r="E68" s="16">
        <v>38944</v>
      </c>
      <c r="F68" s="17">
        <v>300000</v>
      </c>
      <c r="G68" s="17">
        <v>2226000</v>
      </c>
      <c r="H68" s="15" t="s">
        <v>127</v>
      </c>
      <c r="I68" s="29" t="s">
        <v>105</v>
      </c>
      <c r="J68" s="33"/>
      <c r="K68" s="15"/>
      <c r="L68" s="22"/>
    </row>
    <row r="69" spans="1:12" ht="13" x14ac:dyDescent="0.15">
      <c r="A69" s="23">
        <v>301</v>
      </c>
      <c r="B69" s="15" t="s">
        <v>110</v>
      </c>
      <c r="C69" s="15" t="s">
        <v>128</v>
      </c>
      <c r="D69" s="15" t="s">
        <v>129</v>
      </c>
      <c r="E69" s="16">
        <v>42562</v>
      </c>
      <c r="F69" s="17">
        <v>850000</v>
      </c>
      <c r="G69" s="17">
        <v>790000</v>
      </c>
      <c r="H69" s="15" t="s">
        <v>127</v>
      </c>
      <c r="I69" s="29" t="s">
        <v>116</v>
      </c>
      <c r="J69" s="29" t="s">
        <v>105</v>
      </c>
      <c r="K69" s="15" t="s">
        <v>130</v>
      </c>
      <c r="L69" s="22" t="s">
        <v>131</v>
      </c>
    </row>
    <row r="70" spans="1:12" ht="13" x14ac:dyDescent="0.15">
      <c r="A70" s="2">
        <v>302</v>
      </c>
      <c r="B70" s="15" t="s">
        <v>132</v>
      </c>
      <c r="C70" s="26" t="s">
        <v>83</v>
      </c>
      <c r="D70" s="15" t="s">
        <v>60</v>
      </c>
      <c r="E70" s="16">
        <v>42779</v>
      </c>
      <c r="F70" s="34">
        <v>0</v>
      </c>
      <c r="G70" s="17">
        <v>3881322.33</v>
      </c>
      <c r="H70" s="15" t="s">
        <v>133</v>
      </c>
      <c r="I70" s="28" t="s">
        <v>134</v>
      </c>
      <c r="J70" s="29" t="s">
        <v>135</v>
      </c>
      <c r="K70" s="15" t="s">
        <v>136</v>
      </c>
      <c r="L70" s="22"/>
    </row>
    <row r="71" spans="1:12" ht="13" x14ac:dyDescent="0.15">
      <c r="A71" s="23">
        <v>302</v>
      </c>
      <c r="B71" s="15" t="s">
        <v>117</v>
      </c>
      <c r="C71" s="26" t="s">
        <v>48</v>
      </c>
      <c r="D71" s="15" t="s">
        <v>118</v>
      </c>
      <c r="E71" s="16">
        <v>40966</v>
      </c>
      <c r="F71" s="17">
        <v>275000</v>
      </c>
      <c r="G71" s="17"/>
      <c r="H71" s="15" t="s">
        <v>137</v>
      </c>
      <c r="I71" s="29" t="s">
        <v>116</v>
      </c>
      <c r="J71" s="15" t="s">
        <v>138</v>
      </c>
      <c r="K71" s="15"/>
      <c r="L71" s="22" t="s">
        <v>139</v>
      </c>
    </row>
    <row r="72" spans="1:12" ht="13" x14ac:dyDescent="0.15">
      <c r="A72" s="23">
        <v>303</v>
      </c>
      <c r="B72" s="15" t="s">
        <v>117</v>
      </c>
      <c r="C72" s="26" t="s">
        <v>48</v>
      </c>
      <c r="D72" s="15" t="s">
        <v>140</v>
      </c>
      <c r="E72" s="16">
        <v>43495</v>
      </c>
      <c r="F72" s="17">
        <v>5436274</v>
      </c>
      <c r="G72" s="17">
        <v>27600000</v>
      </c>
      <c r="H72" s="15" t="s">
        <v>141</v>
      </c>
      <c r="I72" s="28" t="s">
        <v>116</v>
      </c>
      <c r="J72" s="29" t="s">
        <v>105</v>
      </c>
      <c r="K72" s="15"/>
      <c r="L72" s="22"/>
    </row>
    <row r="73" spans="1:12" ht="13" x14ac:dyDescent="0.15">
      <c r="A73" s="23">
        <v>303</v>
      </c>
      <c r="B73" s="15" t="s">
        <v>110</v>
      </c>
      <c r="C73" s="22" t="s">
        <v>142</v>
      </c>
      <c r="D73" s="22" t="s">
        <v>60</v>
      </c>
      <c r="E73" s="16">
        <v>42885</v>
      </c>
      <c r="F73" s="17">
        <v>990000</v>
      </c>
      <c r="G73" s="17"/>
      <c r="H73" s="22" t="s">
        <v>143</v>
      </c>
      <c r="I73" s="32" t="s">
        <v>116</v>
      </c>
      <c r="J73" s="32" t="s">
        <v>105</v>
      </c>
      <c r="K73" s="22"/>
      <c r="L73" s="22"/>
    </row>
    <row r="74" spans="1:12" ht="13" x14ac:dyDescent="0.15">
      <c r="A74" s="23">
        <v>304</v>
      </c>
      <c r="B74" s="22" t="s">
        <v>144</v>
      </c>
      <c r="C74" s="22" t="s">
        <v>145</v>
      </c>
      <c r="D74" s="22" t="s">
        <v>46</v>
      </c>
      <c r="E74" s="16">
        <v>43250</v>
      </c>
      <c r="F74" s="17">
        <v>158950</v>
      </c>
      <c r="G74" s="17"/>
      <c r="H74" s="22" t="s">
        <v>122</v>
      </c>
      <c r="I74" s="32" t="s">
        <v>116</v>
      </c>
      <c r="J74" s="32" t="s">
        <v>123</v>
      </c>
      <c r="K74" s="22"/>
      <c r="L74" s="22"/>
    </row>
    <row r="75" spans="1:12" ht="13" x14ac:dyDescent="0.15">
      <c r="A75" s="2">
        <v>305</v>
      </c>
      <c r="B75" s="22" t="s">
        <v>146</v>
      </c>
      <c r="C75" s="22" t="s">
        <v>147</v>
      </c>
      <c r="D75" s="22" t="s">
        <v>46</v>
      </c>
      <c r="E75" s="16">
        <v>43608</v>
      </c>
      <c r="F75" s="17">
        <v>175625</v>
      </c>
      <c r="G75" s="17"/>
      <c r="H75" s="22" t="s">
        <v>122</v>
      </c>
      <c r="I75" s="32" t="s">
        <v>116</v>
      </c>
      <c r="J75" s="32" t="s">
        <v>123</v>
      </c>
      <c r="K75" s="22"/>
      <c r="L75" s="22"/>
    </row>
    <row r="76" spans="1:12" ht="13" x14ac:dyDescent="0.15">
      <c r="A76" s="23">
        <v>306</v>
      </c>
      <c r="B76" s="22" t="s">
        <v>144</v>
      </c>
      <c r="C76" s="22" t="s">
        <v>145</v>
      </c>
      <c r="D76" s="22" t="s">
        <v>46</v>
      </c>
      <c r="E76" s="16">
        <v>43682</v>
      </c>
      <c r="F76" s="17">
        <v>144637</v>
      </c>
      <c r="G76" s="17"/>
      <c r="H76" s="22" t="s">
        <v>122</v>
      </c>
      <c r="I76" s="32" t="s">
        <v>116</v>
      </c>
      <c r="J76" s="32" t="s">
        <v>123</v>
      </c>
      <c r="K76" s="22"/>
      <c r="L76" s="22"/>
    </row>
    <row r="77" spans="1:12" ht="13" x14ac:dyDescent="0.15">
      <c r="A77" s="23">
        <v>307</v>
      </c>
      <c r="B77" s="15" t="s">
        <v>148</v>
      </c>
      <c r="C77" s="15" t="s">
        <v>149</v>
      </c>
      <c r="D77" s="15" t="s">
        <v>73</v>
      </c>
      <c r="E77" s="16">
        <v>44438</v>
      </c>
      <c r="F77" s="17">
        <v>1302347.51</v>
      </c>
      <c r="G77" s="17"/>
      <c r="H77" s="15" t="s">
        <v>150</v>
      </c>
      <c r="I77" s="29" t="s">
        <v>151</v>
      </c>
      <c r="J77" s="29" t="s">
        <v>105</v>
      </c>
      <c r="K77" s="15"/>
      <c r="L77" s="22"/>
    </row>
    <row r="78" spans="1:12" ht="13" x14ac:dyDescent="0.15">
      <c r="A78" s="2">
        <v>308</v>
      </c>
      <c r="B78" s="22" t="s">
        <v>152</v>
      </c>
      <c r="C78" s="22" t="s">
        <v>145</v>
      </c>
      <c r="D78" s="22" t="s">
        <v>46</v>
      </c>
      <c r="E78" s="16">
        <v>44872</v>
      </c>
      <c r="F78" s="17">
        <v>141243</v>
      </c>
      <c r="G78" s="17"/>
      <c r="H78" s="22" t="s">
        <v>143</v>
      </c>
      <c r="I78" s="32" t="s">
        <v>116</v>
      </c>
      <c r="J78" s="32" t="s">
        <v>91</v>
      </c>
      <c r="K78" s="22"/>
      <c r="L78" s="22"/>
    </row>
    <row r="79" spans="1:12" ht="13" x14ac:dyDescent="0.15">
      <c r="A79" s="23">
        <v>309</v>
      </c>
      <c r="B79" s="22" t="s">
        <v>148</v>
      </c>
      <c r="C79" s="22" t="s">
        <v>153</v>
      </c>
      <c r="D79" s="22" t="s">
        <v>126</v>
      </c>
      <c r="E79" s="16">
        <v>44932</v>
      </c>
      <c r="F79" s="17">
        <v>27000</v>
      </c>
      <c r="G79" s="17"/>
      <c r="H79" s="22" t="s">
        <v>154</v>
      </c>
      <c r="I79" s="32" t="s">
        <v>151</v>
      </c>
      <c r="J79" s="22"/>
      <c r="K79" s="22"/>
      <c r="L79" s="22"/>
    </row>
    <row r="80" spans="1:12" ht="13" x14ac:dyDescent="0.15">
      <c r="A80" s="23">
        <v>310</v>
      </c>
      <c r="B80" s="22" t="s">
        <v>148</v>
      </c>
      <c r="C80" s="22" t="s">
        <v>153</v>
      </c>
      <c r="D80" s="22" t="s">
        <v>126</v>
      </c>
      <c r="E80" s="16">
        <v>45197</v>
      </c>
      <c r="F80" s="17">
        <v>110000</v>
      </c>
      <c r="G80" s="17"/>
      <c r="H80" s="22" t="s">
        <v>143</v>
      </c>
      <c r="I80" s="32" t="s">
        <v>116</v>
      </c>
      <c r="J80" s="32" t="s">
        <v>155</v>
      </c>
      <c r="K80" s="22"/>
      <c r="L80" s="22"/>
    </row>
    <row r="81" spans="1:12" ht="13" x14ac:dyDescent="0.15">
      <c r="A81" s="23">
        <v>400</v>
      </c>
      <c r="B81" s="15" t="s">
        <v>156</v>
      </c>
      <c r="C81" s="15" t="s">
        <v>157</v>
      </c>
      <c r="D81" s="15" t="s">
        <v>158</v>
      </c>
      <c r="E81" s="16">
        <v>38519</v>
      </c>
      <c r="F81" s="17">
        <v>3000000</v>
      </c>
      <c r="G81" s="17">
        <v>288900000</v>
      </c>
      <c r="H81" s="15" t="s">
        <v>127</v>
      </c>
      <c r="I81" s="29" t="s">
        <v>105</v>
      </c>
      <c r="J81" s="29" t="s">
        <v>159</v>
      </c>
      <c r="K81" s="2" t="s">
        <v>160</v>
      </c>
      <c r="L81" s="22"/>
    </row>
    <row r="82" spans="1:12" ht="13" x14ac:dyDescent="0.15">
      <c r="A82" s="23">
        <v>401</v>
      </c>
      <c r="B82" s="15" t="s">
        <v>120</v>
      </c>
      <c r="C82" s="22" t="s">
        <v>161</v>
      </c>
      <c r="D82" s="22" t="s">
        <v>52</v>
      </c>
      <c r="E82" s="16">
        <v>37315</v>
      </c>
      <c r="F82" s="17">
        <v>28000</v>
      </c>
      <c r="G82" s="17">
        <v>237000</v>
      </c>
      <c r="H82" s="18" t="s">
        <v>103</v>
      </c>
      <c r="I82" s="29" t="s">
        <v>116</v>
      </c>
      <c r="J82" s="29" t="s">
        <v>162</v>
      </c>
      <c r="K82" s="15" t="s">
        <v>163</v>
      </c>
      <c r="L82" s="22"/>
    </row>
    <row r="83" spans="1:12" ht="13" x14ac:dyDescent="0.15">
      <c r="A83" s="23">
        <v>402</v>
      </c>
      <c r="B83" s="2" t="s">
        <v>164</v>
      </c>
      <c r="C83" s="15" t="s">
        <v>165</v>
      </c>
      <c r="D83" s="15" t="s">
        <v>166</v>
      </c>
      <c r="E83" s="16">
        <v>37407</v>
      </c>
      <c r="F83" s="17">
        <v>390000</v>
      </c>
      <c r="G83" s="17"/>
      <c r="H83" s="15" t="s">
        <v>167</v>
      </c>
      <c r="I83" s="29" t="s">
        <v>116</v>
      </c>
      <c r="J83" s="29" t="s">
        <v>168</v>
      </c>
      <c r="K83" s="15"/>
      <c r="L83" s="22"/>
    </row>
    <row r="84" spans="1:12" ht="13" x14ac:dyDescent="0.15">
      <c r="A84" s="23">
        <v>403</v>
      </c>
      <c r="B84" s="15" t="s">
        <v>156</v>
      </c>
      <c r="C84" s="15" t="s">
        <v>161</v>
      </c>
      <c r="D84" s="15" t="s">
        <v>52</v>
      </c>
      <c r="E84" s="16">
        <v>37500</v>
      </c>
      <c r="F84" s="17">
        <v>3465660</v>
      </c>
      <c r="G84" s="17"/>
      <c r="H84" s="18" t="s">
        <v>103</v>
      </c>
      <c r="I84" s="29" t="s">
        <v>169</v>
      </c>
      <c r="J84" s="29" t="s">
        <v>105</v>
      </c>
      <c r="K84" s="15" t="s">
        <v>163</v>
      </c>
      <c r="L84" s="22"/>
    </row>
    <row r="85" spans="1:12" ht="13" x14ac:dyDescent="0.15">
      <c r="A85" s="23">
        <v>404</v>
      </c>
      <c r="B85" s="15" t="s">
        <v>120</v>
      </c>
      <c r="C85" s="22" t="s">
        <v>161</v>
      </c>
      <c r="D85" s="22" t="s">
        <v>52</v>
      </c>
      <c r="E85" s="16">
        <v>37776</v>
      </c>
      <c r="F85" s="17">
        <v>226297</v>
      </c>
      <c r="G85" s="17"/>
      <c r="H85" s="18" t="s">
        <v>103</v>
      </c>
      <c r="I85" s="29" t="s">
        <v>116</v>
      </c>
      <c r="J85" s="29" t="s">
        <v>170</v>
      </c>
      <c r="K85" s="15" t="s">
        <v>163</v>
      </c>
      <c r="L85" s="22"/>
    </row>
    <row r="86" spans="1:12" ht="13" x14ac:dyDescent="0.15">
      <c r="A86" s="23">
        <v>405</v>
      </c>
      <c r="B86" s="15" t="s">
        <v>120</v>
      </c>
      <c r="C86" s="22" t="s">
        <v>161</v>
      </c>
      <c r="D86" s="22" t="s">
        <v>52</v>
      </c>
      <c r="E86" s="16">
        <v>37838</v>
      </c>
      <c r="F86" s="17">
        <v>700000</v>
      </c>
      <c r="G86" s="17"/>
      <c r="H86" s="18" t="s">
        <v>103</v>
      </c>
      <c r="I86" s="29" t="s">
        <v>116</v>
      </c>
      <c r="J86" s="29" t="s">
        <v>170</v>
      </c>
      <c r="K86" s="15" t="s">
        <v>163</v>
      </c>
      <c r="L86" s="22"/>
    </row>
    <row r="87" spans="1:12" ht="13" x14ac:dyDescent="0.15">
      <c r="A87" s="23">
        <v>406</v>
      </c>
      <c r="B87" s="15" t="s">
        <v>156</v>
      </c>
      <c r="C87" s="15" t="s">
        <v>161</v>
      </c>
      <c r="D87" s="15" t="s">
        <v>52</v>
      </c>
      <c r="E87" s="16">
        <v>38503</v>
      </c>
      <c r="F87" s="17">
        <v>588992</v>
      </c>
      <c r="G87" s="17">
        <v>236284</v>
      </c>
      <c r="H87" s="18" t="s">
        <v>103</v>
      </c>
      <c r="I87" s="29" t="s">
        <v>116</v>
      </c>
      <c r="J87" s="29" t="s">
        <v>170</v>
      </c>
      <c r="K87" s="15" t="s">
        <v>163</v>
      </c>
      <c r="L87" s="22"/>
    </row>
    <row r="88" spans="1:12" ht="13" x14ac:dyDescent="0.15">
      <c r="A88" s="23">
        <v>407</v>
      </c>
      <c r="B88" s="15" t="s">
        <v>156</v>
      </c>
      <c r="C88" s="15" t="s">
        <v>161</v>
      </c>
      <c r="D88" s="15" t="s">
        <v>52</v>
      </c>
      <c r="E88" s="16">
        <v>38650</v>
      </c>
      <c r="F88" s="17">
        <v>86420</v>
      </c>
      <c r="G88" s="17">
        <v>37310</v>
      </c>
      <c r="H88" s="18" t="s">
        <v>103</v>
      </c>
      <c r="I88" s="29" t="s">
        <v>105</v>
      </c>
      <c r="J88" s="29" t="s">
        <v>170</v>
      </c>
      <c r="K88" s="15" t="s">
        <v>163</v>
      </c>
      <c r="L88" s="22"/>
    </row>
    <row r="89" spans="1:12" ht="13" x14ac:dyDescent="0.15">
      <c r="A89" s="23">
        <v>408</v>
      </c>
      <c r="B89" s="15" t="s">
        <v>156</v>
      </c>
      <c r="C89" s="15" t="s">
        <v>161</v>
      </c>
      <c r="D89" s="15" t="s">
        <v>52</v>
      </c>
      <c r="E89" s="16">
        <v>39948</v>
      </c>
      <c r="F89" s="17">
        <v>762150</v>
      </c>
      <c r="G89" s="17"/>
      <c r="H89" s="18" t="s">
        <v>103</v>
      </c>
      <c r="I89" s="29" t="s">
        <v>105</v>
      </c>
      <c r="J89" s="29" t="s">
        <v>170</v>
      </c>
      <c r="K89" s="15" t="s">
        <v>163</v>
      </c>
      <c r="L89" s="22"/>
    </row>
    <row r="90" spans="1:12" ht="13" x14ac:dyDescent="0.15">
      <c r="A90" s="23">
        <v>409</v>
      </c>
      <c r="B90" s="15" t="s">
        <v>120</v>
      </c>
      <c r="C90" s="15" t="s">
        <v>161</v>
      </c>
      <c r="D90" s="15" t="s">
        <v>52</v>
      </c>
      <c r="E90" s="16">
        <v>40095</v>
      </c>
      <c r="F90" s="17">
        <v>148315</v>
      </c>
      <c r="G90" s="17">
        <v>15000</v>
      </c>
      <c r="H90" s="15" t="s">
        <v>143</v>
      </c>
      <c r="I90" s="29" t="s">
        <v>116</v>
      </c>
      <c r="J90" s="29" t="s">
        <v>105</v>
      </c>
      <c r="K90" s="15"/>
      <c r="L90" s="22"/>
    </row>
    <row r="91" spans="1:12" ht="13" x14ac:dyDescent="0.15">
      <c r="A91" s="23">
        <v>410</v>
      </c>
      <c r="B91" s="15" t="s">
        <v>120</v>
      </c>
      <c r="C91" s="15" t="s">
        <v>171</v>
      </c>
      <c r="D91" s="15" t="s">
        <v>52</v>
      </c>
      <c r="E91" s="16">
        <v>40179</v>
      </c>
      <c r="F91" s="17">
        <v>500000</v>
      </c>
      <c r="G91" s="17"/>
      <c r="H91" s="18" t="s">
        <v>103</v>
      </c>
      <c r="I91" s="29" t="s">
        <v>104</v>
      </c>
      <c r="J91" s="15"/>
      <c r="K91" s="15"/>
      <c r="L91" s="22"/>
    </row>
    <row r="92" spans="1:12" ht="13" x14ac:dyDescent="0.15">
      <c r="A92" s="23">
        <v>411</v>
      </c>
      <c r="B92" s="15" t="s">
        <v>156</v>
      </c>
      <c r="C92" s="15" t="s">
        <v>161</v>
      </c>
      <c r="D92" s="15" t="s">
        <v>52</v>
      </c>
      <c r="E92" s="16">
        <v>40183</v>
      </c>
      <c r="F92" s="17">
        <v>173310</v>
      </c>
      <c r="G92" s="17"/>
      <c r="H92" s="18" t="s">
        <v>103</v>
      </c>
      <c r="I92" s="32" t="s">
        <v>116</v>
      </c>
      <c r="J92" s="32" t="s">
        <v>170</v>
      </c>
      <c r="K92" s="15" t="s">
        <v>163</v>
      </c>
      <c r="L92" s="22"/>
    </row>
    <row r="93" spans="1:12" ht="13" x14ac:dyDescent="0.15">
      <c r="A93" s="23">
        <v>412</v>
      </c>
      <c r="B93" s="15" t="s">
        <v>120</v>
      </c>
      <c r="C93" s="15" t="s">
        <v>161</v>
      </c>
      <c r="D93" s="15" t="s">
        <v>52</v>
      </c>
      <c r="E93" s="16">
        <v>40442</v>
      </c>
      <c r="F93" s="17">
        <v>130000</v>
      </c>
      <c r="G93" s="17"/>
      <c r="H93" s="18" t="s">
        <v>103</v>
      </c>
      <c r="I93" s="29" t="s">
        <v>105</v>
      </c>
      <c r="J93" s="29" t="s">
        <v>170</v>
      </c>
      <c r="K93" s="15" t="s">
        <v>163</v>
      </c>
      <c r="L93" s="22"/>
    </row>
    <row r="94" spans="1:12" ht="13" x14ac:dyDescent="0.15">
      <c r="A94" s="23">
        <v>413</v>
      </c>
      <c r="B94" s="15" t="s">
        <v>120</v>
      </c>
      <c r="C94" s="22" t="s">
        <v>161</v>
      </c>
      <c r="D94" s="22" t="s">
        <v>52</v>
      </c>
      <c r="E94" s="16">
        <v>40786</v>
      </c>
      <c r="F94" s="17">
        <v>295612</v>
      </c>
      <c r="G94" s="17"/>
      <c r="H94" s="18" t="s">
        <v>103</v>
      </c>
      <c r="I94" s="29" t="s">
        <v>116</v>
      </c>
      <c r="J94" s="29" t="s">
        <v>170</v>
      </c>
      <c r="K94" s="15" t="s">
        <v>163</v>
      </c>
      <c r="L94" s="22"/>
    </row>
    <row r="95" spans="1:12" ht="13" x14ac:dyDescent="0.15">
      <c r="A95" s="23">
        <v>414</v>
      </c>
      <c r="B95" s="15" t="s">
        <v>120</v>
      </c>
      <c r="C95" s="22" t="s">
        <v>161</v>
      </c>
      <c r="D95" s="22" t="s">
        <v>52</v>
      </c>
      <c r="E95" s="16">
        <v>41074</v>
      </c>
      <c r="F95" s="17">
        <v>123295</v>
      </c>
      <c r="G95" s="17"/>
      <c r="H95" s="18" t="s">
        <v>103</v>
      </c>
      <c r="I95" s="29" t="s">
        <v>116</v>
      </c>
      <c r="J95" s="29" t="s">
        <v>170</v>
      </c>
      <c r="K95" s="15" t="s">
        <v>163</v>
      </c>
      <c r="L95" s="22"/>
    </row>
    <row r="96" spans="1:12" ht="13" x14ac:dyDescent="0.15">
      <c r="A96" s="23">
        <v>415</v>
      </c>
      <c r="B96" s="2" t="s">
        <v>172</v>
      </c>
      <c r="C96" s="15" t="s">
        <v>165</v>
      </c>
      <c r="D96" s="15" t="s">
        <v>166</v>
      </c>
      <c r="E96" s="16">
        <v>43175</v>
      </c>
      <c r="F96" s="17">
        <v>600000</v>
      </c>
      <c r="G96" s="17">
        <v>150000</v>
      </c>
      <c r="H96" s="15" t="s">
        <v>167</v>
      </c>
      <c r="I96" s="28" t="s">
        <v>105</v>
      </c>
      <c r="J96" s="29" t="s">
        <v>116</v>
      </c>
      <c r="K96" s="15"/>
      <c r="L96" s="22"/>
    </row>
    <row r="97" spans="1:12" ht="13" x14ac:dyDescent="0.15">
      <c r="A97" s="23">
        <v>416</v>
      </c>
      <c r="B97" s="15" t="s">
        <v>173</v>
      </c>
      <c r="C97" s="15" t="s">
        <v>174</v>
      </c>
      <c r="D97" s="15" t="s">
        <v>52</v>
      </c>
      <c r="E97" s="16">
        <v>43539</v>
      </c>
      <c r="F97" s="17">
        <v>110000</v>
      </c>
      <c r="G97" s="17"/>
      <c r="H97" s="18" t="s">
        <v>103</v>
      </c>
      <c r="I97" s="29" t="s">
        <v>116</v>
      </c>
      <c r="J97" s="29" t="s">
        <v>170</v>
      </c>
      <c r="K97" s="15" t="s">
        <v>163</v>
      </c>
      <c r="L97" s="22"/>
    </row>
    <row r="98" spans="1:12" ht="13" x14ac:dyDescent="0.15">
      <c r="A98" s="23">
        <v>417</v>
      </c>
      <c r="B98" s="15" t="s">
        <v>175</v>
      </c>
      <c r="C98" s="15" t="s">
        <v>176</v>
      </c>
      <c r="D98" s="15" t="s">
        <v>52</v>
      </c>
      <c r="E98" s="16">
        <v>43917</v>
      </c>
      <c r="F98" s="17">
        <v>304700</v>
      </c>
      <c r="G98" s="17"/>
      <c r="H98" s="18" t="s">
        <v>103</v>
      </c>
      <c r="I98" s="29" t="s">
        <v>116</v>
      </c>
      <c r="J98" s="29" t="s">
        <v>177</v>
      </c>
      <c r="K98" s="15"/>
      <c r="L98" s="22"/>
    </row>
    <row r="99" spans="1:12" ht="13" x14ac:dyDescent="0.15">
      <c r="A99" s="23">
        <v>418</v>
      </c>
      <c r="B99" s="15" t="s">
        <v>175</v>
      </c>
      <c r="C99" s="15" t="s">
        <v>176</v>
      </c>
      <c r="D99" s="15" t="s">
        <v>52</v>
      </c>
      <c r="E99" s="16">
        <v>44504</v>
      </c>
      <c r="F99" s="17">
        <v>301105</v>
      </c>
      <c r="G99" s="17"/>
      <c r="H99" s="18" t="s">
        <v>103</v>
      </c>
      <c r="I99" s="29" t="s">
        <v>116</v>
      </c>
      <c r="J99" s="29" t="s">
        <v>177</v>
      </c>
      <c r="K99" s="15"/>
      <c r="L99" s="22"/>
    </row>
    <row r="100" spans="1:12" ht="13" x14ac:dyDescent="0.15">
      <c r="A100" s="23">
        <v>419</v>
      </c>
      <c r="B100" s="15" t="s">
        <v>175</v>
      </c>
      <c r="C100" s="15" t="s">
        <v>176</v>
      </c>
      <c r="D100" s="15" t="s">
        <v>52</v>
      </c>
      <c r="E100" s="16">
        <v>44816</v>
      </c>
      <c r="F100" s="17">
        <v>119475</v>
      </c>
      <c r="G100" s="17"/>
      <c r="H100" s="18" t="s">
        <v>103</v>
      </c>
      <c r="I100" s="29" t="s">
        <v>116</v>
      </c>
      <c r="J100" s="29" t="s">
        <v>177</v>
      </c>
      <c r="K100" s="15"/>
      <c r="L100" s="22"/>
    </row>
    <row r="101" spans="1:12" ht="13" x14ac:dyDescent="0.15">
      <c r="A101" s="23">
        <v>420</v>
      </c>
      <c r="B101" s="15" t="s">
        <v>175</v>
      </c>
      <c r="C101" s="15" t="s">
        <v>176</v>
      </c>
      <c r="D101" s="15" t="s">
        <v>52</v>
      </c>
      <c r="E101" s="16">
        <v>45181</v>
      </c>
      <c r="F101" s="17">
        <v>234696</v>
      </c>
      <c r="G101" s="17"/>
      <c r="H101" s="18" t="s">
        <v>103</v>
      </c>
      <c r="I101" s="29" t="s">
        <v>116</v>
      </c>
      <c r="J101" s="29" t="s">
        <v>177</v>
      </c>
      <c r="K101" s="15"/>
      <c r="L101" s="22"/>
    </row>
    <row r="102" spans="1:12" ht="13" x14ac:dyDescent="0.15">
      <c r="A102" s="23">
        <v>421</v>
      </c>
      <c r="B102" s="15" t="s">
        <v>175</v>
      </c>
      <c r="C102" s="15" t="s">
        <v>176</v>
      </c>
      <c r="D102" s="15" t="s">
        <v>52</v>
      </c>
      <c r="E102" s="16">
        <v>45622</v>
      </c>
      <c r="F102" s="17">
        <v>109220</v>
      </c>
      <c r="G102" s="17"/>
      <c r="H102" s="18" t="s">
        <v>103</v>
      </c>
      <c r="I102" s="29" t="s">
        <v>116</v>
      </c>
      <c r="J102" s="29" t="s">
        <v>170</v>
      </c>
      <c r="K102" s="15"/>
      <c r="L102" s="15"/>
    </row>
    <row r="103" spans="1:12" ht="13" x14ac:dyDescent="0.15">
      <c r="A103" s="23">
        <v>430</v>
      </c>
      <c r="B103" s="15" t="s">
        <v>178</v>
      </c>
      <c r="C103" s="15" t="s">
        <v>179</v>
      </c>
      <c r="D103" s="15" t="s">
        <v>52</v>
      </c>
      <c r="E103" s="16">
        <v>42039</v>
      </c>
      <c r="F103" s="17">
        <v>152750</v>
      </c>
      <c r="G103" s="17"/>
      <c r="H103" s="18" t="s">
        <v>103</v>
      </c>
      <c r="I103" s="29" t="s">
        <v>116</v>
      </c>
      <c r="J103" s="29" t="s">
        <v>180</v>
      </c>
      <c r="K103" s="15" t="s">
        <v>181</v>
      </c>
      <c r="L103" s="22"/>
    </row>
    <row r="104" spans="1:12" ht="13" x14ac:dyDescent="0.15">
      <c r="A104" s="23">
        <v>431</v>
      </c>
      <c r="B104" s="15" t="s">
        <v>178</v>
      </c>
      <c r="C104" s="15" t="s">
        <v>179</v>
      </c>
      <c r="D104" s="15" t="s">
        <v>52</v>
      </c>
      <c r="E104" s="16">
        <v>42177</v>
      </c>
      <c r="F104" s="17">
        <v>150000</v>
      </c>
      <c r="G104" s="17">
        <v>50000</v>
      </c>
      <c r="H104" s="18" t="s">
        <v>103</v>
      </c>
      <c r="I104" s="29" t="s">
        <v>116</v>
      </c>
      <c r="J104" s="29" t="s">
        <v>182</v>
      </c>
      <c r="K104" s="15" t="s">
        <v>163</v>
      </c>
      <c r="L104" s="22"/>
    </row>
    <row r="105" spans="1:12" ht="13" x14ac:dyDescent="0.15">
      <c r="A105" s="23">
        <v>432</v>
      </c>
      <c r="B105" s="15" t="s">
        <v>178</v>
      </c>
      <c r="C105" s="15" t="s">
        <v>179</v>
      </c>
      <c r="D105" s="15" t="s">
        <v>52</v>
      </c>
      <c r="E105" s="16">
        <v>42304</v>
      </c>
      <c r="F105" s="17">
        <v>169537</v>
      </c>
      <c r="G105" s="17"/>
      <c r="H105" s="18" t="s">
        <v>103</v>
      </c>
      <c r="I105" s="29" t="s">
        <v>116</v>
      </c>
      <c r="J105" s="29" t="s">
        <v>180</v>
      </c>
      <c r="K105" s="15" t="s">
        <v>181</v>
      </c>
      <c r="L105" s="22"/>
    </row>
    <row r="106" spans="1:12" ht="13" x14ac:dyDescent="0.15">
      <c r="A106" s="23">
        <v>433</v>
      </c>
      <c r="B106" s="15" t="s">
        <v>178</v>
      </c>
      <c r="C106" s="15" t="s">
        <v>179</v>
      </c>
      <c r="D106" s="15" t="s">
        <v>52</v>
      </c>
      <c r="E106" s="16">
        <v>42725</v>
      </c>
      <c r="F106" s="17">
        <v>100000</v>
      </c>
      <c r="G106" s="17">
        <v>50000</v>
      </c>
      <c r="H106" s="18" t="s">
        <v>143</v>
      </c>
      <c r="I106" s="29" t="s">
        <v>116</v>
      </c>
      <c r="J106" s="29" t="s">
        <v>91</v>
      </c>
      <c r="K106" s="15"/>
      <c r="L106" s="22"/>
    </row>
    <row r="107" spans="1:12" ht="13" x14ac:dyDescent="0.15">
      <c r="A107" s="23">
        <v>434</v>
      </c>
      <c r="B107" s="15" t="s">
        <v>178</v>
      </c>
      <c r="C107" s="15" t="s">
        <v>179</v>
      </c>
      <c r="D107" s="15" t="s">
        <v>52</v>
      </c>
      <c r="E107" s="16">
        <v>42642</v>
      </c>
      <c r="F107" s="17">
        <v>131760</v>
      </c>
      <c r="G107" s="17"/>
      <c r="H107" s="18" t="s">
        <v>183</v>
      </c>
      <c r="I107" s="29" t="s">
        <v>116</v>
      </c>
      <c r="J107" s="29" t="s">
        <v>180</v>
      </c>
      <c r="K107" s="15" t="s">
        <v>181</v>
      </c>
      <c r="L107" s="22"/>
    </row>
    <row r="108" spans="1:12" ht="13" x14ac:dyDescent="0.15">
      <c r="A108" s="23">
        <v>435</v>
      </c>
      <c r="B108" s="15" t="s">
        <v>178</v>
      </c>
      <c r="C108" s="15" t="s">
        <v>179</v>
      </c>
      <c r="D108" s="15" t="s">
        <v>52</v>
      </c>
      <c r="E108" s="16">
        <v>43441</v>
      </c>
      <c r="F108" s="17">
        <v>189320</v>
      </c>
      <c r="G108" s="17"/>
      <c r="H108" s="18" t="s">
        <v>183</v>
      </c>
      <c r="I108" s="29" t="s">
        <v>116</v>
      </c>
      <c r="J108" s="29" t="s">
        <v>180</v>
      </c>
      <c r="K108" s="15" t="s">
        <v>181</v>
      </c>
      <c r="L108" s="22"/>
    </row>
    <row r="109" spans="1:12" ht="13" x14ac:dyDescent="0.15">
      <c r="A109" s="2">
        <v>440</v>
      </c>
      <c r="B109" s="15" t="s">
        <v>120</v>
      </c>
      <c r="C109" s="15" t="s">
        <v>184</v>
      </c>
      <c r="D109" s="15" t="s">
        <v>52</v>
      </c>
      <c r="E109" s="16">
        <v>39615</v>
      </c>
      <c r="F109" s="17">
        <v>200000</v>
      </c>
      <c r="G109" s="17">
        <v>500000</v>
      </c>
      <c r="H109" s="15" t="s">
        <v>143</v>
      </c>
      <c r="I109" s="28" t="s">
        <v>91</v>
      </c>
      <c r="J109" s="29" t="s">
        <v>116</v>
      </c>
      <c r="K109" s="15"/>
      <c r="L109" s="22"/>
    </row>
    <row r="110" spans="1:12" ht="13" x14ac:dyDescent="0.15">
      <c r="A110" s="23">
        <v>441</v>
      </c>
      <c r="B110" s="15" t="s">
        <v>156</v>
      </c>
      <c r="C110" s="15" t="s">
        <v>184</v>
      </c>
      <c r="D110" s="15" t="s">
        <v>52</v>
      </c>
      <c r="E110" s="16">
        <v>39814</v>
      </c>
      <c r="F110" s="17">
        <v>256000</v>
      </c>
      <c r="G110" s="17"/>
      <c r="H110" s="15" t="s">
        <v>185</v>
      </c>
      <c r="I110" s="29" t="s">
        <v>104</v>
      </c>
      <c r="J110" s="15"/>
      <c r="K110" s="15"/>
      <c r="L110" s="22"/>
    </row>
    <row r="111" spans="1:12" ht="13" x14ac:dyDescent="0.15">
      <c r="A111" s="23">
        <v>450</v>
      </c>
      <c r="B111" s="15" t="s">
        <v>120</v>
      </c>
      <c r="C111" s="15" t="s">
        <v>186</v>
      </c>
      <c r="D111" s="15" t="s">
        <v>68</v>
      </c>
      <c r="E111" s="16">
        <v>39121</v>
      </c>
      <c r="F111" s="17">
        <v>213000</v>
      </c>
      <c r="G111" s="17"/>
      <c r="H111" s="22" t="s">
        <v>187</v>
      </c>
      <c r="I111" s="29" t="s">
        <v>116</v>
      </c>
      <c r="J111" s="15"/>
      <c r="K111" s="15"/>
      <c r="L111" s="22"/>
    </row>
    <row r="112" spans="1:12" ht="13" x14ac:dyDescent="0.15">
      <c r="A112" s="23">
        <v>451</v>
      </c>
      <c r="B112" s="15" t="s">
        <v>120</v>
      </c>
      <c r="C112" s="15" t="s">
        <v>186</v>
      </c>
      <c r="D112" s="15" t="s">
        <v>68</v>
      </c>
      <c r="E112" s="16">
        <v>39246</v>
      </c>
      <c r="F112" s="17">
        <v>426000</v>
      </c>
      <c r="G112" s="17"/>
      <c r="H112" s="22" t="s">
        <v>187</v>
      </c>
      <c r="I112" s="32" t="s">
        <v>116</v>
      </c>
      <c r="J112" s="22"/>
      <c r="K112" s="22"/>
      <c r="L112" s="22"/>
    </row>
    <row r="113" spans="1:12" ht="13" x14ac:dyDescent="0.15">
      <c r="A113" s="23">
        <v>452</v>
      </c>
      <c r="B113" s="15" t="s">
        <v>120</v>
      </c>
      <c r="C113" s="15" t="s">
        <v>186</v>
      </c>
      <c r="D113" s="15" t="s">
        <v>68</v>
      </c>
      <c r="E113" s="16">
        <v>39903</v>
      </c>
      <c r="F113" s="17">
        <v>1500000</v>
      </c>
      <c r="G113" s="17">
        <v>6193733</v>
      </c>
      <c r="H113" s="15" t="s">
        <v>188</v>
      </c>
      <c r="I113" s="29" t="s">
        <v>116</v>
      </c>
      <c r="J113" s="29" t="s">
        <v>112</v>
      </c>
      <c r="K113" s="15"/>
      <c r="L113" s="22"/>
    </row>
    <row r="114" spans="1:12" ht="13" x14ac:dyDescent="0.15">
      <c r="A114" s="23">
        <v>453</v>
      </c>
      <c r="B114" s="15" t="s">
        <v>120</v>
      </c>
      <c r="C114" s="15" t="s">
        <v>189</v>
      </c>
      <c r="D114" s="15" t="s">
        <v>68</v>
      </c>
      <c r="E114" s="16">
        <v>42711</v>
      </c>
      <c r="F114" s="17">
        <v>136500</v>
      </c>
      <c r="G114" s="17"/>
      <c r="H114" s="22" t="s">
        <v>187</v>
      </c>
      <c r="I114" s="29" t="s">
        <v>116</v>
      </c>
      <c r="J114" s="33"/>
      <c r="K114" s="33"/>
      <c r="L114" s="22"/>
    </row>
    <row r="115" spans="1:12" ht="13" x14ac:dyDescent="0.15">
      <c r="A115" s="23">
        <v>460</v>
      </c>
      <c r="B115" s="15" t="s">
        <v>190</v>
      </c>
      <c r="C115" s="15" t="s">
        <v>191</v>
      </c>
      <c r="D115" s="15" t="s">
        <v>60</v>
      </c>
      <c r="E115" s="16">
        <v>45299</v>
      </c>
      <c r="F115" s="34">
        <v>0</v>
      </c>
      <c r="G115" s="17">
        <v>2000000</v>
      </c>
      <c r="H115" s="15" t="s">
        <v>192</v>
      </c>
      <c r="I115" s="29" t="s">
        <v>91</v>
      </c>
      <c r="J115" s="29" t="s">
        <v>105</v>
      </c>
      <c r="K115" s="15"/>
      <c r="L115" s="22"/>
    </row>
    <row r="116" spans="1:12" ht="13" x14ac:dyDescent="0.15">
      <c r="A116" s="23">
        <v>470</v>
      </c>
      <c r="B116" s="15" t="s">
        <v>156</v>
      </c>
      <c r="C116" s="15" t="s">
        <v>193</v>
      </c>
      <c r="D116" s="15" t="s">
        <v>194</v>
      </c>
      <c r="E116" s="16">
        <v>40813</v>
      </c>
      <c r="F116" s="17">
        <v>695000</v>
      </c>
      <c r="G116" s="17"/>
      <c r="H116" s="15" t="s">
        <v>143</v>
      </c>
      <c r="I116" s="29" t="s">
        <v>195</v>
      </c>
      <c r="J116" s="29" t="s">
        <v>116</v>
      </c>
      <c r="K116" s="15"/>
      <c r="L116" s="22"/>
    </row>
    <row r="117" spans="1:12" ht="13" x14ac:dyDescent="0.15">
      <c r="A117" s="23">
        <v>480</v>
      </c>
      <c r="B117" s="2" t="s">
        <v>164</v>
      </c>
      <c r="C117" s="15" t="s">
        <v>196</v>
      </c>
      <c r="D117" s="15" t="s">
        <v>51</v>
      </c>
      <c r="E117" s="16">
        <v>42933</v>
      </c>
      <c r="F117" s="17">
        <v>140000</v>
      </c>
      <c r="G117" s="17"/>
      <c r="H117" s="15" t="s">
        <v>143</v>
      </c>
      <c r="I117" s="28" t="s">
        <v>91</v>
      </c>
      <c r="J117" s="29" t="s">
        <v>116</v>
      </c>
      <c r="K117" s="15"/>
      <c r="L117" s="22"/>
    </row>
    <row r="118" spans="1:12" ht="13" x14ac:dyDescent="0.15">
      <c r="A118" s="23">
        <v>481</v>
      </c>
      <c r="B118" s="15" t="s">
        <v>175</v>
      </c>
      <c r="C118" s="15" t="s">
        <v>197</v>
      </c>
      <c r="D118" s="15" t="s">
        <v>46</v>
      </c>
      <c r="E118" s="16">
        <v>43851</v>
      </c>
      <c r="F118" s="17">
        <v>115725</v>
      </c>
      <c r="G118" s="17"/>
      <c r="H118" s="22" t="s">
        <v>122</v>
      </c>
      <c r="I118" s="29" t="s">
        <v>198</v>
      </c>
      <c r="J118" s="29" t="s">
        <v>116</v>
      </c>
      <c r="K118" s="15" t="s">
        <v>199</v>
      </c>
      <c r="L118" s="22"/>
    </row>
    <row r="119" spans="1:12" ht="13" x14ac:dyDescent="0.15">
      <c r="A119" s="23">
        <v>482</v>
      </c>
      <c r="B119" s="15" t="s">
        <v>156</v>
      </c>
      <c r="C119" s="15" t="s">
        <v>200</v>
      </c>
      <c r="D119" s="15" t="s">
        <v>201</v>
      </c>
      <c r="E119" s="16">
        <v>44802</v>
      </c>
      <c r="F119" s="17">
        <v>174095</v>
      </c>
      <c r="G119" s="17"/>
      <c r="H119" s="15" t="s">
        <v>143</v>
      </c>
      <c r="I119" s="28" t="s">
        <v>155</v>
      </c>
      <c r="J119" s="29" t="s">
        <v>116</v>
      </c>
      <c r="K119" s="15" t="s">
        <v>202</v>
      </c>
      <c r="L119" s="22"/>
    </row>
    <row r="120" spans="1:12" ht="13" x14ac:dyDescent="0.15">
      <c r="A120" s="23">
        <v>483</v>
      </c>
      <c r="B120" s="15" t="s">
        <v>203</v>
      </c>
      <c r="C120" s="15" t="s">
        <v>204</v>
      </c>
      <c r="D120" s="15" t="s">
        <v>205</v>
      </c>
      <c r="E120" s="16">
        <v>45546</v>
      </c>
      <c r="F120" s="17">
        <v>103377</v>
      </c>
      <c r="G120" s="17">
        <v>150000</v>
      </c>
      <c r="H120" s="15" t="s">
        <v>143</v>
      </c>
      <c r="I120" s="29" t="s">
        <v>116</v>
      </c>
      <c r="J120" s="29" t="s">
        <v>105</v>
      </c>
      <c r="K120" s="15"/>
      <c r="L120" s="22"/>
    </row>
    <row r="121" spans="1:12" ht="13" x14ac:dyDescent="0.15">
      <c r="A121" s="23">
        <v>500</v>
      </c>
      <c r="B121" s="15" t="s">
        <v>156</v>
      </c>
      <c r="C121" s="15" t="s">
        <v>121</v>
      </c>
      <c r="D121" s="15" t="s">
        <v>46</v>
      </c>
      <c r="E121" s="16">
        <v>37972</v>
      </c>
      <c r="F121" s="17">
        <v>175000</v>
      </c>
      <c r="G121" s="17"/>
      <c r="H121" s="15" t="s">
        <v>206</v>
      </c>
      <c r="I121" s="29" t="s">
        <v>207</v>
      </c>
      <c r="J121" s="15"/>
      <c r="K121" s="15"/>
      <c r="L121" s="22"/>
    </row>
    <row r="122" spans="1:12" ht="13" x14ac:dyDescent="0.15">
      <c r="A122" s="23">
        <v>501</v>
      </c>
      <c r="B122" s="15" t="s">
        <v>120</v>
      </c>
      <c r="C122" s="15" t="s">
        <v>186</v>
      </c>
      <c r="D122" s="15" t="s">
        <v>68</v>
      </c>
      <c r="E122" s="16">
        <v>39793</v>
      </c>
      <c r="F122" s="17">
        <v>225000</v>
      </c>
      <c r="G122" s="17"/>
      <c r="H122" s="15" t="s">
        <v>206</v>
      </c>
      <c r="I122" s="29" t="s">
        <v>207</v>
      </c>
      <c r="J122" s="33"/>
      <c r="K122" s="33"/>
      <c r="L122" s="22"/>
    </row>
    <row r="123" spans="1:12" ht="13" x14ac:dyDescent="0.15">
      <c r="A123" s="23">
        <v>502</v>
      </c>
      <c r="B123" s="15" t="s">
        <v>120</v>
      </c>
      <c r="C123" s="22" t="s">
        <v>161</v>
      </c>
      <c r="D123" s="22" t="s">
        <v>52</v>
      </c>
      <c r="E123" s="16">
        <v>40002</v>
      </c>
      <c r="F123" s="17">
        <v>159500</v>
      </c>
      <c r="G123" s="17"/>
      <c r="H123" s="15" t="s">
        <v>206</v>
      </c>
      <c r="I123" s="32" t="s">
        <v>207</v>
      </c>
      <c r="J123" s="22"/>
      <c r="K123" s="22"/>
      <c r="L123" s="22"/>
    </row>
    <row r="124" spans="1:12" ht="13" x14ac:dyDescent="0.15">
      <c r="A124" s="23">
        <v>503</v>
      </c>
      <c r="B124" s="15" t="s">
        <v>120</v>
      </c>
      <c r="C124" s="15" t="s">
        <v>191</v>
      </c>
      <c r="D124" s="15" t="s">
        <v>60</v>
      </c>
      <c r="E124" s="16">
        <v>40087</v>
      </c>
      <c r="F124" s="17">
        <v>270000</v>
      </c>
      <c r="G124" s="17"/>
      <c r="H124" s="15" t="s">
        <v>206</v>
      </c>
      <c r="I124" s="29" t="s">
        <v>104</v>
      </c>
      <c r="J124" s="15"/>
      <c r="K124" s="15"/>
      <c r="L124" s="22"/>
    </row>
    <row r="125" spans="1:12" ht="13" x14ac:dyDescent="0.15">
      <c r="A125" s="23">
        <v>504</v>
      </c>
      <c r="B125" s="15" t="s">
        <v>156</v>
      </c>
      <c r="C125" s="22" t="s">
        <v>161</v>
      </c>
      <c r="D125" s="22" t="s">
        <v>52</v>
      </c>
      <c r="E125" s="16">
        <v>40150</v>
      </c>
      <c r="F125" s="17">
        <v>32000</v>
      </c>
      <c r="G125" s="17"/>
      <c r="H125" s="15" t="s">
        <v>206</v>
      </c>
      <c r="I125" s="29" t="s">
        <v>105</v>
      </c>
      <c r="J125" s="15"/>
      <c r="K125" s="15"/>
      <c r="L125" s="22"/>
    </row>
    <row r="126" spans="1:12" ht="13" x14ac:dyDescent="0.15">
      <c r="A126" s="23">
        <v>600</v>
      </c>
      <c r="B126" s="15" t="s">
        <v>156</v>
      </c>
      <c r="C126" s="35" t="s">
        <v>208</v>
      </c>
      <c r="D126" s="15" t="s">
        <v>209</v>
      </c>
      <c r="E126" s="16">
        <v>39576</v>
      </c>
      <c r="F126" s="34">
        <v>0</v>
      </c>
      <c r="G126" s="17" t="s">
        <v>210</v>
      </c>
      <c r="H126" s="18" t="s">
        <v>211</v>
      </c>
      <c r="I126" s="19" t="s">
        <v>105</v>
      </c>
      <c r="J126" s="29" t="s">
        <v>112</v>
      </c>
      <c r="K126" s="15" t="s">
        <v>212</v>
      </c>
      <c r="L126" s="22"/>
    </row>
    <row r="127" spans="1:12" ht="13" x14ac:dyDescent="0.15">
      <c r="A127" s="23">
        <v>601</v>
      </c>
      <c r="B127" s="15" t="s">
        <v>120</v>
      </c>
      <c r="C127" s="35" t="s">
        <v>208</v>
      </c>
      <c r="D127" s="15" t="s">
        <v>213</v>
      </c>
      <c r="E127" s="16">
        <v>41180</v>
      </c>
      <c r="F127" s="34">
        <v>0</v>
      </c>
      <c r="G127" s="17" t="s">
        <v>210</v>
      </c>
      <c r="H127" s="36" t="s">
        <v>214</v>
      </c>
      <c r="I127" s="25" t="s">
        <v>91</v>
      </c>
      <c r="J127" s="15"/>
      <c r="K127" s="15" t="s">
        <v>215</v>
      </c>
      <c r="L127" s="22"/>
    </row>
    <row r="128" spans="1:12" ht="13" x14ac:dyDescent="0.15">
      <c r="A128" s="23">
        <v>602</v>
      </c>
      <c r="B128" s="15" t="s">
        <v>216</v>
      </c>
      <c r="C128" s="35" t="s">
        <v>208</v>
      </c>
      <c r="D128" s="15" t="s">
        <v>68</v>
      </c>
      <c r="E128" s="16">
        <v>43171</v>
      </c>
      <c r="F128" s="34">
        <v>0</v>
      </c>
      <c r="G128" s="17">
        <v>64000000</v>
      </c>
      <c r="H128" s="36" t="s">
        <v>217</v>
      </c>
      <c r="I128" s="25" t="s">
        <v>105</v>
      </c>
      <c r="J128" s="15"/>
      <c r="K128" s="15"/>
      <c r="L128" s="22"/>
    </row>
    <row r="129" spans="1:12" ht="13" x14ac:dyDescent="0.15">
      <c r="A129" s="23">
        <v>603</v>
      </c>
      <c r="B129" s="15" t="s">
        <v>120</v>
      </c>
      <c r="C129" s="35" t="s">
        <v>208</v>
      </c>
      <c r="D129" s="15" t="s">
        <v>218</v>
      </c>
      <c r="E129" s="16">
        <v>43511</v>
      </c>
      <c r="F129" s="34">
        <v>0</v>
      </c>
      <c r="G129" s="17">
        <v>316666.65999999997</v>
      </c>
      <c r="H129" s="18" t="s">
        <v>219</v>
      </c>
      <c r="I129" s="19" t="s">
        <v>151</v>
      </c>
      <c r="J129" s="15"/>
      <c r="K129" s="15"/>
      <c r="L129" s="22"/>
    </row>
    <row r="130" spans="1:12" ht="13" x14ac:dyDescent="0.15">
      <c r="A130" s="23">
        <v>604</v>
      </c>
      <c r="B130" s="15" t="s">
        <v>156</v>
      </c>
      <c r="C130" s="35" t="s">
        <v>208</v>
      </c>
      <c r="D130" s="15" t="s">
        <v>220</v>
      </c>
      <c r="E130" s="16">
        <v>44662</v>
      </c>
      <c r="F130" s="34">
        <v>0</v>
      </c>
      <c r="G130" s="17" t="s">
        <v>210</v>
      </c>
      <c r="H130" s="18" t="s">
        <v>221</v>
      </c>
      <c r="I130" s="19" t="s">
        <v>105</v>
      </c>
      <c r="J130" s="15"/>
      <c r="K130" s="15" t="s">
        <v>222</v>
      </c>
      <c r="L130" s="22"/>
    </row>
    <row r="131" spans="1:12" ht="13" x14ac:dyDescent="0.15">
      <c r="A131" s="23">
        <v>700</v>
      </c>
      <c r="B131" s="15" t="s">
        <v>223</v>
      </c>
      <c r="C131" s="35" t="s">
        <v>224</v>
      </c>
      <c r="D131" s="15" t="s">
        <v>46</v>
      </c>
      <c r="E131" s="16">
        <v>39524</v>
      </c>
      <c r="F131" s="17">
        <v>10000000</v>
      </c>
      <c r="G131" s="37"/>
      <c r="H131" s="15" t="s">
        <v>225</v>
      </c>
      <c r="I131" s="29" t="s">
        <v>105</v>
      </c>
      <c r="J131" s="29" t="s">
        <v>91</v>
      </c>
      <c r="K131" s="15"/>
      <c r="L131" s="22"/>
    </row>
    <row r="132" spans="1:12" ht="13" x14ac:dyDescent="0.15">
      <c r="A132" s="23">
        <v>701</v>
      </c>
      <c r="B132" s="15" t="s">
        <v>226</v>
      </c>
      <c r="C132" s="35" t="s">
        <v>224</v>
      </c>
      <c r="D132" s="15" t="s">
        <v>46</v>
      </c>
      <c r="E132" s="16">
        <v>40077</v>
      </c>
      <c r="F132" s="17">
        <v>5000000</v>
      </c>
      <c r="G132" s="17">
        <v>25000000</v>
      </c>
      <c r="H132" s="15" t="s">
        <v>227</v>
      </c>
      <c r="I132" s="29" t="s">
        <v>105</v>
      </c>
      <c r="J132" s="15"/>
      <c r="K132" s="15"/>
      <c r="L132" s="22"/>
    </row>
    <row r="133" spans="1:12" ht="13" x14ac:dyDescent="0.15">
      <c r="A133" s="23">
        <v>702</v>
      </c>
      <c r="B133" s="15" t="s">
        <v>178</v>
      </c>
      <c r="C133" s="35" t="s">
        <v>224</v>
      </c>
      <c r="D133" s="15" t="s">
        <v>46</v>
      </c>
      <c r="E133" s="16">
        <v>44104</v>
      </c>
      <c r="F133" s="17">
        <v>450000</v>
      </c>
      <c r="G133" s="37"/>
      <c r="H133" s="15" t="s">
        <v>225</v>
      </c>
      <c r="I133" s="29" t="s">
        <v>105</v>
      </c>
      <c r="J133" s="15"/>
      <c r="K133" s="15"/>
      <c r="L133" s="22"/>
    </row>
    <row r="134" spans="1:12" ht="13" x14ac:dyDescent="0.15">
      <c r="A134" s="23">
        <v>800</v>
      </c>
      <c r="B134" s="15" t="s">
        <v>156</v>
      </c>
      <c r="C134" s="35" t="s">
        <v>228</v>
      </c>
      <c r="D134" s="15" t="s">
        <v>75</v>
      </c>
      <c r="E134" s="16">
        <v>41008</v>
      </c>
      <c r="F134" s="17">
        <v>2200000</v>
      </c>
      <c r="G134" s="37"/>
      <c r="H134" s="15" t="s">
        <v>229</v>
      </c>
      <c r="I134" s="29" t="s">
        <v>105</v>
      </c>
      <c r="J134" s="29" t="s">
        <v>112</v>
      </c>
      <c r="K134" s="15"/>
      <c r="L134" s="22"/>
    </row>
    <row r="135" spans="1:12" ht="13" x14ac:dyDescent="0.15">
      <c r="A135" s="23">
        <v>801</v>
      </c>
      <c r="B135" s="15" t="s">
        <v>120</v>
      </c>
      <c r="C135" s="35" t="s">
        <v>230</v>
      </c>
      <c r="D135" s="15" t="s">
        <v>46</v>
      </c>
      <c r="E135" s="16">
        <v>41017</v>
      </c>
      <c r="F135" s="17">
        <v>311100</v>
      </c>
      <c r="G135" s="37">
        <v>4062575</v>
      </c>
      <c r="H135" s="15" t="s">
        <v>143</v>
      </c>
      <c r="I135" s="29" t="s">
        <v>116</v>
      </c>
      <c r="J135" s="29" t="s">
        <v>112</v>
      </c>
      <c r="K135" s="15"/>
      <c r="L135" s="22"/>
    </row>
  </sheetData>
  <autoFilter ref="A1:L135" xr:uid="{00000000-0009-0000-0000-000001000000}"/>
  <hyperlinks>
    <hyperlink ref="I2" r:id="rId1" xr:uid="{00000000-0004-0000-0100-000000000000}"/>
    <hyperlink ref="J2" r:id="rId2" xr:uid="{00000000-0004-0000-0100-000001000000}"/>
    <hyperlink ref="I3" r:id="rId3" xr:uid="{00000000-0004-0000-0100-000002000000}"/>
    <hyperlink ref="J3" r:id="rId4" xr:uid="{00000000-0004-0000-0100-000003000000}"/>
    <hyperlink ref="I4" r:id="rId5" xr:uid="{00000000-0004-0000-0100-000004000000}"/>
    <hyperlink ref="J4" r:id="rId6" xr:uid="{00000000-0004-0000-0100-000005000000}"/>
    <hyperlink ref="C5" r:id="rId7" xr:uid="{00000000-0004-0000-0100-000006000000}"/>
    <hyperlink ref="I5" r:id="rId8" xr:uid="{00000000-0004-0000-0100-000007000000}"/>
    <hyperlink ref="J5" r:id="rId9" xr:uid="{00000000-0004-0000-0100-000008000000}"/>
    <hyperlink ref="I6" r:id="rId10" xr:uid="{00000000-0004-0000-0100-000009000000}"/>
    <hyperlink ref="J6" r:id="rId11" xr:uid="{00000000-0004-0000-0100-00000A000000}"/>
    <hyperlink ref="I7" r:id="rId12" xr:uid="{00000000-0004-0000-0100-00000B000000}"/>
    <hyperlink ref="J7" r:id="rId13" xr:uid="{00000000-0004-0000-0100-00000C000000}"/>
    <hyperlink ref="I8" r:id="rId14" xr:uid="{00000000-0004-0000-0100-00000D000000}"/>
    <hyperlink ref="J8" r:id="rId15" xr:uid="{00000000-0004-0000-0100-00000E000000}"/>
    <hyperlink ref="I9" r:id="rId16" xr:uid="{00000000-0004-0000-0100-00000F000000}"/>
    <hyperlink ref="J9" r:id="rId17" xr:uid="{00000000-0004-0000-0100-000010000000}"/>
    <hyperlink ref="I10" r:id="rId18" xr:uid="{00000000-0004-0000-0100-000011000000}"/>
    <hyperlink ref="J10" r:id="rId19" xr:uid="{00000000-0004-0000-0100-000012000000}"/>
    <hyperlink ref="I11" r:id="rId20" xr:uid="{00000000-0004-0000-0100-000013000000}"/>
    <hyperlink ref="J11" r:id="rId21" xr:uid="{00000000-0004-0000-0100-000014000000}"/>
    <hyperlink ref="I12" r:id="rId22" xr:uid="{00000000-0004-0000-0100-000015000000}"/>
    <hyperlink ref="J12" r:id="rId23" xr:uid="{00000000-0004-0000-0100-000016000000}"/>
    <hyperlink ref="C13" r:id="rId24" xr:uid="{00000000-0004-0000-0100-000017000000}"/>
    <hyperlink ref="I13" r:id="rId25" xr:uid="{00000000-0004-0000-0100-000018000000}"/>
    <hyperlink ref="J13" r:id="rId26" xr:uid="{00000000-0004-0000-0100-000019000000}"/>
    <hyperlink ref="C14" r:id="rId27" xr:uid="{00000000-0004-0000-0100-00001A000000}"/>
    <hyperlink ref="I14" r:id="rId28" xr:uid="{00000000-0004-0000-0100-00001B000000}"/>
    <hyperlink ref="J14" r:id="rId29" xr:uid="{00000000-0004-0000-0100-00001C000000}"/>
    <hyperlink ref="I15" r:id="rId30" xr:uid="{00000000-0004-0000-0100-00001D000000}"/>
    <hyperlink ref="J15" r:id="rId31" xr:uid="{00000000-0004-0000-0100-00001E000000}"/>
    <hyperlink ref="I16" r:id="rId32" xr:uid="{00000000-0004-0000-0100-00001F000000}"/>
    <hyperlink ref="J16" r:id="rId33" xr:uid="{00000000-0004-0000-0100-000020000000}"/>
    <hyperlink ref="C17" r:id="rId34" xr:uid="{00000000-0004-0000-0100-000021000000}"/>
    <hyperlink ref="I17" r:id="rId35" xr:uid="{00000000-0004-0000-0100-000022000000}"/>
    <hyperlink ref="J17" r:id="rId36" xr:uid="{00000000-0004-0000-0100-000023000000}"/>
    <hyperlink ref="C18" r:id="rId37" xr:uid="{00000000-0004-0000-0100-000024000000}"/>
    <hyperlink ref="I18" r:id="rId38" xr:uid="{00000000-0004-0000-0100-000025000000}"/>
    <hyperlink ref="J18" r:id="rId39" xr:uid="{00000000-0004-0000-0100-000026000000}"/>
    <hyperlink ref="I19" r:id="rId40" xr:uid="{00000000-0004-0000-0100-000027000000}"/>
    <hyperlink ref="J19" r:id="rId41" xr:uid="{00000000-0004-0000-0100-000028000000}"/>
    <hyperlink ref="C20" r:id="rId42" xr:uid="{00000000-0004-0000-0100-000029000000}"/>
    <hyperlink ref="I20" r:id="rId43" xr:uid="{00000000-0004-0000-0100-00002A000000}"/>
    <hyperlink ref="J20" r:id="rId44" xr:uid="{00000000-0004-0000-0100-00002B000000}"/>
    <hyperlink ref="I21" r:id="rId45" xr:uid="{00000000-0004-0000-0100-00002C000000}"/>
    <hyperlink ref="J21" r:id="rId46" xr:uid="{00000000-0004-0000-0100-00002D000000}"/>
    <hyperlink ref="C22" r:id="rId47" xr:uid="{00000000-0004-0000-0100-00002E000000}"/>
    <hyperlink ref="I22" r:id="rId48" xr:uid="{00000000-0004-0000-0100-00002F000000}"/>
    <hyperlink ref="J22" r:id="rId49" xr:uid="{00000000-0004-0000-0100-000030000000}"/>
    <hyperlink ref="I23" r:id="rId50" xr:uid="{00000000-0004-0000-0100-000031000000}"/>
    <hyperlink ref="J23" r:id="rId51" xr:uid="{00000000-0004-0000-0100-000032000000}"/>
    <hyperlink ref="I24" r:id="rId52" xr:uid="{00000000-0004-0000-0100-000033000000}"/>
    <hyperlink ref="J24" r:id="rId53" xr:uid="{00000000-0004-0000-0100-000034000000}"/>
    <hyperlink ref="I25" r:id="rId54" xr:uid="{00000000-0004-0000-0100-000035000000}"/>
    <hyperlink ref="J25" r:id="rId55" xr:uid="{00000000-0004-0000-0100-000036000000}"/>
    <hyperlink ref="C26" r:id="rId56" xr:uid="{00000000-0004-0000-0100-000037000000}"/>
    <hyperlink ref="I26" r:id="rId57" xr:uid="{00000000-0004-0000-0100-000038000000}"/>
    <hyperlink ref="J26" r:id="rId58" xr:uid="{00000000-0004-0000-0100-000039000000}"/>
    <hyperlink ref="I27" r:id="rId59" xr:uid="{00000000-0004-0000-0100-00003A000000}"/>
    <hyperlink ref="J27" r:id="rId60" xr:uid="{00000000-0004-0000-0100-00003B000000}"/>
    <hyperlink ref="I28" r:id="rId61" xr:uid="{00000000-0004-0000-0100-00003C000000}"/>
    <hyperlink ref="J28" r:id="rId62" xr:uid="{00000000-0004-0000-0100-00003D000000}"/>
    <hyperlink ref="I29" r:id="rId63" xr:uid="{00000000-0004-0000-0100-00003E000000}"/>
    <hyperlink ref="J29" r:id="rId64" xr:uid="{00000000-0004-0000-0100-00003F000000}"/>
    <hyperlink ref="C30" r:id="rId65" xr:uid="{00000000-0004-0000-0100-000040000000}"/>
    <hyperlink ref="I30" r:id="rId66" xr:uid="{00000000-0004-0000-0100-000041000000}"/>
    <hyperlink ref="J30" r:id="rId67" xr:uid="{00000000-0004-0000-0100-000042000000}"/>
    <hyperlink ref="I31" r:id="rId68" xr:uid="{00000000-0004-0000-0100-000043000000}"/>
    <hyperlink ref="J31" r:id="rId69" xr:uid="{00000000-0004-0000-0100-000044000000}"/>
    <hyperlink ref="C32" r:id="rId70" xr:uid="{00000000-0004-0000-0100-000045000000}"/>
    <hyperlink ref="I32" r:id="rId71" xr:uid="{00000000-0004-0000-0100-000046000000}"/>
    <hyperlink ref="J32" r:id="rId72" xr:uid="{00000000-0004-0000-0100-000047000000}"/>
    <hyperlink ref="C33" r:id="rId73" xr:uid="{00000000-0004-0000-0100-000048000000}"/>
    <hyperlink ref="I33" r:id="rId74" xr:uid="{00000000-0004-0000-0100-000049000000}"/>
    <hyperlink ref="J33" r:id="rId75" xr:uid="{00000000-0004-0000-0100-00004A000000}"/>
    <hyperlink ref="C34" r:id="rId76" xr:uid="{00000000-0004-0000-0100-00004B000000}"/>
    <hyperlink ref="I34" r:id="rId77" xr:uid="{00000000-0004-0000-0100-00004C000000}"/>
    <hyperlink ref="J34" r:id="rId78" xr:uid="{00000000-0004-0000-0100-00004D000000}"/>
    <hyperlink ref="I35" r:id="rId79" xr:uid="{00000000-0004-0000-0100-00004E000000}"/>
    <hyperlink ref="J35" r:id="rId80" xr:uid="{00000000-0004-0000-0100-00004F000000}"/>
    <hyperlink ref="C36" r:id="rId81" xr:uid="{00000000-0004-0000-0100-000050000000}"/>
    <hyperlink ref="I36" r:id="rId82" xr:uid="{00000000-0004-0000-0100-000051000000}"/>
    <hyperlink ref="J36" r:id="rId83" xr:uid="{00000000-0004-0000-0100-000052000000}"/>
    <hyperlink ref="I37" r:id="rId84" xr:uid="{00000000-0004-0000-0100-000053000000}"/>
    <hyperlink ref="J37" r:id="rId85" xr:uid="{00000000-0004-0000-0100-000054000000}"/>
    <hyperlink ref="C38" r:id="rId86" xr:uid="{00000000-0004-0000-0100-000055000000}"/>
    <hyperlink ref="I38" r:id="rId87" xr:uid="{00000000-0004-0000-0100-000056000000}"/>
    <hyperlink ref="J38" r:id="rId88" xr:uid="{00000000-0004-0000-0100-000057000000}"/>
    <hyperlink ref="I39" r:id="rId89" xr:uid="{00000000-0004-0000-0100-000058000000}"/>
    <hyperlink ref="J39" r:id="rId90" xr:uid="{00000000-0004-0000-0100-000059000000}"/>
    <hyperlink ref="C40" r:id="rId91" xr:uid="{00000000-0004-0000-0100-00005A000000}"/>
    <hyperlink ref="I40" r:id="rId92" xr:uid="{00000000-0004-0000-0100-00005B000000}"/>
    <hyperlink ref="J40" r:id="rId93" xr:uid="{00000000-0004-0000-0100-00005C000000}"/>
    <hyperlink ref="I41" r:id="rId94" xr:uid="{00000000-0004-0000-0100-00005D000000}"/>
    <hyperlink ref="J41" r:id="rId95" xr:uid="{00000000-0004-0000-0100-00005E000000}"/>
    <hyperlink ref="I42" r:id="rId96" xr:uid="{00000000-0004-0000-0100-00005F000000}"/>
    <hyperlink ref="J42" r:id="rId97" xr:uid="{00000000-0004-0000-0100-000060000000}"/>
    <hyperlink ref="I43" r:id="rId98" xr:uid="{00000000-0004-0000-0100-000061000000}"/>
    <hyperlink ref="J43" r:id="rId99" xr:uid="{00000000-0004-0000-0100-000062000000}"/>
    <hyperlink ref="C44" r:id="rId100" xr:uid="{00000000-0004-0000-0100-000063000000}"/>
    <hyperlink ref="I44" r:id="rId101" xr:uid="{00000000-0004-0000-0100-000064000000}"/>
    <hyperlink ref="J44" r:id="rId102" xr:uid="{00000000-0004-0000-0100-000065000000}"/>
    <hyperlink ref="I45" r:id="rId103" xr:uid="{00000000-0004-0000-0100-000066000000}"/>
    <hyperlink ref="J45" r:id="rId104" xr:uid="{00000000-0004-0000-0100-000067000000}"/>
    <hyperlink ref="C46" r:id="rId105" xr:uid="{00000000-0004-0000-0100-000068000000}"/>
    <hyperlink ref="I46" r:id="rId106" xr:uid="{00000000-0004-0000-0100-000069000000}"/>
    <hyperlink ref="J46" r:id="rId107" xr:uid="{00000000-0004-0000-0100-00006A000000}"/>
    <hyperlink ref="C47" r:id="rId108" xr:uid="{00000000-0004-0000-0100-00006B000000}"/>
    <hyperlink ref="I47" r:id="rId109" xr:uid="{00000000-0004-0000-0100-00006C000000}"/>
    <hyperlink ref="J47" r:id="rId110" xr:uid="{00000000-0004-0000-0100-00006D000000}"/>
    <hyperlink ref="C48" r:id="rId111" xr:uid="{00000000-0004-0000-0100-00006E000000}"/>
    <hyperlink ref="I48" r:id="rId112" xr:uid="{00000000-0004-0000-0100-00006F000000}"/>
    <hyperlink ref="J48" r:id="rId113" xr:uid="{00000000-0004-0000-0100-000070000000}"/>
    <hyperlink ref="C49" r:id="rId114" xr:uid="{00000000-0004-0000-0100-000071000000}"/>
    <hyperlink ref="I49" r:id="rId115" xr:uid="{00000000-0004-0000-0100-000072000000}"/>
    <hyperlink ref="J49" r:id="rId116" xr:uid="{00000000-0004-0000-0100-000073000000}"/>
    <hyperlink ref="I50" r:id="rId117" xr:uid="{00000000-0004-0000-0100-000074000000}"/>
    <hyperlink ref="J50" r:id="rId118" xr:uid="{00000000-0004-0000-0100-000075000000}"/>
    <hyperlink ref="C51" r:id="rId119" xr:uid="{00000000-0004-0000-0100-000076000000}"/>
    <hyperlink ref="I51" r:id="rId120" xr:uid="{00000000-0004-0000-0100-000077000000}"/>
    <hyperlink ref="J51" r:id="rId121" xr:uid="{00000000-0004-0000-0100-000078000000}"/>
    <hyperlink ref="C52" r:id="rId122" xr:uid="{00000000-0004-0000-0100-000079000000}"/>
    <hyperlink ref="I52" r:id="rId123" xr:uid="{00000000-0004-0000-0100-00007A000000}"/>
    <hyperlink ref="J52" r:id="rId124" xr:uid="{00000000-0004-0000-0100-00007B000000}"/>
    <hyperlink ref="C53" r:id="rId125" xr:uid="{00000000-0004-0000-0100-00007C000000}"/>
    <hyperlink ref="I53" r:id="rId126" xr:uid="{00000000-0004-0000-0100-00007D000000}"/>
    <hyperlink ref="J53" r:id="rId127" xr:uid="{00000000-0004-0000-0100-00007E000000}"/>
    <hyperlink ref="C54" r:id="rId128" xr:uid="{00000000-0004-0000-0100-00007F000000}"/>
    <hyperlink ref="I54" r:id="rId129" xr:uid="{00000000-0004-0000-0100-000080000000}"/>
    <hyperlink ref="J54" r:id="rId130" xr:uid="{00000000-0004-0000-0100-000081000000}"/>
    <hyperlink ref="C55" r:id="rId131" xr:uid="{00000000-0004-0000-0100-000082000000}"/>
    <hyperlink ref="I55" r:id="rId132" xr:uid="{00000000-0004-0000-0100-000083000000}"/>
    <hyperlink ref="J55" r:id="rId133" xr:uid="{00000000-0004-0000-0100-000084000000}"/>
    <hyperlink ref="C56" r:id="rId134" xr:uid="{00000000-0004-0000-0100-000085000000}"/>
    <hyperlink ref="I56" r:id="rId135" xr:uid="{00000000-0004-0000-0100-000086000000}"/>
    <hyperlink ref="J56" r:id="rId136" xr:uid="{00000000-0004-0000-0100-000087000000}"/>
    <hyperlink ref="C57" r:id="rId137" xr:uid="{00000000-0004-0000-0100-000088000000}"/>
    <hyperlink ref="I57" r:id="rId138" xr:uid="{00000000-0004-0000-0100-000089000000}"/>
    <hyperlink ref="J57" r:id="rId139" xr:uid="{00000000-0004-0000-0100-00008A000000}"/>
    <hyperlink ref="C58" r:id="rId140" xr:uid="{00000000-0004-0000-0100-00008B000000}"/>
    <hyperlink ref="I58" r:id="rId141" xr:uid="{00000000-0004-0000-0100-00008C000000}"/>
    <hyperlink ref="J58" r:id="rId142" xr:uid="{00000000-0004-0000-0100-00008D000000}"/>
    <hyperlink ref="I59" r:id="rId143" xr:uid="{00000000-0004-0000-0100-00008E000000}"/>
    <hyperlink ref="J59" r:id="rId144" xr:uid="{00000000-0004-0000-0100-00008F000000}"/>
    <hyperlink ref="C60" r:id="rId145" xr:uid="{00000000-0004-0000-0100-000090000000}"/>
    <hyperlink ref="I60" r:id="rId146" xr:uid="{00000000-0004-0000-0100-000091000000}"/>
    <hyperlink ref="J60" r:id="rId147" xr:uid="{00000000-0004-0000-0100-000092000000}"/>
    <hyperlink ref="C61" r:id="rId148" xr:uid="{00000000-0004-0000-0100-000093000000}"/>
    <hyperlink ref="I61" r:id="rId149" xr:uid="{00000000-0004-0000-0100-000094000000}"/>
    <hyperlink ref="J61" r:id="rId150" xr:uid="{00000000-0004-0000-0100-000095000000}"/>
    <hyperlink ref="C62" r:id="rId151" xr:uid="{00000000-0004-0000-0100-000096000000}"/>
    <hyperlink ref="I62" r:id="rId152" xr:uid="{00000000-0004-0000-0100-000097000000}"/>
    <hyperlink ref="J62" r:id="rId153" xr:uid="{00000000-0004-0000-0100-000098000000}"/>
    <hyperlink ref="C63" r:id="rId154" xr:uid="{00000000-0004-0000-0100-000099000000}"/>
    <hyperlink ref="I63" r:id="rId155" xr:uid="{00000000-0004-0000-0100-00009A000000}"/>
    <hyperlink ref="J63" r:id="rId156" xr:uid="{00000000-0004-0000-0100-00009B000000}"/>
    <hyperlink ref="C64" r:id="rId157" xr:uid="{00000000-0004-0000-0100-00009C000000}"/>
    <hyperlink ref="I64" r:id="rId158" xr:uid="{00000000-0004-0000-0100-00009D000000}"/>
    <hyperlink ref="J64" r:id="rId159" xr:uid="{00000000-0004-0000-0100-00009E000000}"/>
    <hyperlink ref="I65" r:id="rId160" xr:uid="{00000000-0004-0000-0100-00009F000000}"/>
    <hyperlink ref="J65" r:id="rId161" xr:uid="{00000000-0004-0000-0100-0000A0000000}"/>
    <hyperlink ref="C66" r:id="rId162" xr:uid="{00000000-0004-0000-0100-0000A1000000}"/>
    <hyperlink ref="I66" r:id="rId163" xr:uid="{00000000-0004-0000-0100-0000A2000000}"/>
    <hyperlink ref="J66" r:id="rId164" xr:uid="{00000000-0004-0000-0100-0000A3000000}"/>
    <hyperlink ref="I67" r:id="rId165" xr:uid="{00000000-0004-0000-0100-0000A4000000}"/>
    <hyperlink ref="C68" r:id="rId166" xr:uid="{00000000-0004-0000-0100-0000A5000000}"/>
    <hyperlink ref="I68" r:id="rId167" xr:uid="{00000000-0004-0000-0100-0000A6000000}"/>
    <hyperlink ref="I69" r:id="rId168" xr:uid="{00000000-0004-0000-0100-0000A7000000}"/>
    <hyperlink ref="J69" r:id="rId169" xr:uid="{00000000-0004-0000-0100-0000A8000000}"/>
    <hyperlink ref="C70" r:id="rId170" xr:uid="{00000000-0004-0000-0100-0000A9000000}"/>
    <hyperlink ref="I70" r:id="rId171" xr:uid="{00000000-0004-0000-0100-0000AA000000}"/>
    <hyperlink ref="J70" r:id="rId172" xr:uid="{00000000-0004-0000-0100-0000AB000000}"/>
    <hyperlink ref="C71" r:id="rId173" xr:uid="{00000000-0004-0000-0100-0000AC000000}"/>
    <hyperlink ref="I71" r:id="rId174" xr:uid="{00000000-0004-0000-0100-0000AD000000}"/>
    <hyperlink ref="C72" r:id="rId175" xr:uid="{00000000-0004-0000-0100-0000AE000000}"/>
    <hyperlink ref="I72" r:id="rId176" xr:uid="{00000000-0004-0000-0100-0000AF000000}"/>
    <hyperlink ref="J72" r:id="rId177" xr:uid="{00000000-0004-0000-0100-0000B0000000}"/>
    <hyperlink ref="I73" r:id="rId178" xr:uid="{00000000-0004-0000-0100-0000B1000000}"/>
    <hyperlink ref="J73" r:id="rId179" xr:uid="{00000000-0004-0000-0100-0000B2000000}"/>
    <hyperlink ref="I74" r:id="rId180" xr:uid="{00000000-0004-0000-0100-0000B3000000}"/>
    <hyperlink ref="J74" r:id="rId181" xr:uid="{00000000-0004-0000-0100-0000B4000000}"/>
    <hyperlink ref="I75" r:id="rId182" xr:uid="{00000000-0004-0000-0100-0000B5000000}"/>
    <hyperlink ref="J75" r:id="rId183" xr:uid="{00000000-0004-0000-0100-0000B6000000}"/>
    <hyperlink ref="I76" r:id="rId184" xr:uid="{00000000-0004-0000-0100-0000B7000000}"/>
    <hyperlink ref="J76" r:id="rId185" xr:uid="{00000000-0004-0000-0100-0000B8000000}"/>
    <hyperlink ref="I77" r:id="rId186" xr:uid="{00000000-0004-0000-0100-0000B9000000}"/>
    <hyperlink ref="J77" r:id="rId187" xr:uid="{00000000-0004-0000-0100-0000BA000000}"/>
    <hyperlink ref="I78" r:id="rId188" xr:uid="{00000000-0004-0000-0100-0000BB000000}"/>
    <hyperlink ref="J78" r:id="rId189" xr:uid="{00000000-0004-0000-0100-0000BC000000}"/>
    <hyperlink ref="I79" r:id="rId190" xr:uid="{00000000-0004-0000-0100-0000BD000000}"/>
    <hyperlink ref="I80" r:id="rId191" xr:uid="{00000000-0004-0000-0100-0000BE000000}"/>
    <hyperlink ref="J80" r:id="rId192" xr:uid="{00000000-0004-0000-0100-0000BF000000}"/>
    <hyperlink ref="I81" r:id="rId193" xr:uid="{00000000-0004-0000-0100-0000C0000000}"/>
    <hyperlink ref="J81" r:id="rId194" xr:uid="{00000000-0004-0000-0100-0000C1000000}"/>
    <hyperlink ref="I82" r:id="rId195" xr:uid="{00000000-0004-0000-0100-0000C2000000}"/>
    <hyperlink ref="J82" r:id="rId196" location="document/p1" xr:uid="{00000000-0004-0000-0100-0000C3000000}"/>
    <hyperlink ref="I83" r:id="rId197" xr:uid="{00000000-0004-0000-0100-0000C4000000}"/>
    <hyperlink ref="J83" r:id="rId198" xr:uid="{00000000-0004-0000-0100-0000C5000000}"/>
    <hyperlink ref="I84" r:id="rId199" location="document/p1" xr:uid="{00000000-0004-0000-0100-0000C6000000}"/>
    <hyperlink ref="J84" r:id="rId200" xr:uid="{00000000-0004-0000-0100-0000C7000000}"/>
    <hyperlink ref="I85" r:id="rId201" xr:uid="{00000000-0004-0000-0100-0000C8000000}"/>
    <hyperlink ref="J85" r:id="rId202" location="document/p1" xr:uid="{00000000-0004-0000-0100-0000C9000000}"/>
    <hyperlink ref="I86" r:id="rId203" xr:uid="{00000000-0004-0000-0100-0000CA000000}"/>
    <hyperlink ref="J86" r:id="rId204" location="document/p1" xr:uid="{00000000-0004-0000-0100-0000CB000000}"/>
    <hyperlink ref="I87" r:id="rId205" xr:uid="{00000000-0004-0000-0100-0000CC000000}"/>
    <hyperlink ref="J87" r:id="rId206" location="document/p1" xr:uid="{00000000-0004-0000-0100-0000CD000000}"/>
    <hyperlink ref="I88" r:id="rId207" xr:uid="{00000000-0004-0000-0100-0000CE000000}"/>
    <hyperlink ref="J88" r:id="rId208" location="document/p1" xr:uid="{00000000-0004-0000-0100-0000CF000000}"/>
    <hyperlink ref="I89" r:id="rId209" xr:uid="{00000000-0004-0000-0100-0000D0000000}"/>
    <hyperlink ref="J89" r:id="rId210" location="document/p1" xr:uid="{00000000-0004-0000-0100-0000D1000000}"/>
    <hyperlink ref="I90" r:id="rId211" xr:uid="{00000000-0004-0000-0100-0000D2000000}"/>
    <hyperlink ref="J90" r:id="rId212" xr:uid="{00000000-0004-0000-0100-0000D3000000}"/>
    <hyperlink ref="I91" r:id="rId213" xr:uid="{00000000-0004-0000-0100-0000D4000000}"/>
    <hyperlink ref="I92" r:id="rId214" xr:uid="{00000000-0004-0000-0100-0000D5000000}"/>
    <hyperlink ref="J92" r:id="rId215" location="document/p1" xr:uid="{00000000-0004-0000-0100-0000D6000000}"/>
    <hyperlink ref="I93" r:id="rId216" xr:uid="{00000000-0004-0000-0100-0000D7000000}"/>
    <hyperlink ref="J93" r:id="rId217" location="document/p1" xr:uid="{00000000-0004-0000-0100-0000D8000000}"/>
    <hyperlink ref="I94" r:id="rId218" xr:uid="{00000000-0004-0000-0100-0000D9000000}"/>
    <hyperlink ref="J94" r:id="rId219" location="document/p1" xr:uid="{00000000-0004-0000-0100-0000DA000000}"/>
    <hyperlink ref="I95" r:id="rId220" xr:uid="{00000000-0004-0000-0100-0000DB000000}"/>
    <hyperlink ref="J95" r:id="rId221" location="document/p1" xr:uid="{00000000-0004-0000-0100-0000DC000000}"/>
    <hyperlink ref="I96" r:id="rId222" xr:uid="{00000000-0004-0000-0100-0000DD000000}"/>
    <hyperlink ref="J96" r:id="rId223" xr:uid="{00000000-0004-0000-0100-0000DE000000}"/>
    <hyperlink ref="I97" r:id="rId224" xr:uid="{00000000-0004-0000-0100-0000DF000000}"/>
    <hyperlink ref="J97" r:id="rId225" location="document/p1" xr:uid="{00000000-0004-0000-0100-0000E0000000}"/>
    <hyperlink ref="I98" r:id="rId226" xr:uid="{00000000-0004-0000-0100-0000E1000000}"/>
    <hyperlink ref="J98" r:id="rId227" xr:uid="{00000000-0004-0000-0100-0000E2000000}"/>
    <hyperlink ref="I99" r:id="rId228" xr:uid="{00000000-0004-0000-0100-0000E3000000}"/>
    <hyperlink ref="J99" r:id="rId229" xr:uid="{00000000-0004-0000-0100-0000E4000000}"/>
    <hyperlink ref="I100" r:id="rId230" xr:uid="{00000000-0004-0000-0100-0000E5000000}"/>
    <hyperlink ref="J100" r:id="rId231" xr:uid="{00000000-0004-0000-0100-0000E6000000}"/>
    <hyperlink ref="I101" r:id="rId232" xr:uid="{00000000-0004-0000-0100-0000E7000000}"/>
    <hyperlink ref="J101" r:id="rId233" xr:uid="{00000000-0004-0000-0100-0000E8000000}"/>
    <hyperlink ref="I102" r:id="rId234" xr:uid="{00000000-0004-0000-0100-0000E9000000}"/>
    <hyperlink ref="J102" r:id="rId235" location="document/p1" xr:uid="{00000000-0004-0000-0100-0000EA000000}"/>
    <hyperlink ref="I103" r:id="rId236" xr:uid="{00000000-0004-0000-0100-0000EB000000}"/>
    <hyperlink ref="J103" r:id="rId237" location="document/p1" xr:uid="{00000000-0004-0000-0100-0000EC000000}"/>
    <hyperlink ref="I104" r:id="rId238" xr:uid="{00000000-0004-0000-0100-0000ED000000}"/>
    <hyperlink ref="J104" r:id="rId239" location="document/p1" xr:uid="{00000000-0004-0000-0100-0000EE000000}"/>
    <hyperlink ref="I105" r:id="rId240" xr:uid="{00000000-0004-0000-0100-0000EF000000}"/>
    <hyperlink ref="J105" r:id="rId241" location="document/p1" xr:uid="{00000000-0004-0000-0100-0000F0000000}"/>
    <hyperlink ref="I106" r:id="rId242" xr:uid="{00000000-0004-0000-0100-0000F1000000}"/>
    <hyperlink ref="J106" r:id="rId243" xr:uid="{00000000-0004-0000-0100-0000F2000000}"/>
    <hyperlink ref="I107" r:id="rId244" xr:uid="{00000000-0004-0000-0100-0000F3000000}"/>
    <hyperlink ref="J107" r:id="rId245" location="document/p1" xr:uid="{00000000-0004-0000-0100-0000F4000000}"/>
    <hyperlink ref="I108" r:id="rId246" xr:uid="{00000000-0004-0000-0100-0000F5000000}"/>
    <hyperlink ref="J108" r:id="rId247" location="document/p1" xr:uid="{00000000-0004-0000-0100-0000F6000000}"/>
    <hyperlink ref="I109" r:id="rId248" xr:uid="{00000000-0004-0000-0100-0000F7000000}"/>
    <hyperlink ref="J109" r:id="rId249" xr:uid="{00000000-0004-0000-0100-0000F8000000}"/>
    <hyperlink ref="I110" r:id="rId250" xr:uid="{00000000-0004-0000-0100-0000F9000000}"/>
    <hyperlink ref="I111" r:id="rId251" xr:uid="{00000000-0004-0000-0100-0000FA000000}"/>
    <hyperlink ref="I112" r:id="rId252" xr:uid="{00000000-0004-0000-0100-0000FB000000}"/>
    <hyperlink ref="I113" r:id="rId253" xr:uid="{00000000-0004-0000-0100-0000FC000000}"/>
    <hyperlink ref="J113" r:id="rId254" xr:uid="{00000000-0004-0000-0100-0000FD000000}"/>
    <hyperlink ref="I114" r:id="rId255" xr:uid="{00000000-0004-0000-0100-0000FE000000}"/>
    <hyperlink ref="I115" r:id="rId256" xr:uid="{00000000-0004-0000-0100-0000FF000000}"/>
    <hyperlink ref="J115" r:id="rId257" xr:uid="{00000000-0004-0000-0100-000000010000}"/>
    <hyperlink ref="I116" r:id="rId258" xr:uid="{00000000-0004-0000-0100-000001010000}"/>
    <hyperlink ref="J116" r:id="rId259" xr:uid="{00000000-0004-0000-0100-000002010000}"/>
    <hyperlink ref="I117" r:id="rId260" xr:uid="{00000000-0004-0000-0100-000003010000}"/>
    <hyperlink ref="J117" r:id="rId261" xr:uid="{00000000-0004-0000-0100-000004010000}"/>
    <hyperlink ref="I118" r:id="rId262" xr:uid="{00000000-0004-0000-0100-000005010000}"/>
    <hyperlink ref="J118" r:id="rId263" xr:uid="{00000000-0004-0000-0100-000006010000}"/>
    <hyperlink ref="I119" r:id="rId264" xr:uid="{00000000-0004-0000-0100-000007010000}"/>
    <hyperlink ref="J119" r:id="rId265" xr:uid="{00000000-0004-0000-0100-000008010000}"/>
    <hyperlink ref="I120" r:id="rId266" xr:uid="{00000000-0004-0000-0100-000009010000}"/>
    <hyperlink ref="J120" r:id="rId267" xr:uid="{00000000-0004-0000-0100-00000A010000}"/>
    <hyperlink ref="I121" r:id="rId268" xr:uid="{00000000-0004-0000-0100-00000B010000}"/>
    <hyperlink ref="I122" r:id="rId269" xr:uid="{00000000-0004-0000-0100-00000C010000}"/>
    <hyperlink ref="I123" r:id="rId270" xr:uid="{00000000-0004-0000-0100-00000D010000}"/>
    <hyperlink ref="I124" r:id="rId271" xr:uid="{00000000-0004-0000-0100-00000E010000}"/>
    <hyperlink ref="I125" r:id="rId272" xr:uid="{00000000-0004-0000-0100-00000F010000}"/>
    <hyperlink ref="I126" r:id="rId273" xr:uid="{00000000-0004-0000-0100-000010010000}"/>
    <hyperlink ref="J126" r:id="rId274" xr:uid="{00000000-0004-0000-0100-000011010000}"/>
    <hyperlink ref="I127" r:id="rId275" xr:uid="{00000000-0004-0000-0100-000012010000}"/>
    <hyperlink ref="I128" r:id="rId276" xr:uid="{00000000-0004-0000-0100-000013010000}"/>
    <hyperlink ref="I129" r:id="rId277" xr:uid="{00000000-0004-0000-0100-000014010000}"/>
    <hyperlink ref="I130" r:id="rId278" xr:uid="{00000000-0004-0000-0100-000015010000}"/>
    <hyperlink ref="I131" r:id="rId279" xr:uid="{00000000-0004-0000-0100-000016010000}"/>
    <hyperlink ref="J131" r:id="rId280" xr:uid="{00000000-0004-0000-0100-000017010000}"/>
    <hyperlink ref="I132" r:id="rId281" xr:uid="{00000000-0004-0000-0100-000018010000}"/>
    <hyperlink ref="I133" r:id="rId282" xr:uid="{00000000-0004-0000-0100-000019010000}"/>
    <hyperlink ref="I134" r:id="rId283" xr:uid="{00000000-0004-0000-0100-00001A010000}"/>
    <hyperlink ref="J134" r:id="rId284" xr:uid="{00000000-0004-0000-0100-00001B010000}"/>
    <hyperlink ref="I135" r:id="rId285" xr:uid="{00000000-0004-0000-0100-00001C010000}"/>
    <hyperlink ref="J135" r:id="rId286" xr:uid="{00000000-0004-0000-0100-00001D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Penalties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Tim Donaghy</cp:lastModifiedBy>
  <dcterms:modified xsi:type="dcterms:W3CDTF">2025-11-05T23:05:28Z</dcterms:modified>
</cp:coreProperties>
</file>