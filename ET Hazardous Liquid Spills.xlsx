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donaghy/Downloads/"/>
    </mc:Choice>
  </mc:AlternateContent>
  <xr:revisionPtr revIDLastSave="0" documentId="8_{F5366196-333E-F94B-9A81-5BF7698DD38F}" xr6:coauthVersionLast="47" xr6:coauthVersionMax="47" xr10:uidLastSave="{00000000-0000-0000-0000-000000000000}"/>
  <bookViews>
    <workbookView xWindow="0" yWindow="500" windowWidth="27720" windowHeight="17500" activeTab="1" xr2:uid="{00000000-000D-0000-FFFF-FFFF00000000}"/>
  </bookViews>
  <sheets>
    <sheet name="Summary" sheetId="1" r:id="rId1"/>
    <sheet name="PHMSA records" sheetId="2" r:id="rId2"/>
    <sheet name="Notable Incidents" sheetId="3" r:id="rId3"/>
  </sheets>
  <definedNames>
    <definedName name="_xlnm._FilterDatabase" localSheetId="1" hidden="1">'PHMSA records'!$A$1:$YA$302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H302" i="2" l="1"/>
  <c r="F25" i="1"/>
  <c r="F24" i="1"/>
  <c r="F23" i="1"/>
  <c r="F22" i="1"/>
  <c r="B22" i="1"/>
  <c r="F21" i="1"/>
  <c r="B21" i="1"/>
  <c r="F20" i="1"/>
  <c r="B20" i="1"/>
  <c r="F19" i="1"/>
  <c r="B19" i="1"/>
  <c r="F18" i="1"/>
  <c r="C16" i="1"/>
  <c r="B16" i="1"/>
  <c r="F15" i="1"/>
  <c r="C15" i="1"/>
  <c r="B15" i="1"/>
  <c r="F14" i="1"/>
  <c r="C14" i="1"/>
  <c r="B14" i="1"/>
  <c r="F13" i="1"/>
  <c r="F12" i="1"/>
  <c r="F11" i="1"/>
  <c r="F10" i="1"/>
  <c r="B10" i="1"/>
  <c r="B11" i="1" s="1"/>
  <c r="F9" i="1"/>
  <c r="B9" i="1"/>
  <c r="F8" i="1"/>
  <c r="F7" i="1"/>
  <c r="F6" i="1"/>
  <c r="F5" i="1"/>
  <c r="F4" i="1"/>
  <c r="B3" i="1"/>
  <c r="B6" i="1" s="1"/>
</calcChain>
</file>

<file path=xl/sharedStrings.xml><?xml version="1.0" encoding="utf-8"?>
<sst xmlns="http://schemas.openxmlformats.org/spreadsheetml/2006/main" count="26769" uniqueCount="2664">
  <si>
    <t>Summary of Selected Results from Energy Transfer-related hazardous liquids spills (2018-present)</t>
  </si>
  <si>
    <t>Number of Incidents</t>
  </si>
  <si>
    <t>Impacts</t>
  </si>
  <si>
    <t>Start of Time Period</t>
  </si>
  <si>
    <t>Injuries</t>
  </si>
  <si>
    <t>End of Time Period</t>
  </si>
  <si>
    <t>Deaths</t>
  </si>
  <si>
    <t>Average Number of Days Between Incidents</t>
  </si>
  <si>
    <t>Ignition</t>
  </si>
  <si>
    <t>Explosion</t>
  </si>
  <si>
    <t>Total Volume (Unintentional Release)</t>
  </si>
  <si>
    <t>Wildlife</t>
  </si>
  <si>
    <t>in barrels</t>
  </si>
  <si>
    <t>Soil Contamination</t>
  </si>
  <si>
    <t>in gallons</t>
  </si>
  <si>
    <t>Water Contamination</t>
  </si>
  <si>
    <t>in Olympic-sized swimming pools</t>
  </si>
  <si>
    <t>Groundwater Contamination</t>
  </si>
  <si>
    <t>Drinking Water Contamination</t>
  </si>
  <si>
    <t>Totals by Product</t>
  </si>
  <si>
    <t># incidents</t>
  </si>
  <si>
    <t>Total Volume</t>
  </si>
  <si>
    <t>High-Consequence Area</t>
  </si>
  <si>
    <t>Crude Oil</t>
  </si>
  <si>
    <t>High-Population Area</t>
  </si>
  <si>
    <t>Refined Petroleum Products</t>
  </si>
  <si>
    <t>Total Property Damage</t>
  </si>
  <si>
    <t>HVLs</t>
  </si>
  <si>
    <t>Causes</t>
  </si>
  <si>
    <t>Report Status</t>
  </si>
  <si>
    <t>Equipment Failure</t>
  </si>
  <si>
    <t>Original</t>
  </si>
  <si>
    <t>Corrosion</t>
  </si>
  <si>
    <t>Original Final</t>
  </si>
  <si>
    <t>Incorrect Operation</t>
  </si>
  <si>
    <t>Supplemental</t>
  </si>
  <si>
    <t>Other Accident Cause</t>
  </si>
  <si>
    <t>Supplemental Final</t>
  </si>
  <si>
    <t>Material Failure of Pipe or Weld</t>
  </si>
  <si>
    <t>Excavation Damage</t>
  </si>
  <si>
    <t>Natural Force Damage</t>
  </si>
  <si>
    <t>Other Outside Force Damage</t>
  </si>
  <si>
    <t>REPORT_RECEIVED_DATE</t>
  </si>
  <si>
    <t>IYEAR</t>
  </si>
  <si>
    <t>REPORT_NUMBER</t>
  </si>
  <si>
    <t>SUPPLEMENTAL_NUMBER</t>
  </si>
  <si>
    <t>REPORT_TYPE</t>
  </si>
  <si>
    <t>OPERATOR_ID</t>
  </si>
  <si>
    <t>NAME</t>
  </si>
  <si>
    <t>OPERATOR_STREET_ADDRESS</t>
  </si>
  <si>
    <t>OPERATOR_CITY_NAME</t>
  </si>
  <si>
    <t>OPERATOR_STATE_ABBREVIATION</t>
  </si>
  <si>
    <t>OPERATOR_POSTAL_CODE</t>
  </si>
  <si>
    <t>LOCAL_DATETIME</t>
  </si>
  <si>
    <t>TIME_ZONE</t>
  </si>
  <si>
    <t>DAYLIGHT_SAVINGS_IND</t>
  </si>
  <si>
    <t>LOCATION_LATITUDE</t>
  </si>
  <si>
    <t>LOCATION_LONGITUDE</t>
  </si>
  <si>
    <t>COMMODITY_RELEASED_TYPE</t>
  </si>
  <si>
    <t>COMMODITY_SUBTYPE</t>
  </si>
  <si>
    <t>COMMODITY_DETAILS</t>
  </si>
  <si>
    <t>BLEND_DETAILS</t>
  </si>
  <si>
    <t>BIO_DIESEL_DETAILS</t>
  </si>
  <si>
    <t>UNINTENTIONAL_RELEASE_BBLS</t>
  </si>
  <si>
    <t>INTENTIONAL_RELEASE_BBLS</t>
  </si>
  <si>
    <t>RECOVERED_BBLS</t>
  </si>
  <si>
    <t>FATALITY_IND</t>
  </si>
  <si>
    <t>NUM_EMP_FATALITIES</t>
  </si>
  <si>
    <t>NUM_CONTR_FATALITIES</t>
  </si>
  <si>
    <t>NUM_ER_FATALITIES</t>
  </si>
  <si>
    <t>NUM_WORKER_FATALITIES</t>
  </si>
  <si>
    <t>NUM_GP_FATALITIES</t>
  </si>
  <si>
    <t>FATAL</t>
  </si>
  <si>
    <t>INJURY_IND</t>
  </si>
  <si>
    <t>NUM_EMP_INJURIES</t>
  </si>
  <si>
    <t>NUM_CONTR_INJURIES</t>
  </si>
  <si>
    <t>NUM_ER_INJURIES</t>
  </si>
  <si>
    <t>NUM_WORKER_INJURIES</t>
  </si>
  <si>
    <t>NUM_GP_INJURIES</t>
  </si>
  <si>
    <t>INJURE</t>
  </si>
  <si>
    <t>ACCIDENT_IDENTIFIER</t>
  </si>
  <si>
    <t>ACCIDENT_DETAILS</t>
  </si>
  <si>
    <t>OPERATOR_TYPE</t>
  </si>
  <si>
    <t>INCIDENT_IDENTIFIED_DATETIME</t>
  </si>
  <si>
    <t>SYSTEM_PART_INVOLVED</t>
  </si>
  <si>
    <t>ON_OFF_SHORE</t>
  </si>
  <si>
    <t>STATUS_WHEN_IDENTIFIED</t>
  </si>
  <si>
    <t>SHUTDOWN_DUE_ACCIDENT_IND</t>
  </si>
  <si>
    <t>SHUTDOWN_EXPLAIN</t>
  </si>
  <si>
    <t>SHUTDOWN_DATETIME</t>
  </si>
  <si>
    <t>RESTART_DATETIME</t>
  </si>
  <si>
    <t>STILL_SHUTDOWN_IND</t>
  </si>
  <si>
    <t>COMMUNICATION_STATE_FED_IND</t>
  </si>
  <si>
    <t>PARTY_INITIATED_COMMUNICATION</t>
  </si>
  <si>
    <t>INITIAL_RESPONDER_COM_DATETIME</t>
  </si>
  <si>
    <t>ON_SITE_DATETIME</t>
  </si>
  <si>
    <t>CONFIRMED_DISCOVERY_DATETIME</t>
  </si>
  <si>
    <t>NRC_RPT_DATETIME</t>
  </si>
  <si>
    <t>NRC_RPT_NUM</t>
  </si>
  <si>
    <t>ADDITIONAL_NRC_REPORT_NUMBERS</t>
  </si>
  <si>
    <t>IGNITE_IND</t>
  </si>
  <si>
    <t>IGNITE_DATETIME</t>
  </si>
  <si>
    <t>HOW_EXTINGUISHED</t>
  </si>
  <si>
    <t>HOW_EXTINGUISHED_OTHER_DETAIL</t>
  </si>
  <si>
    <t>CONSUMED_BY_FIRE_IN_BARRELS</t>
  </si>
  <si>
    <t>EXPLODE_IND</t>
  </si>
  <si>
    <t>UPSTREAM_ACTION_TAKEN</t>
  </si>
  <si>
    <t>UPSTREAM_OPRTNL_CNTRL_DETAIL</t>
  </si>
  <si>
    <t>UPSTREAM_VALVE_CLOSE_DATETIME</t>
  </si>
  <si>
    <t>UPSTREAM_VALVE_TYPE_IND</t>
  </si>
  <si>
    <t>DOWNSTREAM_ACTION_TAKEN</t>
  </si>
  <si>
    <t>DOWNSTREAM_OPRTNL_CNTRL_DETAIL</t>
  </si>
  <si>
    <t>DOWNSTREAM_VLV_CLOSE_DATETIME</t>
  </si>
  <si>
    <t>DOWNSTREAM_VALVE_TYPE_IND</t>
  </si>
  <si>
    <t>NOTIFY_QUALIFIED_INDIV_IND</t>
  </si>
  <si>
    <t>QUALIFIED_INDIV_NOTIF_DATETIME</t>
  </si>
  <si>
    <t>OIL_SPILL_REMOVAL_ORG_IND</t>
  </si>
  <si>
    <t>OSRO_ACTIVATED_DATETIME</t>
  </si>
  <si>
    <t>OSRO_ARRIVED_ON_SITE_DT</t>
  </si>
  <si>
    <t>NUM_PUB_EVACUATED</t>
  </si>
  <si>
    <t>PIPE_FAC_NAME</t>
  </si>
  <si>
    <t>SEGMENT_NAME</t>
  </si>
  <si>
    <t>ONSHORE_STATE_ABBREVIATION</t>
  </si>
  <si>
    <t>ONSHORE_POSTAL_CODE</t>
  </si>
  <si>
    <t>ONSHORE_CITY_NAME</t>
  </si>
  <si>
    <t>ONSHORE_COUNTY_NAME</t>
  </si>
  <si>
    <t>DESIGNATED_LOCATION</t>
  </si>
  <si>
    <t>DESIGNATED_NAME</t>
  </si>
  <si>
    <t>FEDERAL</t>
  </si>
  <si>
    <t>LOCATION_TYPE</t>
  </si>
  <si>
    <t>INCIDENT_AREA_TYPE</t>
  </si>
  <si>
    <t>INCIDENT_AREA_SUBTYPE</t>
  </si>
  <si>
    <t>INCIDENT_AREA_DETAILS</t>
  </si>
  <si>
    <t>DEPTH_OF_COVER</t>
  </si>
  <si>
    <t>CROSSING</t>
  </si>
  <si>
    <t>BRIDGE_CROSSING_IND</t>
  </si>
  <si>
    <t>BRIDGE_TYPE</t>
  </si>
  <si>
    <t>RAILROAD_CROSSING_IND</t>
  </si>
  <si>
    <t>RAILROAD_TYPE</t>
  </si>
  <si>
    <t>ROAD_CROSSING_IND</t>
  </si>
  <si>
    <t>ROAD_TYPE</t>
  </si>
  <si>
    <t>WATER_CROSSING_IND</t>
  </si>
  <si>
    <t>WATER_TYPE</t>
  </si>
  <si>
    <t>WATER_NAME</t>
  </si>
  <si>
    <t>WATER_DEPTH</t>
  </si>
  <si>
    <t>WATER_SUBTYPE</t>
  </si>
  <si>
    <t>CROSSING_100_FEET</t>
  </si>
  <si>
    <t>OFF_WATER_DEPTH</t>
  </si>
  <si>
    <t>OFF_ACCIDENT_ORIGIN</t>
  </si>
  <si>
    <t>OFFSHORE_STATE_ABBREVIATION</t>
  </si>
  <si>
    <t>OFF_INSTATE_AREA</t>
  </si>
  <si>
    <t>OFF_INSTATE_BLOCK</t>
  </si>
  <si>
    <t>OFFSHORE_COUNTY_NAME</t>
  </si>
  <si>
    <t>OCS_TYPE</t>
  </si>
  <si>
    <t>OFF_OCS_AREA</t>
  </si>
  <si>
    <t>OFF_OCS_BLOCK</t>
  </si>
  <si>
    <t>OFF_AREA_ACCIDENT_TYPE</t>
  </si>
  <si>
    <t>PIPE_FACILITY_TYPE</t>
  </si>
  <si>
    <t>ITEM_INVOLVED</t>
  </si>
  <si>
    <t>PIPE_TYPE</t>
  </si>
  <si>
    <t>PUDDLE_WELD_IND</t>
  </si>
  <si>
    <t>PIPE_DIAMETER</t>
  </si>
  <si>
    <t>PIPE_WALL_THICKNESS</t>
  </si>
  <si>
    <t>PIPE_SMYS</t>
  </si>
  <si>
    <t>PIPE_SPECIFICATION</t>
  </si>
  <si>
    <t>PIPE_SEAM_TYPE</t>
  </si>
  <si>
    <t>PIPE_SEAM_DETAILS</t>
  </si>
  <si>
    <t>PIPE_MANUFACTURER</t>
  </si>
  <si>
    <t>PIPE_COATING_TYPE</t>
  </si>
  <si>
    <t>PIPE_COATING_DETAILS</t>
  </si>
  <si>
    <t>COATING_APPLIED_IND</t>
  </si>
  <si>
    <t>WELD_SUBTYPE</t>
  </si>
  <si>
    <t>WELD_DETAILS</t>
  </si>
  <si>
    <t>DIFFERENT_GIRTH_WELD_IND</t>
  </si>
  <si>
    <t>DIFF_GIRTH_WELD_WALL_THICKNESS</t>
  </si>
  <si>
    <t>DIFF_GIRTH_WELD_SMYS</t>
  </si>
  <si>
    <t>DIFF_GIRTH_WELD_SPECIFICATION</t>
  </si>
  <si>
    <t>DIFF_GIRTH_WELD_SEAM_TYPE</t>
  </si>
  <si>
    <t>DIFF_GIRTH_WELD_SEAM_DETAIL</t>
  </si>
  <si>
    <t>DIFF_GIRTH_WELD_MANUFACTURER</t>
  </si>
  <si>
    <t>DIFF_GIRTH_WELD_COATING_TYPE</t>
  </si>
  <si>
    <t>DIFF_GIRTH_WELD_COATING_DETAIL</t>
  </si>
  <si>
    <t>DIFF_GIRTH_WELD_CTNG_APPLD_IND</t>
  </si>
  <si>
    <t>VALVE_TYPE</t>
  </si>
  <si>
    <t>VALVE_MAINLINE_TYPE</t>
  </si>
  <si>
    <t>VALVE_MAINLINE_DETAILS</t>
  </si>
  <si>
    <t>VALVE_MANUFACTURER</t>
  </si>
  <si>
    <t>PUMP_TYPE</t>
  </si>
  <si>
    <t>PUMP_TYPE_DETAILS</t>
  </si>
  <si>
    <t>PUMP_SERVICE_TYPE</t>
  </si>
  <si>
    <t>PUMP_SERVICE_TYPE_DETAILS</t>
  </si>
  <si>
    <t>TUBING_MATERIAL</t>
  </si>
  <si>
    <t>TUBING_TYPE</t>
  </si>
  <si>
    <t>TANK_VESSEL_SUBTYPE</t>
  </si>
  <si>
    <t>TANK_VESSEL_DETAILS</t>
  </si>
  <si>
    <t>TANK_TYPE</t>
  </si>
  <si>
    <t>TANK_MAX_PRESSURE</t>
  </si>
  <si>
    <t>TANK_SET_POINT_RELIEF_DEVICE</t>
  </si>
  <si>
    <t>TANK_RELIEF_VALVE_ACTVTD_IND</t>
  </si>
  <si>
    <t>TANK_MOP_EXCEEDED_IND</t>
  </si>
  <si>
    <t>SAFE_FILL_LEVEL</t>
  </si>
  <si>
    <t>SAFE_FILL_LEVEL_EXCEEDED_IND</t>
  </si>
  <si>
    <t>API_STD_OUT_OF_SERVICE_YEAR</t>
  </si>
  <si>
    <t>API_STD_OUT_OF_SRVC_NONE_IND</t>
  </si>
  <si>
    <t>API_STD_IN_SERVICE_YEAR</t>
  </si>
  <si>
    <t>API_STD_NO_IN_SERVICE_IND</t>
  </si>
  <si>
    <t>ITEM_INVOLVED_DETAILS</t>
  </si>
  <si>
    <t>INSTALLATION_YEAR</t>
  </si>
  <si>
    <t>MANUFACTURED_YEAR</t>
  </si>
  <si>
    <t>MATERIAL_INVOLVED</t>
  </si>
  <si>
    <t>MATERIAL_DETAILS</t>
  </si>
  <si>
    <t>RELEASE_TYPE</t>
  </si>
  <si>
    <t>PUNCTURE_AXIAL</t>
  </si>
  <si>
    <t>PUNCTURE_CIRCUM</t>
  </si>
  <si>
    <t>LEAK_TYPE</t>
  </si>
  <si>
    <t>LEAK_TYPE_OTHER</t>
  </si>
  <si>
    <t>RUPTURE_ORIENT</t>
  </si>
  <si>
    <t>RUPTURE_DETAILS</t>
  </si>
  <si>
    <t>RUPTURE_WIDTH</t>
  </si>
  <si>
    <t>RUPTURE_LENGTH</t>
  </si>
  <si>
    <t>RELEASE_TYPE_DETAILS</t>
  </si>
  <si>
    <t>WILDLIFE_IMPACT_IND</t>
  </si>
  <si>
    <t>FISH_AQUATIC_IMPACT_IND</t>
  </si>
  <si>
    <t>BIRDS_IMPACT_IND</t>
  </si>
  <si>
    <t>TERRESTRIAL_IMPACT_IND</t>
  </si>
  <si>
    <t>SOIL_CONTAMINATION</t>
  </si>
  <si>
    <t>LONG_TERM_ASSESSMENT</t>
  </si>
  <si>
    <t>REMEDIATION_IND</t>
  </si>
  <si>
    <t>SURFACE_WATER_REMED_IND</t>
  </si>
  <si>
    <t>GROUNDWATER_REMED_IND</t>
  </si>
  <si>
    <t>SOIL_REMED_IND</t>
  </si>
  <si>
    <t>VEGETATION_REMED_IND</t>
  </si>
  <si>
    <t>WILDLIFE_REMED_IND</t>
  </si>
  <si>
    <t>WATER_CONTAM_IND</t>
  </si>
  <si>
    <t>OCEAN_SEAWATER_IND</t>
  </si>
  <si>
    <t>SURFACE_CONTAM_IND</t>
  </si>
  <si>
    <t>GROUNDWATER_CONTAM_IND</t>
  </si>
  <si>
    <t>DRINKING_WATER_CONTAM_IND</t>
  </si>
  <si>
    <t>PRIVATE_WELL_CONTAM_IND</t>
  </si>
  <si>
    <t>PUBLIC_WATER_CONTAM_IND</t>
  </si>
  <si>
    <t>AMOUNT_RELEASED</t>
  </si>
  <si>
    <t>REL_WATER_NAME</t>
  </si>
  <si>
    <t>COULD_BE_HCA</t>
  </si>
  <si>
    <t>COMMODITY_REACHED_HCA</t>
  </si>
  <si>
    <t>COMMERCIALLY_NAV_IND</t>
  </si>
  <si>
    <t>COMMERCIALLY_NAV_YES_NO</t>
  </si>
  <si>
    <t>HIGH_POP_IND</t>
  </si>
  <si>
    <t>HIGH_POP_YES_NO</t>
  </si>
  <si>
    <t>OTHER_POP_IND</t>
  </si>
  <si>
    <t>OTHER_POP_YES_NO</t>
  </si>
  <si>
    <t>USA_DRINKING_IND</t>
  </si>
  <si>
    <t>USA_DRINKING_YES_NO</t>
  </si>
  <si>
    <t>USA_ECOLOGICAL_IND</t>
  </si>
  <si>
    <t>USA_ECOLOGICAL_YES_NO</t>
  </si>
  <si>
    <t>EST_COST_OPER_PAID</t>
  </si>
  <si>
    <t>EST_COST_GAS_RELEASED</t>
  </si>
  <si>
    <t>EST_COST_PROP_DAMAGE</t>
  </si>
  <si>
    <t>EST_COST_EMERGENCY</t>
  </si>
  <si>
    <t>EST_COST_ENVIRONMENTAL</t>
  </si>
  <si>
    <t>EST_COST_OTHER</t>
  </si>
  <si>
    <t>EST_COST_OTHER_DETAILS</t>
  </si>
  <si>
    <t>PRPTY</t>
  </si>
  <si>
    <t>NUM_PERSONS_HOSP_NOT_OVNGHT</t>
  </si>
  <si>
    <t>NUM_INJURED_TREATED_BY_EMT</t>
  </si>
  <si>
    <t>NUM_RESIDENT_BUILDING_AFFCTD</t>
  </si>
  <si>
    <t>NUM_BUSINESS_BUILDING_AFFCTD</t>
  </si>
  <si>
    <t>ACCIDENT_PSIG</t>
  </si>
  <si>
    <t>MOP_PSIG</t>
  </si>
  <si>
    <t>MOP_CFR_SECTION</t>
  </si>
  <si>
    <t>MOP_CFR_SECTION_DETAILS</t>
  </si>
  <si>
    <t>MAOP_ESTABLISHED_DATE</t>
  </si>
  <si>
    <t>MAOP_REVERSAL_FLOW_IND</t>
  </si>
  <si>
    <t>SURGE_ANALYSIS_DATE</t>
  </si>
  <si>
    <t>ACCIDENT_PRESSURE</t>
  </si>
  <si>
    <t>PRESSURE_RESTRICTION_IND</t>
  </si>
  <si>
    <t>EXCEED_RESTRICTION_IND</t>
  </si>
  <si>
    <t>PHMSA_RESTRICTION_IND</t>
  </si>
  <si>
    <t>LENGTH_SEGMENT_ISOLATED</t>
  </si>
  <si>
    <t>INTERNAL_INSPECTION_IND</t>
  </si>
  <si>
    <t>DIAMETER_CHANGE_IND</t>
  </si>
  <si>
    <t>UNSUITABLE_MAINLINE_IND</t>
  </si>
  <si>
    <t>TIGHT_MITERED_IND</t>
  </si>
  <si>
    <t>OTHER_RESTRICTIONS_IND</t>
  </si>
  <si>
    <t>EXTRA_THICK_WALL_IND</t>
  </si>
  <si>
    <t>OTHER_INSPECTION_IND</t>
  </si>
  <si>
    <t>INTERNAL_INSPECTION_DETAILS</t>
  </si>
  <si>
    <t>OPERATION_COMPLICATIONS_IND</t>
  </si>
  <si>
    <t>EXCESSIVE_DEBRIS_IND</t>
  </si>
  <si>
    <t>LOW_OP_PRESSURE_IND</t>
  </si>
  <si>
    <t>LOW_FLOW_IND</t>
  </si>
  <si>
    <t>INCOMPAT_COMMOD_IND</t>
  </si>
  <si>
    <t>OTHER_COMPLICATIONS_IND</t>
  </si>
  <si>
    <t>INSPECT_COMP_DETAILS</t>
  </si>
  <si>
    <t>PIPELINE_FUNCTION</t>
  </si>
  <si>
    <t>SCADA_IN_PLACE_IND</t>
  </si>
  <si>
    <t>SCADA_OPERATING_IND</t>
  </si>
  <si>
    <t>SCADA_FUNCTIONAL_IND</t>
  </si>
  <si>
    <t>SCADA_DETECTION_IND</t>
  </si>
  <si>
    <t>SCADA_CONF_IND</t>
  </si>
  <si>
    <t>CPM_IN_PLACE_IND</t>
  </si>
  <si>
    <t>CPM_OPERATING_IND</t>
  </si>
  <si>
    <t>CPM_FUNCTIONAL_IND</t>
  </si>
  <si>
    <t>CPM_DETECTION_IND</t>
  </si>
  <si>
    <t>CPM_CONF_IND</t>
  </si>
  <si>
    <t>INVESTIGATION_STATUS</t>
  </si>
  <si>
    <t>INVESTIGATION_STATUS_DETAILS</t>
  </si>
  <si>
    <t>INVEST_SCHEDULE_IND</t>
  </si>
  <si>
    <t>INVEST_NO_SCHEDULE_IND</t>
  </si>
  <si>
    <t>INVEST_NO_SCHEDULE_IND_DETAILS</t>
  </si>
  <si>
    <t>INVEST_NO_CONTROL_ROOM_IND</t>
  </si>
  <si>
    <t>INVEST_NO_CONTROLLER_IND</t>
  </si>
  <si>
    <t>INVEST_INCORRECT_ACTION_IND</t>
  </si>
  <si>
    <t>INVEST_FATIGUE_IND</t>
  </si>
  <si>
    <t>INVEST_INCORRECT_PROCEDURE_IND</t>
  </si>
  <si>
    <t>INVEST_INCORRECT_CONTROL_IND</t>
  </si>
  <si>
    <t>INVEST_MAINT_IND</t>
  </si>
  <si>
    <t>INVEST_OTHER_IND</t>
  </si>
  <si>
    <t>INVEST_OTHER_IND_DETAILS</t>
  </si>
  <si>
    <t>EMPLOYEE_DRUG_TEST_IND</t>
  </si>
  <si>
    <t>CONTRACTOR_DRUG_TEST_IND</t>
  </si>
  <si>
    <t>NUM_EMPLOYEES_TESTED</t>
  </si>
  <si>
    <t>NUM_EMPLOYEES_FAILED</t>
  </si>
  <si>
    <t>NUM_CONTRACTORS_TESTED</t>
  </si>
  <si>
    <t>NUM_CONTRACTORS_FAILED</t>
  </si>
  <si>
    <t>CAUSE</t>
  </si>
  <si>
    <t>CAUSE_DETAILS</t>
  </si>
  <si>
    <t>INTERNAL_EXTERNAL</t>
  </si>
  <si>
    <t>VISUAL_EXAM_RESULTS</t>
  </si>
  <si>
    <t>VISUAL_EXAM_DETAILS</t>
  </si>
  <si>
    <t>GALVANIC_CORROSION_IND</t>
  </si>
  <si>
    <t>ATMOSPHERE_CORROSION_IND</t>
  </si>
  <si>
    <t>STRAY_CURRENT_CORROSION_IND</t>
  </si>
  <si>
    <t>MICROBIOLOGICAL_CORROSION_IND</t>
  </si>
  <si>
    <t>SELECTIVE_SEAM_CORROSION_IND</t>
  </si>
  <si>
    <t>OTHER_CORROSION_IND</t>
  </si>
  <si>
    <t>CORROSION_TYPE_DETAILS</t>
  </si>
  <si>
    <t>STRAY_CURRENT_TYPE</t>
  </si>
  <si>
    <t>STRAY_CURRENT_DETAILS</t>
  </si>
  <si>
    <t>FIELD_EXAM_BASIS_IND</t>
  </si>
  <si>
    <t>METALLURGICAL_BASIS_IND</t>
  </si>
  <si>
    <t>OTHER_BASIS_IND</t>
  </si>
  <si>
    <t>CORROSION_BASIS_DETAILS</t>
  </si>
  <si>
    <t>UNDERGROUND_LOCATION</t>
  </si>
  <si>
    <t>UNDER_CATHODIC_PROTECTION_IND</t>
  </si>
  <si>
    <t>CATHODIC_PRO_START_YEAR</t>
  </si>
  <si>
    <t>SHIELDING_EVIDENT</t>
  </si>
  <si>
    <t>CATHODIC_SURVEY_TYPE</t>
  </si>
  <si>
    <t>CP_ANNUAL_SURVEY_IND</t>
  </si>
  <si>
    <t>CLOSE_INTERVAL_SURVEY_IND</t>
  </si>
  <si>
    <t>OTHER_CP_SURVEY_IND</t>
  </si>
  <si>
    <t>CP_ANNUAL_SURVEY_YEAR</t>
  </si>
  <si>
    <t>CLOSE_INTERVAL_SURVEY_YEAR</t>
  </si>
  <si>
    <t>OTHER_CP_SURVEY_YEAR</t>
  </si>
  <si>
    <t>OTHER_CP_SURVEY_DETAILS</t>
  </si>
  <si>
    <t>EXTERNALLY_COATED</t>
  </si>
  <si>
    <t>PRIOR_DAMAGE</t>
  </si>
  <si>
    <t>INT_VISUAL_EXAM_RESULTS</t>
  </si>
  <si>
    <t>INT_VISUAL_EXAM_DETAILS</t>
  </si>
  <si>
    <t>INT_CORROSIVE_COMMODITY_IND</t>
  </si>
  <si>
    <t>INT_WATER_ACID_IND</t>
  </si>
  <si>
    <t>INT_MICROBIOLOGICAL_IND</t>
  </si>
  <si>
    <t>INT_EROSION_IND</t>
  </si>
  <si>
    <t>INT_OTHER_CORROSION_IND</t>
  </si>
  <si>
    <t>INT_CORROSION_TYPE_DETAILS</t>
  </si>
  <si>
    <t>INT_FIELD_EXAM_BASIS_IND</t>
  </si>
  <si>
    <t>INT_METALLURGICAL_BASIS_IND</t>
  </si>
  <si>
    <t>INT_OTHER_BASIS_IND</t>
  </si>
  <si>
    <t>INT_CORROSION_BASIS_DETAILS</t>
  </si>
  <si>
    <t>INT_LOW_POINT_PIPE_LOC_IND</t>
  </si>
  <si>
    <t>INT_ELBOW_LOC_IND</t>
  </si>
  <si>
    <t>INT_DEAD_LEG_LOC_IND</t>
  </si>
  <si>
    <t>INT_OTHER_LOC_IND</t>
  </si>
  <si>
    <t>CORROSION_LOCATION_DETAILS</t>
  </si>
  <si>
    <t>CORROSION_INHIBITORS</t>
  </si>
  <si>
    <t>CORROSION_LINING</t>
  </si>
  <si>
    <t>CLEANING_DEWATERING</t>
  </si>
  <si>
    <t>CORROSION_COUPONS</t>
  </si>
  <si>
    <t>NATURAL_FORCE_TYPE</t>
  </si>
  <si>
    <t>EARTH_SUBTYPE</t>
  </si>
  <si>
    <t>HEAVY_RAINS_SUBTYPE</t>
  </si>
  <si>
    <t>LIGHTNING_SUBTYPE</t>
  </si>
  <si>
    <t>TEMPERATURE_SUBTYPE</t>
  </si>
  <si>
    <t>NF_OTHER_DETAILS</t>
  </si>
  <si>
    <t>NF_EXTREME_WEATHER_IND</t>
  </si>
  <si>
    <t>NF_HURRICANE_IND</t>
  </si>
  <si>
    <t>NF_TROPICAL_STORM_IND</t>
  </si>
  <si>
    <t>NF_TORNADO_IND</t>
  </si>
  <si>
    <t>NF_OTHER_IND</t>
  </si>
  <si>
    <t>NF_EXTREME_WEATHER_DETAILS</t>
  </si>
  <si>
    <t>EX_PARTY_TYPE</t>
  </si>
  <si>
    <t>PRIOR_NOTIFICATION_IND</t>
  </si>
  <si>
    <t>ONE_CALL_SYSTEM_IND</t>
  </si>
  <si>
    <t>EXCAVATOR_IND</t>
  </si>
  <si>
    <t>CONTRACTOR_IND</t>
  </si>
  <si>
    <t>LANDOWNER_IND</t>
  </si>
  <si>
    <t>STATE_LAW_EXEMPT_IND</t>
  </si>
  <si>
    <t>STATE_LAW_EXEMPT_TYPE</t>
  </si>
  <si>
    <t>STATE_LAW_EXEMPT_DETAIL</t>
  </si>
  <si>
    <t>STATE_LAW_EXEMPT_AUTHORITY</t>
  </si>
  <si>
    <t>STATE_LAW_EXEMPT_CRITERIA</t>
  </si>
  <si>
    <t>NOTIFY_CGA_DIRT</t>
  </si>
  <si>
    <t>PUBLIC_ROW_IND</t>
  </si>
  <si>
    <t>PUBLIC_SUBTYPE</t>
  </si>
  <si>
    <t>PRIVATE_ROW_IND</t>
  </si>
  <si>
    <t>PRIVATE_SUBTYPE</t>
  </si>
  <si>
    <t>PIPELINE_EASEMENT_ROW_IND</t>
  </si>
  <si>
    <t>POWER_TRANSMISSION_ROW_IND</t>
  </si>
  <si>
    <t>RAILROAD_ROW_IND</t>
  </si>
  <si>
    <t>PUBLIC_UTIL_EASEMENT_ROW_IND</t>
  </si>
  <si>
    <t>FEDERAL_LAND_ROW_IND</t>
  </si>
  <si>
    <t>UNKNOWN_ROW_IND</t>
  </si>
  <si>
    <t>JOINT_TRENCH_IND</t>
  </si>
  <si>
    <t>CROSS_BORE_IND</t>
  </si>
  <si>
    <t>DEPTH_OF_GRADE</t>
  </si>
  <si>
    <t>DEPTH_OF_GRADE_DETAIL</t>
  </si>
  <si>
    <t>EXCAVATOR_TYPE</t>
  </si>
  <si>
    <t>EXCAVATOR_EQUIPMENT</t>
  </si>
  <si>
    <t>WORK_PERFORMED</t>
  </si>
  <si>
    <t>ONE_CALL_NOTIFIED_IND</t>
  </si>
  <si>
    <t>ONE_CALL_TICKET_NUM</t>
  </si>
  <si>
    <t>ONE_CALL_CENTER_NAME</t>
  </si>
  <si>
    <t>WHITE_LINED_IND</t>
  </si>
  <si>
    <t>LOCATOR_TYPE</t>
  </si>
  <si>
    <t>VISIBLE_MARKS</t>
  </si>
  <si>
    <t>SERVICE_INTERRUPTION</t>
  </si>
  <si>
    <t>SERVICE_INTERRUPTION_HOURS</t>
  </si>
  <si>
    <t>ROOT_CAUSE_CATEGORY</t>
  </si>
  <si>
    <t>ROOT_CAUSE_TYPE</t>
  </si>
  <si>
    <t>ROOT_CAUSE_TYPE_OTHER</t>
  </si>
  <si>
    <t>OUTSIDE_FORCE_TYPE</t>
  </si>
  <si>
    <t>VEHICLE_SUBTYPE</t>
  </si>
  <si>
    <t>OSF_HURRICANE_IND</t>
  </si>
  <si>
    <t>OSF_TROPICAL_STORM_IND</t>
  </si>
  <si>
    <t>OSF_TORNADO_IND</t>
  </si>
  <si>
    <t>OSF_HEAVY_RAINS_IND</t>
  </si>
  <si>
    <t>OSF_OTHER_WEATHER_IND</t>
  </si>
  <si>
    <t>OSF_OTHER_WEATHER_DETAILS</t>
  </si>
  <si>
    <t>INTENTIONAL_SUBTYPE</t>
  </si>
  <si>
    <t>INTENTIONAL_DETAILS</t>
  </si>
  <si>
    <t>OSF_OTHER_DETAILS</t>
  </si>
  <si>
    <t>DRIVER_ISSUED_CITATION_IND</t>
  </si>
  <si>
    <t>CITATION_SPEED_IND</t>
  </si>
  <si>
    <t>CITATION_RECKLESS_IND</t>
  </si>
  <si>
    <t>CITATION_DUI_IND</t>
  </si>
  <si>
    <t>CITATION_OTHER_IND</t>
  </si>
  <si>
    <t>CITATION_OTHER_DETAIL</t>
  </si>
  <si>
    <t>DRIVER_IN_CONTROL_IND</t>
  </si>
  <si>
    <t>ESTIMATED_SPEED</t>
  </si>
  <si>
    <t>ESTIMATED_SPEED_UNKNOWN_IND</t>
  </si>
  <si>
    <t>VEHICLE_TYPE</t>
  </si>
  <si>
    <t>VEHICLE_TRAVEL_FROM</t>
  </si>
  <si>
    <t>VEHICLE_TRAVEL_DISTANCE_FT</t>
  </si>
  <si>
    <t>PROTECTIONS_INSTALLED_IND</t>
  </si>
  <si>
    <t>PROTECTION_BOLLARDS_POST_IND</t>
  </si>
  <si>
    <t>PROTECTION_BARRICADES_IND</t>
  </si>
  <si>
    <t>PROTECTION_GUARD_RAILS_IND</t>
  </si>
  <si>
    <t>PROTECTION_OTHER_IND</t>
  </si>
  <si>
    <t>PROTECTION_OTHER_DETAIL</t>
  </si>
  <si>
    <t>FIELD_EXAM_IND</t>
  </si>
  <si>
    <t>METALLURGICAL_IND</t>
  </si>
  <si>
    <t>OTHER_ANALYSIS_IND</t>
  </si>
  <si>
    <t>OTHER_ANALYSIS_DETAILS</t>
  </si>
  <si>
    <t>STILL_UNDER_INVEST_IND</t>
  </si>
  <si>
    <t>FAILURE_TYPE</t>
  </si>
  <si>
    <t>FATIGUE_VIBR_RELATED</t>
  </si>
  <si>
    <t>FAILURE_SUBTYPE</t>
  </si>
  <si>
    <t>FATIGUE_VIBR_RELATED_OTHER</t>
  </si>
  <si>
    <t>MECHANICAL_STRESS</t>
  </si>
  <si>
    <t>OTHER_FACTOR</t>
  </si>
  <si>
    <t>OTHER_FACTOR_DETAILS</t>
  </si>
  <si>
    <t>STRESS_SUBTYPE</t>
  </si>
  <si>
    <t>STRESS_DETAILS</t>
  </si>
  <si>
    <t>ADDITIONAL_DENT_IND</t>
  </si>
  <si>
    <t>ADDITIONAL_GOUGE_IND</t>
  </si>
  <si>
    <t>ADDITIONAL_PIPE_BEND_IND</t>
  </si>
  <si>
    <t>ADDITIONAL_ARC_BURN_IND</t>
  </si>
  <si>
    <t>ADDITIONAL_CRACK_IND</t>
  </si>
  <si>
    <t>ADDITIONAL_LACK_FUSION_IND</t>
  </si>
  <si>
    <t>ADDITIONAL_LAMINATION_IND</t>
  </si>
  <si>
    <t>ADDITIONAL_BUCKLE_IND</t>
  </si>
  <si>
    <t>ADDITIONAL_WRINKLE_IND</t>
  </si>
  <si>
    <t>PWF_ADDL_MISALIGNMENT_IND</t>
  </si>
  <si>
    <t>ADDITIONAL_BURNT_STEEL_IND</t>
  </si>
  <si>
    <t>PWF_ADDITIONAL_OTHER_IND</t>
  </si>
  <si>
    <t>EQ_FAILURE_TYPE</t>
  </si>
  <si>
    <t>CONTROL_VALVE_IND</t>
  </si>
  <si>
    <t>INSTRUMENTATION_IND</t>
  </si>
  <si>
    <t>SCADA_IND</t>
  </si>
  <si>
    <t>COMMUNICATIONS_IND</t>
  </si>
  <si>
    <t>BLOCK_VALVE_IND</t>
  </si>
  <si>
    <t>CHECK_VALVE_IND</t>
  </si>
  <si>
    <t>RELIEF_VALVE_IND</t>
  </si>
  <si>
    <t>POWER_FAILURE_IND</t>
  </si>
  <si>
    <t>STOPPLE_CONTROL_FITTING_IND</t>
  </si>
  <si>
    <t>ESD_SYSTEM_FAILURE_IND</t>
  </si>
  <si>
    <t>OTHER_CONTROL_RELIEF_IND</t>
  </si>
  <si>
    <t>OTHER_CONTROL_RELIEF_DETAILS</t>
  </si>
  <si>
    <t>OTHER_PUMP_IND</t>
  </si>
  <si>
    <t>OTHER_PUMP_DETAILS</t>
  </si>
  <si>
    <t>OTHER_STRIPPED_IND</t>
  </si>
  <si>
    <t>OTHER_STRIPPED_DETAILS</t>
  </si>
  <si>
    <t>OTHER_NON_THREADED_IND</t>
  </si>
  <si>
    <t>OTHER_NON_THREADED_DETAILS</t>
  </si>
  <si>
    <t>FAILURE_DETAILS</t>
  </si>
  <si>
    <t>ADDITIONAL_VIBRATION_IND</t>
  </si>
  <si>
    <t>ADDITIONAL_OVERPRESSURE_IND</t>
  </si>
  <si>
    <t>ADDITIONAL_SUPPORT_IND</t>
  </si>
  <si>
    <t>ADDITIONAL_DEFECT_IND</t>
  </si>
  <si>
    <t>ADDITIONAL_ELECTRICITY_IND</t>
  </si>
  <si>
    <t>ADDITIONAL_INSTALLATION_IND</t>
  </si>
  <si>
    <t>ADDITIONAL_IMPROPER_MNTNCE_IND</t>
  </si>
  <si>
    <t>ADDITIONAL_MISMATCH_IND</t>
  </si>
  <si>
    <t>ADDITIONAL_DISSIMILAR_IND</t>
  </si>
  <si>
    <t>ADDITIONAL_BREAKDOWN_IND</t>
  </si>
  <si>
    <t>ADDITIONAL_VALVE_IND</t>
  </si>
  <si>
    <t>ADDITIONAL_ALARM_IND</t>
  </si>
  <si>
    <t>IEF_ADDL_MISALIGNMENT_IND</t>
  </si>
  <si>
    <t>ADDITIONAL_THERMAL_IND</t>
  </si>
  <si>
    <t>ADDITIONAL_EROSION_WEAR_IND</t>
  </si>
  <si>
    <t>EQ_ADDITIONAL_OTHER_IND</t>
  </si>
  <si>
    <t>EQ_ADDITIONAL_OTHER_DETAILS</t>
  </si>
  <si>
    <t>OPERATION_TYPE</t>
  </si>
  <si>
    <t>OVERFLOW_OTHER_IND</t>
  </si>
  <si>
    <t>OVERFLOW_OTHER_DETAILS</t>
  </si>
  <si>
    <t>OPERATION_DETAILS</t>
  </si>
  <si>
    <t>RELATED_INADEQUATE_PROC_IND</t>
  </si>
  <si>
    <t>RELATED_NO_PROC_IND</t>
  </si>
  <si>
    <t>RELATED_FAILURE_FOLLOW_IND</t>
  </si>
  <si>
    <t>RELATED_OTHER_IND</t>
  </si>
  <si>
    <t>OPERATION_RELATED_DETAILS</t>
  </si>
  <si>
    <t>CATEGORY_TYPE</t>
  </si>
  <si>
    <t>OPERATOR_QUALIFICATION_IND</t>
  </si>
  <si>
    <t>QUALIFIED_INDIVIDUALS</t>
  </si>
  <si>
    <t>OTHER_TYPE</t>
  </si>
  <si>
    <t>MISC_DETAILS</t>
  </si>
  <si>
    <t>UNKNOWN_SUBTYPE</t>
  </si>
  <si>
    <t>INCIDENT_UNKNOWN_COMMENTS</t>
  </si>
  <si>
    <t>COLLECTED_DATA_IND</t>
  </si>
  <si>
    <t>AXIAL_MAGNETIC_FLX_LKG_IND</t>
  </si>
  <si>
    <t>CIR_TRN_WAVE_MGN_FLX_LKG_IND</t>
  </si>
  <si>
    <t>ULTRASONIC_IND</t>
  </si>
  <si>
    <t>GEOMETRY_DEFORMATION_IND</t>
  </si>
  <si>
    <t>EMAT_IND</t>
  </si>
  <si>
    <t>CPCM_IND</t>
  </si>
  <si>
    <t>OTHER_TOOL_TECH_IND</t>
  </si>
  <si>
    <t>AXIAL_RECENT_YEAR</t>
  </si>
  <si>
    <t>AXIAL_RCNT_PROPUL_METHOD</t>
  </si>
  <si>
    <t>AXIAL_RCNT_ATTUNED_DETECT</t>
  </si>
  <si>
    <t>AXIAL_RCNT_ATND_DTCT_DTLS</t>
  </si>
  <si>
    <t>AXIAL_RCNT_ATND_DTCT_METAL</t>
  </si>
  <si>
    <t>AXIAL_RCNT_ATT_DT_METAL_DTLS</t>
  </si>
  <si>
    <t>AXIAL_PREVIOUS_YEAR</t>
  </si>
  <si>
    <t>AXIAL_PREV_PROPUL_METHOD</t>
  </si>
  <si>
    <t>AXIAL_PREV_ATTUNED_DETECT</t>
  </si>
  <si>
    <t>AXIAL_PREV_ATND_DTCT_DTLS</t>
  </si>
  <si>
    <t>AXIAL_PREV_ATND_DTCT_METAL</t>
  </si>
  <si>
    <t>AXIAL_PREV_ATT_DT_METAL_DTLS</t>
  </si>
  <si>
    <t>CIRC_WAVE_RECENT_YEAR</t>
  </si>
  <si>
    <t>CIRC_WV_RCNT_PROPUL_METHOD</t>
  </si>
  <si>
    <t>CIRC_WV_RCNT_RESOLUTION</t>
  </si>
  <si>
    <t>CIRC_WV_RCNT_RESOLUTION_DTLS</t>
  </si>
  <si>
    <t>CIRC_WV_PREVIOUS_YEAR</t>
  </si>
  <si>
    <t>CIRC_WV_PREV_PROPUL_METHOD</t>
  </si>
  <si>
    <t>CIRC_WV_PREV_RESOLUTION</t>
  </si>
  <si>
    <t>CIRC_WV_PREV_RESOLUTION_DTLS</t>
  </si>
  <si>
    <t>ULTRASONIC_RECENT_YEAR</t>
  </si>
  <si>
    <t>ULTRASONIC_RCNT_PROPUL_METHOD</t>
  </si>
  <si>
    <t>ULTRASONIC_RCNT_ATTUNED</t>
  </si>
  <si>
    <t>ULTRA_RCNT_ATTUNEDD_DTLS</t>
  </si>
  <si>
    <t>UTRA_RCNT_ATT_METL_RESOLUTION</t>
  </si>
  <si>
    <t>UTRA_RCNT_ATT_METL_RES_DTLS</t>
  </si>
  <si>
    <t>ULTR_PREVIOUS_YEAR</t>
  </si>
  <si>
    <t>ULTRA_PREV_PROPUL_METHOD</t>
  </si>
  <si>
    <t>ULTRA_PREV_ATTUNED</t>
  </si>
  <si>
    <t>ULTRA_PREV_ATTUNED_DTLS</t>
  </si>
  <si>
    <t>UTRA_PREV_ATT_METL_RESOLUTION</t>
  </si>
  <si>
    <t>UTRA_PREV_ATT_METL_RES_DTLS</t>
  </si>
  <si>
    <t>GEOMETRY_RECENT_YEAR</t>
  </si>
  <si>
    <t>GEOMETRY_RCNT_PROPUL_METHOD</t>
  </si>
  <si>
    <t>GEOMETRY_RCNT_RESOLUTION</t>
  </si>
  <si>
    <t>GEOMETRY_RCNT_RESOLUTION_DTLS</t>
  </si>
  <si>
    <t>GEOMETRT_RCNT_MEASUR_CUPS</t>
  </si>
  <si>
    <t>GEOMETRY_PREVIOUS_YEAR</t>
  </si>
  <si>
    <t>GEOMETRY_PREV_PROPUL_METHOD</t>
  </si>
  <si>
    <t>GEOMETRY_PREV_RESOLUTION</t>
  </si>
  <si>
    <t>GEOMETRY_PREV_RESOLUTION_DTLS</t>
  </si>
  <si>
    <t>GEOMETRT_PREV_MEASUR_CUPS</t>
  </si>
  <si>
    <t>EMAT_RECENT_YEAR</t>
  </si>
  <si>
    <t>EMAT_RCNT_PROPUL_METHOD</t>
  </si>
  <si>
    <t>EMAT_PREVIOUS_YEAR</t>
  </si>
  <si>
    <t>EMAT_PREV_PROPUL_METHOD</t>
  </si>
  <si>
    <t>CPCM_RECENT_YEAR</t>
  </si>
  <si>
    <t>CPCM_RCNT_PROPUL_METHOD</t>
  </si>
  <si>
    <t>CPCM_PREVIOUS_YEAR</t>
  </si>
  <si>
    <t>CPCM_PREV_PROPUL_METHOD</t>
  </si>
  <si>
    <t>OTHER_TOOL</t>
  </si>
  <si>
    <t>OTHER_RECENT_YEAR</t>
  </si>
  <si>
    <t>OTHER_RCNT_PROPUL_METHOD</t>
  </si>
  <si>
    <t>OTHER_PREVIOUS_YEAR</t>
  </si>
  <si>
    <t>OTHER_PREV_PROPUL_METHOD</t>
  </si>
  <si>
    <t>INSP_COMPL_BEFORE_DAMAGE_IND</t>
  </si>
  <si>
    <t>HAS_HYDRTST_CONDUC_BEFORE_IND</t>
  </si>
  <si>
    <t>HYDRTST_MOST_RCNT_YEAR</t>
  </si>
  <si>
    <t>HYDRTST_MOST_RCNT_PRESSURE</t>
  </si>
  <si>
    <t>DIRECT_ASMNT_CONDUCTED</t>
  </si>
  <si>
    <t>DIRECT_ASMNT_AT_PNT_ACCDNT_YR</t>
  </si>
  <si>
    <t>DIRECT_ASMNT_PNT_NOT_IDNTF_YR</t>
  </si>
  <si>
    <t>ASMNT_ECDA_RCNT_IND</t>
  </si>
  <si>
    <t>ASMNT_ECDA_RCNT_YEAR</t>
  </si>
  <si>
    <t>ASMNT_OTHER_RCNT_IND</t>
  </si>
  <si>
    <t>ASMNT_OTHER_TYPE</t>
  </si>
  <si>
    <t>ASMNT_OTHER_RCNT_YEAR</t>
  </si>
  <si>
    <t>NON_DESTRUCTIVE_EXAM_IND</t>
  </si>
  <si>
    <t>EXM_RADIOGRAPHY_RCNT_YEAR</t>
  </si>
  <si>
    <t>EXM_WAVE_ULTRASONIC_RCNT_YEAR</t>
  </si>
  <si>
    <t>EXM_HANDL_ULTRASONIC_RCNT_YEAR</t>
  </si>
  <si>
    <t>EXM_WET_MGNT_PARTCL_RCNT_YEAR</t>
  </si>
  <si>
    <t>EXM_DRY_MGNT_PARTCL_RCNT_YEAR</t>
  </si>
  <si>
    <t>EXM_OTHER_TYPE</t>
  </si>
  <si>
    <t>EXM_OTHER_RCNT_YEAR</t>
  </si>
  <si>
    <t>EXM_RADIOGRAPHY_RCNT_IND</t>
  </si>
  <si>
    <t>EXM_WAVE_ULTRASONIC_RCNT_IND</t>
  </si>
  <si>
    <t>EXM_HANDL_ULTRASONIC_RCNT_IND</t>
  </si>
  <si>
    <t>EXM_WET_MGNT_PARTCL_RCNT_IND</t>
  </si>
  <si>
    <t>EXM_DRY_MGNT_PARTCL_RCNT_IND</t>
  </si>
  <si>
    <t>EXM_OTHER_RCNT_IND</t>
  </si>
  <si>
    <t>EXTRNL_COR_GALVANIC_IND</t>
  </si>
  <si>
    <t>EXTRNL_COR_ATMOSPHERIC_IND</t>
  </si>
  <si>
    <t>EXTRNL_COR_STRAY_CURRENT_IND</t>
  </si>
  <si>
    <t>EXTRNL_COR_MICROBIOLOGIC_IND</t>
  </si>
  <si>
    <t>EXTRNL_COR_SELECTIVE_SEAM_IND</t>
  </si>
  <si>
    <t>INTRNL_COR_CORROSIVE_CMDTY_IND</t>
  </si>
  <si>
    <t>INTRNL_COR_WTR_DRPOUT_ACID_IND</t>
  </si>
  <si>
    <t>INTRNL_COR_MICROBIOLOGIC_IND</t>
  </si>
  <si>
    <t>INTRNL_COR_EROSION_IND</t>
  </si>
  <si>
    <t>NF_EARTH_MOVEMENT_IND</t>
  </si>
  <si>
    <t>NF_HEAVY_RAINS_IND</t>
  </si>
  <si>
    <t>NF_LIGHTNING_IND</t>
  </si>
  <si>
    <t>NF_TEMPERATURE_IND</t>
  </si>
  <si>
    <t>NF_HIGH_WINDS_IND</t>
  </si>
  <si>
    <t>NF_VEGITATION_ROOT_IND</t>
  </si>
  <si>
    <t>EXCVTN_DMG_OPERATOR_IND</t>
  </si>
  <si>
    <t>EXCVTN_DMG_OP_CONTRACTOR_IND</t>
  </si>
  <si>
    <t>EXCVTN_DMG_THIRD_PARTY_IND</t>
  </si>
  <si>
    <t>EXCVTN_DMG_PREVIOUS_DAMAGE_IND</t>
  </si>
  <si>
    <t>OSF_NEARBY_INDUSTRIAL_IND</t>
  </si>
  <si>
    <t>OSF_VEHICLE_IND</t>
  </si>
  <si>
    <t>OSF_BOAT_IND</t>
  </si>
  <si>
    <t>OSF_OTHER_MARITIME_IND</t>
  </si>
  <si>
    <t>OSF_ELECTRICAL_ARCING_IND</t>
  </si>
  <si>
    <t>OSF_PREVIOUS_MECHANICAL_IND</t>
  </si>
  <si>
    <t>OSF_INTENTIONAL_IND</t>
  </si>
  <si>
    <t>PWF_DESIGN_IND</t>
  </si>
  <si>
    <t>PWF_CONSTRUCTION_IND</t>
  </si>
  <si>
    <t>PWF_INSTALLATION_IND</t>
  </si>
  <si>
    <t>PWF_FABRICATION_IND</t>
  </si>
  <si>
    <t>PWF_MANUFACTURING_IND</t>
  </si>
  <si>
    <t>PWF_ENV_STRESS_CORROSION_IND</t>
  </si>
  <si>
    <t>PWF_ENV_SULFIDE_STRESS_IND</t>
  </si>
  <si>
    <t>PWF_ENV_HYDROGEN_STRESS_IND</t>
  </si>
  <si>
    <t>PWF_ENV_HARD_SPOT_IND</t>
  </si>
  <si>
    <t>EQF_CONTROL_RELEAF_IND</t>
  </si>
  <si>
    <t>EQF_PUMP_EQUIPMENT_IND</t>
  </si>
  <si>
    <t>EQF_THREADED_COUPLING_IND</t>
  </si>
  <si>
    <t>EQF_NON_THREADED_IND</t>
  </si>
  <si>
    <t>EQF_DEFECTIVE_FITTING_IND</t>
  </si>
  <si>
    <t>EQF_EQUIPMENT_BODY_IND</t>
  </si>
  <si>
    <t>IO_DAMAGE_BY_OPERATOR_IND</t>
  </si>
  <si>
    <t>IO_TANK_VESSEL_IND</t>
  </si>
  <si>
    <t>IO_VALVE_POSITION_IND</t>
  </si>
  <si>
    <t>IO_EQUIPMENT_OVERPRESSURE_IND</t>
  </si>
  <si>
    <t>IO_NOT_INSTALLED_PROPERLY_IND</t>
  </si>
  <si>
    <t>IO_WRONG_EQUIPMENT_IND</t>
  </si>
  <si>
    <t>IO_INADEQUATE_PROCEDURE_IND</t>
  </si>
  <si>
    <t>IO_NO_PROCEDURE_IND</t>
  </si>
  <si>
    <t>IO_FOLLOW_PROCEDURE_IND</t>
  </si>
  <si>
    <t>PREPARER_NAME</t>
  </si>
  <si>
    <t>PREPARER_TITLE</t>
  </si>
  <si>
    <t>PREPARER_EMAIL</t>
  </si>
  <si>
    <t>PREPARER_TELEPHONE</t>
  </si>
  <si>
    <t>PREPARER_FAX</t>
  </si>
  <si>
    <t>PREPARED_DATE</t>
  </si>
  <si>
    <t>LOCAL_CONTACT_NAME</t>
  </si>
  <si>
    <t>LOCAL_CONTACT_EMAIL</t>
  </si>
  <si>
    <t>LOCAL_CONTACT_TELEPHONE</t>
  </si>
  <si>
    <t>AUTHORIZER_NAME</t>
  </si>
  <si>
    <t>AUTHORIZER_TELEPHONE</t>
  </si>
  <si>
    <t>AUTHORIZER_TITLE</t>
  </si>
  <si>
    <t>AUTHORIZER_EMAIL</t>
  </si>
  <si>
    <t>NARRATIVE</t>
  </si>
  <si>
    <t>ORIGINAL</t>
  </si>
  <si>
    <t>CRESTWOOD MIDSTREAM PARTNERS LP</t>
  </si>
  <si>
    <t>1300 MAIN STREET</t>
  </si>
  <si>
    <t>HOUSTON</t>
  </si>
  <si>
    <t>TX</t>
  </si>
  <si>
    <t>CENTRAL</t>
  </si>
  <si>
    <t>YES</t>
  </si>
  <si>
    <t>CRUDE OIL</t>
  </si>
  <si>
    <t>NO</t>
  </si>
  <si>
    <t>LOCAL OPERATING PERSONNEL, INCLUDING CONTRACTORS</t>
  </si>
  <si>
    <t>OPERATOR EMPLOYEE</t>
  </si>
  <si>
    <t>ONSHORE PUMP/METER STATION EQUIPMENT AND PIPING</t>
  </si>
  <si>
    <t>ONSHORE</t>
  </si>
  <si>
    <t>NORMAL OPERATION, INCLUDES PAUSES BETWEEN BATCHES AND DURING MAINTENANCE</t>
  </si>
  <si>
    <t>OPERATOR/CONTRACTOR</t>
  </si>
  <si>
    <t>ARROW CENTRAL DELIVERY POINT</t>
  </si>
  <si>
    <t>8-INCH 100 LINE</t>
  </si>
  <si>
    <t>ND</t>
  </si>
  <si>
    <t>Not Within a Municipality</t>
  </si>
  <si>
    <t>MCKENZIE</t>
  </si>
  <si>
    <t>SURVEY STATION NO.</t>
  </si>
  <si>
    <t>0+00</t>
  </si>
  <si>
    <t>TOTALLY CONTAINED ON OPERATOR-CONTROLLED PROPERTY</t>
  </si>
  <si>
    <t>ABOVEGROUND</t>
  </si>
  <si>
    <t>INSIDE A BUILDING</t>
  </si>
  <si>
    <t>INTRASTATE</t>
  </si>
  <si>
    <t>PUMP</t>
  </si>
  <si>
    <t>CENTRIFUGAL</t>
  </si>
  <si>
    <t>INJECTION</t>
  </si>
  <si>
    <t>CARBON STEEL</t>
  </si>
  <si>
    <t>LEAK</t>
  </si>
  <si>
    <t>SEAL OR PACKING</t>
  </si>
  <si>
    <t>FOUR HOUR TEST OR OPERATION ß195.406(A)(5)</t>
  </si>
  <si>
    <t>PRESSURE DID NOT EXCEED MOP</t>
  </si>
  <si>
    <t>&gt; 20% SMYS REGULATED TRANSMISSION</t>
  </si>
  <si>
    <t>NO, THE OPERATOR DID NOT FIND THAT AN INVESTIGATION OF THE CONTROLLER(S) ACTIONS OR CONTROL ROOM ISSUES WAS NECESSARY DUE TO: (PROVIDE AN EXPLANATION FOR WHY THE OPERATOR DID NOT INVESTIGATE)</t>
  </si>
  <si>
    <t>A REVIEW OF THE ACCIDENT DETERMINED THAT THERE WERE NO CONTROL ROOM ACTIONS THAT CONTRIBUTED TO THE EVENT.</t>
  </si>
  <si>
    <t>OTHER ACCIDENT CAUSE</t>
  </si>
  <si>
    <t>UNKNOWN</t>
  </si>
  <si>
    <t>STILL UNDER INVESTIGATION, CAUSE OF ACCIDENT TO BE DETERMINED* (*SUPPLEMENTAL REPORT REQUIRED)</t>
  </si>
  <si>
    <t>TODD NARDOZZI</t>
  </si>
  <si>
    <t>DIRECTOR - DOT COMPLIANCE</t>
  </si>
  <si>
    <t>todd.nardozzi@energytransfer.com</t>
  </si>
  <si>
    <t>713-989-7126</t>
  </si>
  <si>
    <t>ON 06/06/25 AT APPROXIMATELY 17:35, AN OPERATOR EMPLOYEE DISCOVERED A SMALL FIRE ON PUMP C3 IN THE PUMP ROOM. THE FIRE WAS IMMEDIATELY EXTINGUISHED WITH A FIRE EXTINGUISHER. OPERATIONS DISCOVERED CRUDE OIL LEAKING FROM A SEAL ON THE 8INCH 100 LINE INSIDE ARROW CENTRAL DELIVERY POINT (CDP).     APPROXIMATELY 1 GALLON OF CRUDE OIL WAS RELEASED. A SMALL AMOUNT OF PRODUCT WAS CONSUMED BY THE FIRE. THE REMAINING PRODUCT WAS CLEANED-UP BY LOCAL PERSONNEL.      THE PUMP WAS REMOVED AND FLANGES BLINDED. THE PUMP HAS BEEN SENT TO A THIRD PARTY FOR ANALYSIS, INSPECTION AND REPAIR. THE LINE WAS RESTARTED ON 06/07/25 AT 07:50.    THE CAUSE OF THE ACCIDENT IS STILL UNDER INVESTIGATION BY A THIRD PARTY. A SUPPLEMENTAL REPORT WILL BE SUBMITTED ONCE THE INVESTIGATION IS COMPLETE.</t>
  </si>
  <si>
    <t>ET CRUDE OPERATING LLC</t>
  </si>
  <si>
    <t>ONSHORE TERMINAL/TANK FARM EQUIPMENT AND PIPING</t>
  </si>
  <si>
    <t>CUSHING TANK FARM</t>
  </si>
  <si>
    <t>CIMARRON LINE</t>
  </si>
  <si>
    <t>OK</t>
  </si>
  <si>
    <t>PAYNE</t>
  </si>
  <si>
    <t>UNDERGROUND</t>
  </si>
  <si>
    <t>UNDER SOIL</t>
  </si>
  <si>
    <t>INTERSTATE</t>
  </si>
  <si>
    <t>PIPE</t>
  </si>
  <si>
    <t>PIPE BODY</t>
  </si>
  <si>
    <t>GRADE B</t>
  </si>
  <si>
    <t>ERW - HIGH FREQUENCY</t>
  </si>
  <si>
    <t>FUSION BONDED EPOXY(FBE)</t>
  </si>
  <si>
    <t>PINHOLE</t>
  </si>
  <si>
    <t>COMPONENT DESIGN PRESSURE ß195.406(A)(2)</t>
  </si>
  <si>
    <t>ON 05/23/25 AT 15:15, CRUDE OIL WAS DISCOVERED ON THE GROUND BENEATH STATION PIPING AT TANK 2538 CUSHING TANK FARM. THE LEAK WAS COMING FROM A PINHOLE AT THE 6 O'CLOCK POSITION ON THE CIMARRON 8-INCH LINE.    APPROXIMATELY 80 BARRELS OF CRUDE OIL WAS RELEASED ON THE GROUND. CLEANUP CONTRACTORS REMOVED PRODUCT AND CONTAMINATED SOIL.    THE LEAK WAS REPAIRED WITH A PLIDCO CLAMP. THE LINE WAS DRAINED, AND THE FAILED SECTION WAS CUT OUT AND SENT TO A THIRD PARTY LAB FOR ANALYSIS. THE LINE REMAINS SHUTDOWN.     THE CAUSE OF THE LEAK IS STILL UNDER INVESTIGATION. A SUPPLEMENTAL REPORT WILL BE SUBMITTED ONCE THE LAB REPORT AND INVESTIGATION ARE COMPLETED.</t>
  </si>
  <si>
    <t>ENERGY TRANSFER COMPANY</t>
  </si>
  <si>
    <t>OPERATOR</t>
  </si>
  <si>
    <t>NRC NOTIFICATION NOT REQUIRED</t>
  </si>
  <si>
    <t>MIDLAND TANK FARM</t>
  </si>
  <si>
    <t>24INCH MIDLAND MESA C20017</t>
  </si>
  <si>
    <t>MIDLAND</t>
  </si>
  <si>
    <t>TYPICAL ABOVEGROUND FACILITY PIPING OR APPURTENANCE</t>
  </si>
  <si>
    <t>FLANGE ASSEMBLY</t>
  </si>
  <si>
    <t>PRESSURE EXCEEDED 110% OF MOP</t>
  </si>
  <si>
    <t>ON 05/23/25 AT APPROXIMATELY 07:58, A LOCAL OPERATOR EMPLOYEE CLOSED MOV 6001 CAUSING THE 24INCH MIDLAND MESA C20017 LINE TO OVERPRESSURE, WHICH LED TO A RELEASE OF CRUDE OIL ONTO THE GROUND. THE LINE WAS IMMEDIATELY SHUTDOWN AND ISOLATED. THE LEAK WAS DISCOVERED TO BE COMING FROM A FLANGE. FLANGES WERE RETORQUED TO STOP LEAK, THE LINE WAS INSPECTED VISUALLY AND WAS RETURNED TO SERVICE.     APPROXIMATELY 1 BARREL OF CRUDE OIL WAS RELEASED. CLEANUP CONTRACTORS REMOVED PRODUCT AND REMEDIATED IMPACTED SOIL.    THE CAUSE OF THE ACCIDENT IS STILL UNDER INVESTIGATION. A SUPPLEMENTAL REPORT WILL BE SUBMITTED ONCE COMPLETE.</t>
  </si>
  <si>
    <t>UTILIZED OTHER LACTS TO CONTINUE FLOW</t>
  </si>
  <si>
    <t>RC SMITH STATION</t>
  </si>
  <si>
    <t>23025 - 12INCH RC SMITH TO SUNOCO MIDLAND TERMINAL</t>
  </si>
  <si>
    <t>MARTIN</t>
  </si>
  <si>
    <t>OTHER</t>
  </si>
  <si>
    <t>1 INCH PIPE NIPPLE</t>
  </si>
  <si>
    <t>CRACK</t>
  </si>
  <si>
    <t>ON 05/20/2025 AT APPROXIMATELY 10:23, A MEASUREMENT SPECIALIST REPORTED A RELEASE AT RC SMITH STATION. DISCOVERED LEAK FROM CRACKED NIPPLE ON THE PUMP SIDE OF 23025 - 12INCH RC SMITH TO SUNOCO MIDLAND TERMINAL.     APPROXIMATELY 1 BARREL OF CRUDE OIL WAS RELEASED. CLEANUP CONTRACTORS REMOVED PRODUCT AND REMEDIATED IMPACTED SOIL.    REPAIRED LEAK BY REPLACING FAILED NIPPLE.    THE CAUSE OF THE ACCIDENT IS STILL UNDER INVESTIGATION. A SUPPLEMENTAL REPORT WILL BE SUBMITTED ONCE THE INVESTIGATION IS COMPLETE.</t>
  </si>
  <si>
    <t>NUSTAR PIPELINE OPERATING PARTNERSHIP L.P.</t>
  </si>
  <si>
    <t>8111 WESTCHESTER DRIVE</t>
  </si>
  <si>
    <t>DALLAS</t>
  </si>
  <si>
    <t>HVL OR OTHER FLAMMABLE OR TOXIC FLUID WHICH IS A GAS AT AMBIENT CONDITIONS</t>
  </si>
  <si>
    <t>ANHYDROUS AMMONIA</t>
  </si>
  <si>
    <t>NOTIFICATION FROM PUBLIC</t>
  </si>
  <si>
    <t>ONSHORE PIPELINE, INCLUDING VALVE SITES</t>
  </si>
  <si>
    <t>VALVE CLOSURE</t>
  </si>
  <si>
    <t>AUTOMATIC</t>
  </si>
  <si>
    <t>MANUAL</t>
  </si>
  <si>
    <t>NUSTAR AMMONIA SYSTEM - CABOT STA. TO FLORAL STA.</t>
  </si>
  <si>
    <t>CABOT STATION - 10" TO FLORAL STATION</t>
  </si>
  <si>
    <t>AR</t>
  </si>
  <si>
    <t>LONOKE</t>
  </si>
  <si>
    <t>MILEPOST</t>
  </si>
  <si>
    <t>PIPELINE RIGHT-OF-WAY</t>
  </si>
  <si>
    <t>TAP FITTING(STOPPLE, THREAD-O-RING, WELD-O-LET, ETC.)</t>
  </si>
  <si>
    <t>SUBPART E PRESSURE TEST ß195.406(A)(3)</t>
  </si>
  <si>
    <t>THE CRACK IN THE PIPE WAS SMALL ENOUGH IT RENDERED THE LEAK UN-DETECTABLE BY THE CONTROL ROOM (SCADA/CPM).</t>
  </si>
  <si>
    <t>EQUIPMENT FAILURE</t>
  </si>
  <si>
    <t>MALFUNCTION OF CONTROL/RELIEF EQUIPMENT</t>
  </si>
  <si>
    <t>SIDE SEAM WELD ON STOPPLE TEE.</t>
  </si>
  <si>
    <t>DOUG STUCKY</t>
  </si>
  <si>
    <t>MANAGER - PIPELINE SAFETY</t>
  </si>
  <si>
    <t>doug.stucky@sunoco.com</t>
  </si>
  <si>
    <t>AT APPROXIMATELY 20:00 ON 08MAY25, SUNOCO / NUSTAR LOCAL PERSONNEL RECEIVED A CALL FROM A LANDOWNER THAT THEY SMELLED AMMONIA ANHYDROUS.  LOCAL PERSONNEL DISPATCHED TO THE SITE, ARRIVING AT APPROXIMATELY 21:05 TO BEGIN WALKING THE LINE AND LOOKING FOR A LEAK.  THE LEAK WAS CONFIRMED AT 21:32 WITH A CALL TO AMMONIA SYSTEM LEADERSHIP.    SUNOCO / NUSTAR PIPELINE SAFETY PERSONNEL WERE NOTIFIED OF THE RELEASE AT 22:01 TO BEGIN THE NOTIFICATION PROCESS WITH THE NATIONAL RESPONSE CENTER (NRC).  A CALL WAS PLACED AND RECEIVED BY THE NRC AT 22:19.  MR. DAVIS TOOK THE CALL AND PROVIDED INCIDENT NUMBER 1430608.  A FOLLOW-UP CALL WAS RECEIVED BY REGION 6 EPA AT 23:06 REQUESTING AN UPDATE ON THE INCIDENT AND AN OFFER TO PROVIDE ASSISTANCE, IF NEEDED.    A SMALL VAPOR STREAM WAS IDENTIFIED COMING FROM THE UPSTREAM SIDE OF VALVE 3-27.  CONTROL CENTER PERSONNEL WERE NOTIFIED OF THE RELEASE AND ASKED TO SHUT DOWN THE PIPELINE (22:15).  LOCAL PERSONNEL WERE DISPATCHED TO CLOSE THE UPSTREAM VALVE (3-25) AND THE DOWNSTREAM VALVE (3-27).  LOCAL PERSONNEL PROVIDED OVERNIGHT AIR MONITORING OF THE SITE.  VISQUEEN WAS USED TO COVER THE LEAK AND KEEP THE VAPORS DOWN.  THERE WAS NO DANGER TO LOCAL RESIDENTS AND NO NOTIFICATIONS WERE MADE TO LOCAL AUTHORITIES.    SUNOCO / NUSTAR MAINTENANCE PERSONNEL WERE CALLED AND DISPATCHED TO THE SITE FOR REPAIRS.  UPON EXCAVATION OF THE VALVE SITE, A SMALL CRACK WAS DISCOVERED ON THE SIDE SEAM WELD OF A STOPPLE TEE.  REPAIRS WERE COMPLETED AND THE LINE WAS RETURNED TO SERVICE AT 18:45 ON 09MAY25.</t>
  </si>
  <si>
    <t>PERMIAN EXPRESS PARTNERS LLC</t>
  </si>
  <si>
    <t>SCADA-BASED INFORMATION (SUCH AS ALARM(S), ALERT(S), EVENT(S), AND/OR VOLUME OR PACK CALCULATIONS)</t>
  </si>
  <si>
    <t>REMOTELY CONTROLLED</t>
  </si>
  <si>
    <t>RINGGOLD TO CORSICANA</t>
  </si>
  <si>
    <t>22002.01 - 16INCH CORSICANA TO KELLER</t>
  </si>
  <si>
    <t>ARLINGTON</t>
  </si>
  <si>
    <t>TARRANT</t>
  </si>
  <si>
    <t>API-5L X-42</t>
  </si>
  <si>
    <t>ERW - LOW FREQUENCY</t>
  </si>
  <si>
    <t>COAL TAR</t>
  </si>
  <si>
    <t>STILL UNDER INVESTIGATION</t>
  </si>
  <si>
    <t>ON 05/05/2025 AT APPROXIMATELY 06:23, THE CONTROL CENTER RECEIVED SCADA INDICATIONS OF A RELEASE ON THE KELLER TO MIDLOTHIAN SEGMENT OF THE 16-INCH RINGGOLD TO CORSICANA SYSTEM. THE LINE WAS SHUTDOWN AND UPSTREAM AND DOWNSTREAM VALVES CLOSED TO ISOLATE THE SEGMENT. OPERATIONS PERSONNEL WERE DISPATCHED AND BEGAN FIELD INVESTIGATIONS TO LOCATE A POTENTIAL RELEASE.  ON 05/06/2025 AT APPROXIMATELY 14:10, FIELD PERSONNEL DISCOVERED CRUDE OIL ON THE GROUND NEAR MP 90.82 IN THE ARLINGTON/FT. WORTH AREA.  ONCE EXCAVATED, BOTH CRUDE OIL AND SEWER WATER WERE DISCOVERED IN THE EXCAVATION. THE LOCATION OF THE LEAK WAS WHERE A 48-INCH CITY OF FORT WORTH SEWER LINE CROSSED UNDER THE KELLER TO MIDLOTHIAN SEGMENT. INVESTIGATION IN THE DITCH FOUND THE CONCRETE SEWER LINE APPEARED TO HAVE FAILED AND WAS EXPELLING SEWAGE INTO THE THE IMMEDIATE AREA IN AND AROUND THE KELLER TO MIDLOTHIAN PIPELINE.    APPROXIMATELY 6,600 BARRELS OF CRUDE OIL WAS RELEASED. THE MAJORITY OF THE RELEASED CRUDE TRAVELED THROUGH THE FAILED SEWER PIPE TO A WATER TREATMENT FACILITY APPROXIMATELY 4 MILES TO THE NORTHEAST.   CLEANUP CONTRACTORS WERE MOBILIZED TO CLEANUP PRODUCT AND REMOVE IMPACTED SOIL AT THE FAILURE SITE. PEP COORDINATED CLEANUP EFFORTS AT THE WATER TREATMENT FACILITY WITH THE CITY.    THE LINE WAS RESTARTED ON 5/9/25 AT 22:00 BY AFFECTING A STOPPLE AND BYPASS AROUND THE FAILED SECTION.  AFTER THE PIPELINE WAS RESTARTED THE FAILED SECTION WAS COLD CUT AND REMOVED FROM THE GROUND, PREPPED AND SHIPPED TO A 3RD PARTY LABORATORY FOR ANALYSIS.    THE CAUSE OF THE ACCIDENT IS STILL UNDER INVESTIGATION. A SUPPLEMENTAL REPORT WILL BE SUBMITTED ONCE COMPLETE.</t>
  </si>
  <si>
    <t>&lt; 20% SMYS REGULATED TRANSMISSION</t>
  </si>
  <si>
    <t>ON 04/15/25 AT 07:40, CRUDE OIL WAS DISCOVERED ON THE GROUND BENEATH STATION PIPING AT TANK 2538 CUSHING TANK FARM. THE LEAK WAS COMING FROM A PINHOLE AT THE 6 O'CLOCK POSITION ON THE CIMARRON 8-INCH LINE.     APPROXIMATELY 8 BARRELS OF CRUDE OIL WAS RELEASED ON THE GROUND. CLEANUP CONTRACTORS REMOVED PRODUCT AND CONTAMINATED SOIL.    THE PIPE WAS TEMPORARILY REPAIRED WITH A PLIDCO CLAMP.    THE CAUSE OF THE LEAK IS STILL UNDER INVESTIGATION. A SUPPLEMENTAL REPORT WILL BE SUBMITTED ONCE THE INVESTIGATION IS COMPLETE.</t>
  </si>
  <si>
    <t>VELOCITY VLC-3</t>
  </si>
  <si>
    <t>NAPLES TO BRADLEY 8-INCH</t>
  </si>
  <si>
    <t>GRADY</t>
  </si>
  <si>
    <t>1172+10</t>
  </si>
  <si>
    <t>API-5L X-52</t>
  </si>
  <si>
    <t>TEX-TUBE CO</t>
  </si>
  <si>
    <t>ON 04/13/25 AT APPROXIMATELY 08:00, THE ENERGY TRANSFER CONTROL CENTER RECEIVED A CALL FROM A LANDOWNER STATING OIL WAS OBSERVED ON THE ROW NEAR THE VLC-3 NAPLES TO BRADLEY 8-INCH LINE. THE PIPELINE WAS SHUT DOWN AND SECURED. PIPELINE TECHNICIANS WERE DISPATCHED TO CONFIRM THE PIPELINE RELEASE. ONCE THE PIPE WAS EXPOSED, THE LEAK WAS CONFIRMED TO BE COMING FROM A PINHOLE ON THE BOTTOM OF THE VLC-3 NAPLES TO BRADLEY 8-INCH LINE.     APPROXIMATELY 5 BARRELS OF CRUDE OIL WAS RELEASED. CONTRACTORS CLEANED UP RELEASED PRODUCT AND CONTAMINATED SOIL.     A CLAMP WAS INSTALLED TO PREVENT ANY FURTHER RELEASE.     THE ACCIDENT IS STILL UNDER INVESTIGATION. A SUPPLEMENTAL REPORT WILL BE SUBMITTED ONCE THE ROOT CAUSE FAILURE ANALYSIS IS COMPLETED.</t>
  </si>
  <si>
    <t>ENERGY TRANSFER NEDERLAND TERMINAL LLC</t>
  </si>
  <si>
    <t>NEDERLAND TERMINAL</t>
  </si>
  <si>
    <t>MARSHLAND MANIFOLD</t>
  </si>
  <si>
    <t>NEDERLAND</t>
  </si>
  <si>
    <t>JEFFERSON</t>
  </si>
  <si>
    <t>RELIEF LINE AND RELIEF EQUIPMENT</t>
  </si>
  <si>
    <t>CONNECTION FAILURE</t>
  </si>
  <si>
    <t>ON 04/09/25 AT APPROXIMATELY 15:10, AN OPERATOR NOTIFIED MANAGEMENT THAT CRUDE OIL WAS FOUND LEAKING FROM THE #4 SHIP DOCK LINE. THE TRANSFER THROUGH THAT PIPE WAS STOPPED AND THE TRANSFER WAS MOVED TO ANOTHER PIPE TO CONTINUE THE TRANSFER. THE LEAK WAS COMING FROM A 1-INCH PIPE NIPPLE COMING OFF OF THE MAIN HEADER THAT HAD BROKEN OFF APPROXIMATELY 3-INCH ABOVE THE HEADER PIPE AT THE VALVE.     APPROXIMATELY 60 BARRELS OF CRUDE OIL WAS RELEASED INTO CONTAINMENT. VACUUM TRUCKS AND CLEANUP PERSONNEL RESPONDED TO THE SITE FOR CLEANUP.     ON 04/14/25 THE LEAK WAS REPAIRED BY INSTALLING AND HOT TAPPING NEW TORS WITH NEW 2-INCH VALVES. UTILIZED NEW PIPING AND RECONFIGURED THE LOCATION OF THE PRESSURE RELIEF VALVE WITH NEW SUPPORTS.    THE CAUSE OF THE LEAK IS STILL UNDER INVESTIGATION. A SUPPLEMENTAL REPORT WILL BE SUBMITTED ONCE THE INVESTIGATION IS COMPLETE.     TO PREVENT REOCCURRENCE, PREPARATIONS IN PROGRESS TO REPLACE 1-INCH O-LETS WITH 2-INCH.</t>
  </si>
  <si>
    <t>SUPPLEMENTAL FINAL</t>
  </si>
  <si>
    <t>ISOLATED TANK</t>
  </si>
  <si>
    <t>TANK 1979 16-INCH FILL LINE</t>
  </si>
  <si>
    <t>MIDLAND TF</t>
  </si>
  <si>
    <t>VALVE</t>
  </si>
  <si>
    <t>AUXILIARY OR OTHER VALVE</t>
  </si>
  <si>
    <t>&gt; 20% SMYS REGULATED GATHERING</t>
  </si>
  <si>
    <t>NO, THE FACILITY WAS NOT MONITORED BY A CONTROLLER(S) AT THE TIME OF THE ACCIDENT</t>
  </si>
  <si>
    <t>CORROSION FAILURE</t>
  </si>
  <si>
    <t>INTERNAL CORROSION</t>
  </si>
  <si>
    <t>LOCALIZED PITTING</t>
  </si>
  <si>
    <t>TRACES OF PRODUCED WATER AND DEBRIS IN PRODUCT STREAM</t>
  </si>
  <si>
    <t>BOTTOM OF VALVE BODY.</t>
  </si>
  <si>
    <t>NOT APPLICABLE - NOT MAINLINE PIPE</t>
  </si>
  <si>
    <t>ON 4/8/2025, AT APPROXIMATELY 08:40, AN OPERATOR EMPLOYEE DISCOVERED A LEAK ON THE 16INCH VALVE ON TANK LINE 1979 AT MIDLAND TANK FARM. THE LEAK WAS IMMEDIATELY ISOLATED.     APPROXIMATELY 12 BARRELS OF CRUDE OIL WAS RELEASED. CLEANUP CONTRACTORS REMOVED PRODUCT AND REMEDIATED IMPACTED SOIL.    THE LEAK WAS REPAIRED BY REPLACING THE VALVE. THE LINE WAS PUT BACK IN SERVICE ON 04/11/2025.    THE CAUSE OF THE ACCIDENT IS STILL UNDER INVESTIGATION. A SUPPLEMENTAL REPORT WILL BE SUBMITTED ONCE THE INVESTIGATION IS COMPLETE.    SUPPLEMENTAL &amp; FINAL:  THE INVESTIGATION DETERMINED THE CAUSE OF THE ACCIDENT WAS DUE TO INTERNAL CORROSION. THE LEAK COINCIDED WITHIN A REGION OF INTERNAL CORROSION LOCATED ALONG THE BOTTOM OF THE VALVE BODY. A PIT IN THE FLANGE MATERIAL ADJACENT TO THE LEAK LOCATION WAS ALSO OBSERVED, WHICH ALIGNED WITH PRE-EXISTING MANUFACTURING VOIDS. ADDITIONALLY, A SECOND PIT WAS IDENTIFIED WITHIN THE ADJACENT FLANGE MATERIAL OF THE VALVE, FURTHER CONTRIBUTING TO THE LOCALIZED CORROSION AND EVENTUAL LEAK.    TO PREVENT REOCCURRENCE, NDE EXAMINE ONE OTHER VALVE BY SAME MANUFACTURER WITH SAME APPROXIMATE MANUFACTURED DATE TO ENSURE NO THINNING OF THE BODY WAS OCCURRING.</t>
  </si>
  <si>
    <t>SUPPLEMENTAL</t>
  </si>
  <si>
    <t>SUNOCO, LLC</t>
  </si>
  <si>
    <t>8111 WESTCHESTER DR.</t>
  </si>
  <si>
    <t>EASTERN</t>
  </si>
  <si>
    <t>REFINED AND/OR PETROLEUM PRODUCT (NON-HVL) WHICH IS A LIQUID AT AMBIENT CONDITIONS</t>
  </si>
  <si>
    <t>DIESEL, FUEL OIL, KEROSENE, JET FUEL</t>
  </si>
  <si>
    <t>CPM LEAK DETECTION SYSTEM</t>
  </si>
  <si>
    <t>POST-MAINTENANCE/REPAIR</t>
  </si>
  <si>
    <t>1425144, 1425240</t>
  </si>
  <si>
    <t>OPERATIONAL CONTROL</t>
  </si>
  <si>
    <t>OPERATIONS OPENED MAINLINE VALVE ON PIPELINE TO RELIEVE LINE PRESSURE BACK TO TERMINAL TANK 2001</t>
  </si>
  <si>
    <t>THERE WAS NO FLOW DOWNSTREAM OF THE FAILURE (LINE WAS STATIC)</t>
  </si>
  <si>
    <t>VIRGINIA BEACH - SUNOCO LLC</t>
  </si>
  <si>
    <t>41002 - 6" VIRGINIA BEACH</t>
  </si>
  <si>
    <t>VA</t>
  </si>
  <si>
    <t>VIRGINIA BEACH</t>
  </si>
  <si>
    <t>Not Within a County or Parish</t>
  </si>
  <si>
    <t>ERW ñ UNKNOWN  FREQUENCY</t>
  </si>
  <si>
    <t>GROUNDWATER</t>
  </si>
  <si>
    <t>YES, SPECIFY INVESTIGATION RESULT(S): (SELECT ALL THAT APPLY)</t>
  </si>
  <si>
    <t>EXTERNAL CORROSION</t>
  </si>
  <si>
    <t>POLARITY REVERSED ON RECTIFIER</t>
  </si>
  <si>
    <t>PENDING METALLURGICAL ANALYSIS, ESTIMATED DATE OF COMPLETION 6/30/2025</t>
  </si>
  <si>
    <t>FREE SWIMMING</t>
  </si>
  <si>
    <t>METAL LOSS</t>
  </si>
  <si>
    <t>HIGH RESOLUTION</t>
  </si>
  <si>
    <t>INSIDE ILI CUPS</t>
  </si>
  <si>
    <t>STEPHEN DOYLE</t>
  </si>
  <si>
    <t>MANAGER - ENVIRONMENTAL</t>
  </si>
  <si>
    <t>stephen.doyle@sunoco.com</t>
  </si>
  <si>
    <t>CLIFF BELL</t>
  </si>
  <si>
    <t>clifford.bell@sunoco.com</t>
  </si>
  <si>
    <t>BRIAN CARLSON</t>
  </si>
  <si>
    <t>SR. DIRECTOR - TERMINAL OPS</t>
  </si>
  <si>
    <t>brian.carlson@sunoco.com</t>
  </si>
  <si>
    <t>ON 3/4/2025 AT 17:15, SUNOCO PERSONNEL DISCOVERED A JET FUEL LEAK ON THE PIPELINE BETWEEN VALVE BOX 1 AND VALVE BOX 2.  UPON DISCOVERY, SUNOCO IMMEDIATELY CONTACTED THE OSRO. IN RESPONSE TO SUNOCO'S DISCOVERY, THE PRESSURE ON THE PIPELINE WAS RELIEVED TO TERMINAL TANK 2001. ALL MAINLINE VALVES WERE CLOSED AND THE LINE SEGMENT ISOLATED. SUNOCO PERSONNEL REPAIRED THE PIPELINE AND SENT A CUTOUT FOR METALLURGICAL TESTING.  AS OF APRIL 3, SUNOCO HAS NOT RECEIVED THOSE RESULTS.  AT A LATER DATE, SUNOCO ALSO DETERMINED THAT THE RECTIFIER HAD A REVERSED POLARITY AS REFERENCED IN PART G APPARENT CAUSE OF THIS REPORT. UPDATE:  ESTIMATED COST OF OPERATOR'S EMERGENCY RESPONSE INCREASED AS REPORTED IN PART D. PART G UPDATED, PENDING METALLURGICAL ANALYSIS WITH ESTIMATED DATE OF COMPLETION 6/30/2025.</t>
  </si>
  <si>
    <t>ROUTINE START-UP</t>
  </si>
  <si>
    <t>1425061, 1425543</t>
  </si>
  <si>
    <t>IN UNDERGROUND ENCLOSED SPACE (E.G. VAULT)</t>
  </si>
  <si>
    <t>CASED</t>
  </si>
  <si>
    <t>5L, X42</t>
  </si>
  <si>
    <t>cliff.bell@sunoco.com</t>
  </si>
  <si>
    <t>757-427-1066</t>
  </si>
  <si>
    <t>610-579-2045</t>
  </si>
  <si>
    <t>ON 3/3/2025, SUNOCO PERSONNEL DISCOVERED A JET FUEL LEAK AT MAINLINE VALVE BOX #2 AT 11:45 EST, WHICH WAS INITIALLY ESTIMATED TO BE 70 GALLONS.  IN RESPONSE TO SUNOCO'S DISCOVERY, THE PRESSURE ON THE PIPELINE WAS RELIEVED TO TANK 2001.  ALL MAINLINE VALVES WERE CLOSED AND THE LINE SEGMENT ISOLATED.  SUNOCO CONTACTED THE OSRO (HEPACO) AT 12:03 EST.  THE PRELIMINARY LEAK INVESTIGATION SUGGESTED THAT THE GASKET ON THE FLANGE WITHIN VALVE BOX #2 MAY HAVE CAUSED THE DISCOVERED RELEASE.  UPON REPLACING THAT VALVE, HOWEVER, SUNOCO PERSONNEL STILL OBSERVED PRODUCT NORTH OF VALVE BOX #2 AND, AS SUCH, COMPLETED AN INVESTIGATION ON THE PIPE UNDERNEATH DAM NECK ROAD.  AT A LATER DATE, SUNOCO ALSO DETERMINED THAT THE RECTIFIER HAD A REVERSED POLARITY.  SUNOCO CONSEQUENTLY DETERMINED THAT THE PIPELINE SEGMENT UNDERNEATH THE ROAD MAY INCLUDE SOME CORROSION ABNORMALITIES AND, AS SUCH, SENT IT FOR METALLURGICAL TESTING.  AS OF APRIL 2, SUNOCO HAS NOT RECEIVED THOSE RESULTS. UPDATE:  PIPELINE HAS BEEN RESTARTED AS REPORTED IN PART A. ESTIMATED COST OF OPERATOR'S EMERGENCY RESPONSE INCREASED AS REPORTED IN PART D.  PART G UPDATED, PENDING METALLURGICAL ANALYSIS WITH ESTIMATED DATE OF COMPLETION 6/30/2025.</t>
  </si>
  <si>
    <t>ORIGINAL FINAL</t>
  </si>
  <si>
    <t>WEST TEXAS GULF PIPELINE CO</t>
  </si>
  <si>
    <t>CONTROLLER</t>
  </si>
  <si>
    <t>BLUM STATION</t>
  </si>
  <si>
    <t>23010.04 - 26-INCH BLUM TO WORTHAM</t>
  </si>
  <si>
    <t>HILL</t>
  </si>
  <si>
    <t>ORIGINATED ON OPERATOR-CONTROLLED PROPERTY, BUT THEN FLOWED OR MIGRATED OFF THE PROPERTY</t>
  </si>
  <si>
    <t>SUMP</t>
  </si>
  <si>
    <t>OVERFILL OR OVERFLOW</t>
  </si>
  <si>
    <t>INCORRECT OPERATION</t>
  </si>
  <si>
    <t>TANK, VESSEL, OR SUMP/SEPARATOR ALLOWED OR CAUSED TO OVERFILL OR OVERFLOW</t>
  </si>
  <si>
    <t>INADEQUATE STATION SHUTDOWN PROCEDURE.</t>
  </si>
  <si>
    <t>NORMAL OPERATING CONDITIONS</t>
  </si>
  <si>
    <t>YES, THEY WERE QUALIFIED FOR THE TASK(S)</t>
  </si>
  <si>
    <t>ON 02/28/2025 AT 17:16, THE CONTROL CENTER SHUT DOWN THE WTG BLUM TO WORTHAM SEGMENT.  BLUM STATION WAS BLOCKED IN FROM THE MAIN LINE AND THERMAL PRESSURE BUILT ON ABOVE GRADE PIPING.  THERMAL RELIEF SYSTEM REACTED AS DESIGNED AND BEGAN RELIEVING TO THE STATION SUMP.  THE THERMAL RELIEFS CONTINUED TO REMAIN ACTIVE FOR AN EXTENDED PERIOD WHICH RESULTED IN AN OVERFILL OF THE SUMP.    APPROXIMATELY, 10 BARRELS OF CRUDE OIL WAS RELEASED. ALL FREE PRODUCT WAS PICKED UP AND CONTAMINATED SOIL WAS CLEANED UP.    THE CAUSE OF THE ACCIDENT WAS DUE TO INCORRECT SHUTDOWN SEQUENCE.    TO PREVENT REOCCURRENCE A PROCEDURE CHANGE HAS BEEN IMPLEMENTED THAT WILL PREVENT THIS SITUATION.</t>
  </si>
  <si>
    <t>LINE IS NOT IN ACTIVE SERVICE.  OPERATIONAL DEAD-LEG.</t>
  </si>
  <si>
    <t>RINGGOLD STATION</t>
  </si>
  <si>
    <t>WICHITA FALLS TANK 12-INCH FILL LINE</t>
  </si>
  <si>
    <t>MONTAGUE</t>
  </si>
  <si>
    <t>PAINT</t>
  </si>
  <si>
    <t>GENERAL CORROSION</t>
  </si>
  <si>
    <t>ON 02/27/2025 AT APPROXIMATELY 16:00, AS EMPLOYEES AND CONTRACTORS WERE WORKING IN THE AREA THEY NOTICED A LEAK FROM A PINHOLE AT THE 6 O'CLOCK POSITION ON THE WICHITA FALLS TANK 12-INCH FILL LINE. THIS LINE IS AN OPERATIONAL DEAD-LEG.    APPROXIMATELY 1 BARREL OF CRUDE OIL WAS RELEASED TO THE GROUND. CONTRACTORS CLEANED-UP THE PRODUCT AND REMOVED IMPACTED SOIL.    THE CAUSE OF THE LEAK WAS DETERMINED TO BE INTERNAL CORROSION. THE LINE WAS REPAIRED WITH A MECHANICAL CLAMP.    TO PREVENT REOCCURRENCE, THIS LINE WILL BE PERMANENTLY REMOVED.</t>
  </si>
  <si>
    <t>ONSHORE BREAKOUT TANK OR STORAGE VESSEL, INCLUDING ATTACHED APPURTENANCES</t>
  </si>
  <si>
    <t>TANK ISOLATED</t>
  </si>
  <si>
    <t>TANK 1570</t>
  </si>
  <si>
    <t>TANK, INCLUDING ATTACHED APPURTENANCES</t>
  </si>
  <si>
    <t>TANK/VESSEL</t>
  </si>
  <si>
    <t>MIXER</t>
  </si>
  <si>
    <t>ATMOSPHERIC</t>
  </si>
  <si>
    <t>NON-THREADED CONNECTION FAILURE</t>
  </si>
  <si>
    <t>SEAL (NOT PUMP SEAL) OR PACKING</t>
  </si>
  <si>
    <t>SEAL MATERIAL WEAR</t>
  </si>
  <si>
    <t>ON 02/10/2025 AT APPROXIMATELY 13:40, CRUDE OIL WAS DISCOVERED LEAKING FROM TANK MIXER "D" ON TANK 1570. THE LEAK WAS IMMEDIATELY REPORTED, MIXER ISOLATED, AND LEAKED STOPPED. THE LEAK WAS COMING FROM A FAILED TANK MIXER SEAL.    APPROXIMATELY 0.3 BARRELS (12 GALLONS) OF CRUDE OIL WAS RELEASED WITHIN SECONDARY CONTAINMENT. CONTRACTORS CLEANED UP REMAINING PRODUCT AND REMOVED CONTAMINATED SOIL.    THE FAILED SEAL WAS REPLACED AND TANK OPERATIONS RESUMED.     SUPPLEMENTAL &amp; FINAL:  THE MIXER ASSEMBLY WAS EXAMINED AND NO ABNORMALITIES NOTED.  THE CAUSE OF THE ACCIDENT WAS DUE TO A NON-THREADED CONNECTION FAILURE. THE TANK MIXER SEAL FAILED FROM ROUTINE WEAR.</t>
  </si>
  <si>
    <t>SUNOCO PIPELINE L.P.</t>
  </si>
  <si>
    <t>LINE WAS DOWN ON SCHEDULE AT TIME OF RELEASE CONFIRMED DISCOVERY</t>
  </si>
  <si>
    <t>11010 - 14-INCH TWIN OAKS-NEWARK</t>
  </si>
  <si>
    <t>PA</t>
  </si>
  <si>
    <t>UPPER MAKEFIELD TWP.</t>
  </si>
  <si>
    <t>BUCKS</t>
  </si>
  <si>
    <t>2788+05</t>
  </si>
  <si>
    <t>API-5LX</t>
  </si>
  <si>
    <t>SEAMLESS</t>
  </si>
  <si>
    <t>NATIONAL TUBE SUPPLY CO</t>
  </si>
  <si>
    <t>COLD APPLIED TAPE</t>
  </si>
  <si>
    <t>MATERIAL FAILURE OF PIPE OR WELD</t>
  </si>
  <si>
    <t>ENVIRONMENTAL CRACKING-RELATED</t>
  </si>
  <si>
    <t>STRESS CORROSION CRACKING</t>
  </si>
  <si>
    <t>WALL MEASUREMENT</t>
  </si>
  <si>
    <t>STANDARD RESOLUTION</t>
  </si>
  <si>
    <t>NO CUPS</t>
  </si>
  <si>
    <t>ON 01/31/2025 AT APPROXIMATELY 16:30, OPERATIONS PERSONNEL INVESTIGATING A COMPLAINT OF A PETROLEUM ODOR DISCOVERED A LEAK AT A HISTORIC A SLEEVE REPAIR  ON THE 11010 - 14-INCH TWIN OAKS-NEWARK LINE.     THE FAILED SECTION OF PIPE WAS PREVIOUSLY REPAIRED BY A TYPE A SLEEVE.  THAT SECTION OF PIPE INCLUDING THE SLEEVE WAS CUT OUT AND REPLACED. THE CUTOUT HAS BEEN SENT TO 3RD PARTY LABORATORY FOR ANALYSIS. A SUPPLEMENTAL REPORT WILL BE SUBMITTED ONCE THE INVESTIGATION IS COMPLETE.    OTHER SIMILAR REPAIR SLEEVES ON THE PIPELINE WERE EITHER EXCAVATED AND ASSESSED OR PROBED AND SURVEYED FOR PRESENCE OF HYDROCARBON INDICATORS TO DETERMINE IF ANY CONDITIONS SIMILAR TO THAT OF THE FAILURE POINT WERE PRESENT.  NONE WERE FOUND.    ON SITE REMEDIATION AND PRODUCT RECOVERY EFFORTS CONTINUE.      SUPPLEMENTAL:  THE METALLURGICAL ANALYSIS INDICATED THAT THE PIPE LEAKED AT AN AREA OF EXTERNAL CRACKING LOCATED AT A BOTTOM SIDE DENT IN A REGION OF NOTABLE EXTERNAL CORROSION. THE MECHANISM OF CRACKING IS LIKELY NEAR-NEUTRAL PH STRESS CORROSION CRACKING.</t>
  </si>
  <si>
    <t>GASOLINE (NON-ETHANOL)</t>
  </si>
  <si>
    <t>OPERATOR PERSONNEL WERE ABLE TO ISOLATE LEAKING RELIEF VALVE.</t>
  </si>
  <si>
    <t>LEAKING RELIEF VALVE WAS ISOLATED.  DID NOT IMPACT CONTINUED NORMAL OPERATIONS.</t>
  </si>
  <si>
    <t>LINE 5 - YANKTON, SD TO WOLSEY, SD</t>
  </si>
  <si>
    <t>MILEPOST 90 - PIG TRAP SITE</t>
  </si>
  <si>
    <t>SD</t>
  </si>
  <si>
    <t>SANBORN</t>
  </si>
  <si>
    <t>INTERNAL DESIGN PRESSURE ß195.406(A)(1)</t>
  </si>
  <si>
    <t>FAILED RELIEF VALVE WAS ON TRAP BARREL THAT RELIEVES BACK TO THE MAIN LINE.  NOT UNDER SCADA CONTROL OR MONITORING.</t>
  </si>
  <si>
    <t>DOUG A. STUCKY</t>
  </si>
  <si>
    <t>MIKE OSWEILER</t>
  </si>
  <si>
    <t>mike.osweiler@sunoco.com</t>
  </si>
  <si>
    <t>AT APPROXIMATELY 12:15PM ON 30JAN25 WHILE SUNOCO LOCAL OPERATIONS PERSONNEL WERE MAKING THEIR ROUNDS, IT WAS DISCOVERED AT THE MP90 - PIG TRAP SITE THAT A RELIEF VALVE WAS LEAKING.  THE SPILL WAS CONFIRMED AT 12:15PM.  THE RELIEF VALVE WAS ISOLATED IMMEDIATELY, AND NOTIFICATIONS WERE MADE TO SUNOCO MANAGEMENT IN THE WICHITA OFFICE AT 12:43PM.    ADDITIONAL LOCAL SUNOCO PERSONNEL WERE MOBILIZED TO THE SITE TO BEGIN CLEANUP OPERATIONS.  SORBENT PADS, TRASH PUMPS, AND DRUMS WERE USED FOR INITIAL COLLECTION OF FREE PRODUCT ON TOP OF THE GROUND.  THE SUNOCO MAINTENANCE CREW WAS NOTIFIED AND MOBILIZED TO THE SITE ON THE MORNING OF 31JAN25 WITH A VAC TRUCK AND EXCAVATOR TO CONTINUE CLEANUP OPERATIONS.    AT THE TIME OF THE INCIDENT, IT WAS OVERCAST AND 46 DEGREES F.  THE GROUND WAS FROZEN AND THERE WAS MINIMAL WIND.  AN INITIAL ESTIMATE OF 75 GALLONS OF GASOLINE WAS RELEASED.  A FAILED RELIEF VALVE WAS IDENTIFIED AS THE CAUSE OF RELEASE.  PIG TRAP SITE IS RURAL, AND THE RELEASE IMPACTED SOIL AROUND THE SITE.  THERE WAS NO IMPACT TO WATER, WILDLIFE, OR PUBLIC.    NOTIFICATIONS MADE TO STATE AND FEDERAL AGENCIES (NRC, SOUTH DAKOTA DANR, PHMSA, ONE-CALL).  SOUTH DAKOTA DANR ARRIVED ON SITE AT APPROXIMATELY 5:00PM, TO ACCESS DAMAGES AND CLEAN-UP ACTIVITIES. NO ADDITIONAL CONCERNS IDENTIFIED.     SUNOCO CONTACTED PINNACLE ENGINEERING TO LEAD THE CLEAN-UP / REMEDIATION EFFORTS.  THE PINNACLE CONSULTANT ARRIVED ON SITE AT APPROXIMATELY 8:20AM ON THE MORNING OF 31JAN25.  INITIAL CLEAN-UP AND REMEDIATION EFFORTS ARE COMPLETE.  CONTINUED REMEDIATION WILL BE DETERMINED BASED ON FURTHER ASSESSMENT TO BE COMPLETED BY 11MAR25.    THE SUNOCO ENGINEERING TEAM IS REVIEWING NEW DESIGN OPTIONS TO REPLACE THE FAILED RELIEF VALVE.</t>
  </si>
  <si>
    <t>BAYOU BRIDGE PIPELINE, LLC</t>
  </si>
  <si>
    <t>THIRD PARTY OPERATOR</t>
  </si>
  <si>
    <t>NECHES STATION</t>
  </si>
  <si>
    <t>21062 - 30-INCH NEDERLAND TO LAKE CHARLES</t>
  </si>
  <si>
    <t>THREADED CONNECTION/COUPLING FAILURE</t>
  </si>
  <si>
    <t>THREADED FITTING</t>
  </si>
  <si>
    <t>PLUG WAS POSSIBLY CROSS THREADED ON INSTALLATION.</t>
  </si>
  <si>
    <t>ON 01/24/2025 AT APPROXIMATELY 17:45, THE OPS MANAGER WAS CONTACTED BY P66 FIELD PERSONNEL ABOUT A POSSIBLE RELEASE AT NECHES STATION. THE CONTROL CENTER WAS NOTIFIED AND IMMEDIATELY SHUTDOWN 21062 NEDERLAND TO LAKE CHARLES 30-INCH LINE. PIPELINE TECHS ARRIVED ON SITE AND CONFIRMED THE RELEASE WAS ON THE METER SKID DRAIN VALVE 3/8 PLUG. THE METER WAS ISOLATED AND THE VALVE PLUG REPAIRED.    APPROXIMATELY 10 BARRELS OF CRUDE OIL WAS RELEASED. ALL FREE PRODUCT WAS PICKED UP AND CONTAMINATED SOIL WAS CLEANED UP.    THE CAUSE OF THE RELEASE WAS DUE TO A THREADED FITTING FAILURE POSSIBLY DUE TO CROSS THREADING ON INSTALLATION.  PRESSURE SIDE'S DRAIN ISOLATION VALVE BLEW OUT. THREADS ON VALVE WERE INSPECTED AND CLEANED USING A 3/8 TAP. PLUG WAS REPLACED AND PRESSURE TESTED.     TO PREVENT REOCCURRENCE, THE COMPLETE VALVE WAS REPLACED ON 01/27/2025. ADDITIONALLY, ALL OTHER DRAIN VALVE PLUGS IN NECHES STATION WERE INSPECTED.</t>
  </si>
  <si>
    <t>DAPL-ETCO OPERATIONS MANAGEMENT, LLC</t>
  </si>
  <si>
    <t>RAMBERG STATION</t>
  </si>
  <si>
    <t>12-INCH STANLEY TO RAMBERG</t>
  </si>
  <si>
    <t>WILLIAMS</t>
  </si>
  <si>
    <t>INSTRUMENTATION</t>
  </si>
  <si>
    <t>MATERIAL OTHER THAN CARBON STEEL</t>
  </si>
  <si>
    <t>SITE GLASS</t>
  </si>
  <si>
    <t>OTHER EQUIPMENT FAILURE</t>
  </si>
  <si>
    <t>RVP ANALYZER SITE GLASS</t>
  </si>
  <si>
    <t>FATIGUE</t>
  </si>
  <si>
    <t>ON 12/30/24 AT APPROXIMATELY 13:38, A PIPELINE TECH DISCOVERED CRUDE OIL INSIDE THE METER BUILDING AT RAMBERG STATION. THE CONTROL CENTER WAS IMMEDIATELY NOTIFIED TO SHUT DOWN THE STATION.  THE STATION LEL DETECTOR ALARMED AND LOCKED OUT THE STATION AT 13:41 BUT SHUTDOWN WAS ALREADY IN PROCESS. THE LEAK WAS COMING FROM CRACKED SITE GLASS ON THE KOBOLD FLOW METER RVP ANALYZER INSIDE THE ANALYZER CABINET.    APPROXIMATELY 2.4 BARRELS OF CRUDE OIL WAS RELEASED INSIDE BUILDING ONTO CONCRETE. OPERATING PERSONNEL CLEANED UP ALL RELEASED PRODUCT.     THE CAUSE OF THE ACCIDENT WAS DETERMINED TO BE FROM FAILURE OF THE RVP ANALYZER SITE GLASS.     TO PREVENT REOCCURRENCE ALL SITE GLASS IN ALL RVP ANALYZERS IN THE SYSTEM WERE REPLACED WITH STAINLESS STEEL.</t>
  </si>
  <si>
    <t>LINE WAS ISOLATED AND OPERATIONS TRANSFERRED TO ANOTHER LINE.</t>
  </si>
  <si>
    <t>28-16G 16-INCH</t>
  </si>
  <si>
    <t>X42</t>
  </si>
  <si>
    <t>BI-DIRECTIONAL</t>
  </si>
  <si>
    <t>ON 12/29/24 AT APPROXIMATELY 10:15 A LEAK WAS DISCOVERED INSIDE OF THE TANK 1546 CONTAINMENT DIKE INVOLVING THE 28-16"G LINE. THE LEAK OCCURRED UNDERGROUND AND ONCE DISCOVERED, THE OPERATORS CHANGED THE LINE UP AND CEASED THE TRANSFER OF OIL THROUGH THE 28-16"G LINE. THE LEAK WAS COMING FROM A PINHOLE.    APPROXIMATELY 3 BARRELS OF CRUDE OIL WAS RELEASED. ON SITE CLEANUP CREW REMOVED FREE PRODUCT AND REMEDIATED CONTAMINATED SOIL.    THE PIPE WAS TEMPORARILY REPAIRED WITH A CLAMP.    THE CAUSE OF THE LEAK IS STILL UNDER INVESTIGATION. A SUPPLEMENTAL REPORT WILL BE SUBMITTED ONCE THE INVESTIGATION IS COMPLETE.</t>
  </si>
  <si>
    <t>WOLVERINE PIPELINE CO</t>
  </si>
  <si>
    <t xml:space="preserve">8075 CREEKSIDE DR., STE. 210 </t>
  </si>
  <si>
    <t>PORTAGE</t>
  </si>
  <si>
    <t>MI</t>
  </si>
  <si>
    <t>49024-6303</t>
  </si>
  <si>
    <t>1420033, 1420075</t>
  </si>
  <si>
    <t>LAPAUGH TO ALMA</t>
  </si>
  <si>
    <t>ITHACA</t>
  </si>
  <si>
    <t>GRATIOT</t>
  </si>
  <si>
    <t>UNCASED</t>
  </si>
  <si>
    <t>NEWARK -ARCADA DRAIN</t>
  </si>
  <si>
    <t>BELOW WATER, PIPE BURIED BELOW BOTTOM (NOT IN BORED/DRILLED CROSSING)</t>
  </si>
  <si>
    <t>API 5L X-42</t>
  </si>
  <si>
    <t>WAX, PARAFIN BASED</t>
  </si>
  <si>
    <t>NEWARK-ARCADA COUNTY DRAIN</t>
  </si>
  <si>
    <t>MEALS/LODGING FOR EMPLOYEES, SMALL CLAIMS/DAMAGE SETTLEMENTS WITH LANDOWNERS</t>
  </si>
  <si>
    <t>EARLY ANALYSIS OF SCADA DATA DID NOT INDICATE OPERATOR ACTIONS  CONTRIBUTED TO INCIDENT.</t>
  </si>
  <si>
    <t>EXCAVATION DAMAGE</t>
  </si>
  <si>
    <t>PREVIOUS DAMAGE DUE TO EXCAVATION ACTIVITY</t>
  </si>
  <si>
    <t>PRIVATE LANDOWNER</t>
  </si>
  <si>
    <t>&lt; 18î</t>
  </si>
  <si>
    <t>UNKNOWN/OTHER</t>
  </si>
  <si>
    <t>NOTIFICATION ISSUE</t>
  </si>
  <si>
    <t>NO NOTIFICATION MADE TO THE ONE-CALL CENTER/811</t>
  </si>
  <si>
    <t>SPENCER</t>
  </si>
  <si>
    <t>SHE SUPERVISOR</t>
  </si>
  <si>
    <t>spencer_welling@wplco.com</t>
  </si>
  <si>
    <t>269-548-9865</t>
  </si>
  <si>
    <t>SPENCER WELLING</t>
  </si>
  <si>
    <t>CHRIS NEELY</t>
  </si>
  <si>
    <t>269-491-0411</t>
  </si>
  <si>
    <t>VICE PRESIDENT AND MANAGER</t>
  </si>
  <si>
    <t>chris_neely@wplco.com</t>
  </si>
  <si>
    <t>WOLVERINE PIPE LINE (WPL) OCC RECEIVED A CALL FROM THE GRATIOT COUNTY DRAIN COMMISSIONER INDICATING THAT THERE WAS A POTENTIAL LEAK. OCC IMMEDIATELY SHUT DOWN THE AFFECTED LINE SEGMENT AND DISPATCHED PERSONNEL TO INVESTIGATE. UPON ARRIVING ON SITE, WPL PERSONNEL CONFIRMED THE RELEASE AND THE UPSTREAM AND DOWNSTREAM BLOCK VALVES WERE CLOSED. PRODUCT APPEARED TO BE LEAKING OUT OF THE PIPELINE DIRECTLY INTO THE WATERS OF THE NEWARK-ARCADA DRAIN. AFTER EXCAVATING, IT WAS APPARENT THAT THE PIPELINE WAS DAMAGED BY A THID PARTY EXCAVATOR.    THIS AREA OF DAMAGE CONTAINED A DENT WITH GOUGING WITHIN THE DENT. THE LEAK ORIGINATED FROM A CRACK  WITHIN THIS GOUGE.THE DENT MEASURED APPROXIMATELY 20-INCHES LONG CONTAINING THE APPROXIMATELY 1-INCH-WIDE GOUGE WITHIN THE DENT. THE MECHANICAL DAMAGE WAS IDENTIFIED ALONG THE 9:00 O'CLOCK SIDE. THE CRACK ASSOCIATED  MEASURED APPROXIMATELY 2.5-INCHES LONG X 0.053-INCH DEEP. NEW PIPING WAS INSTALLED UNDERNEATH THE NEWARK-ARCADA DRAIN AT A DEPTH OF 32", PRESSURE TESTED, AND THE PIPELINE RESUMED NORMAL OPERATIONS.    WOLVERINE IS WORKING WITH THE MICHIGAN PUBLIC SERVICE COMMISSION AND THE GRATIOT COUNTY DRAIN COMMISSION TO DETERMINE THE INVOLVED THIRD PARTY.</t>
  </si>
  <si>
    <t>FINNEY STATION</t>
  </si>
  <si>
    <t>26010.02-18 INCH LONGVIEW TO FINNEY</t>
  </si>
  <si>
    <t>LA</t>
  </si>
  <si>
    <t>CADDO</t>
  </si>
  <si>
    <t>METER/PROVER</t>
  </si>
  <si>
    <t>ON 12/18/2024 AT APPROXIMATELY 15:20, A PIPELINE TECHNICIAN DISCOVERED OIL ON THE GROUND AROUND FINNEY STATION METER PIPING DURING A ROUTINE STATION CHECK. THE STATION WAS SHUTDOWN AND 26010.02 LONGVIEW TO FINNEY 18-INCH LINE WAS BLOCKED IN.     APPROXIMATELY 5 BARRELS OF CRUDE OIL WAS RELEASED ONTO THE GROUND. CONTRACTORS CLEANED-UP THE PRODUCT AND REMOVED IMPACTED SOIL.    THE LINE WAS REPAIRED WITH A CLAMP AND RESTARTED. AN NDE SCAN WAS PERFORMED AT THE ACCIDENT LOCATION AND NO OTHER ANOMALIES WERE FOUND.     THE CAUSE OF THE ACCIDENT IS UNDER INVESTIGATION. THE FAILED SECTION IS PLANNED TO BE CUT OUT AND SENT TO A THIRD-PARTY LAB FOR ANALYSIS. A SUPPLEMENTAL REPORT WILL BE SUBMITTED ONCE THE INVESTIGATION IS COMPLETE.</t>
  </si>
  <si>
    <t>CONTRACTOR WORKING FOR THE OPERATOR</t>
  </si>
  <si>
    <t>LINE ALREADY DOWN FOR MAINTENANCE</t>
  </si>
  <si>
    <t>28-24C WTG 24INCH</t>
  </si>
  <si>
    <t>GARLOCK FIBEROUS</t>
  </si>
  <si>
    <t>GASKET</t>
  </si>
  <si>
    <t>ON 12/09/24 AT APPROXIMATELY 13:59, A GASKET FAILURE OCCURRED DURING PRESSURE CHECK ON 28-24C WTG 24INCH LINE, PRIOR TO HYDRO TESTING. THIS GASKET WAS INSTALLED PRIOR WHILE WORKING TO GET THE LINE PREPARED FOR HYDRO TESTING. PRESSURE WAS IMMEDIATELY DROPPED TO STOP THE RELEASE.     APPROXIMATELY 10 BBLS OF CRUDE OIL WAS RELEASED. ON SITE CLEANUP CREW REMOVED FREE PRODUCT AND REMEDIATED CONTAMINATED SOIL.    THE CAUSE OF THE ACCIDENT WAS DUE TO A NON-THREADED CONNECTION FAILURE.    RECENTLY INSTALLED GASKETS WILL BE REPLACED TO PREVENT REOCCURRENCE.</t>
  </si>
  <si>
    <t>ALREADY SHUTDOWN AND BLOCKED IN FOR FIELD WORK</t>
  </si>
  <si>
    <t>CLOSED MANUAL BLOCK VALVE</t>
  </si>
  <si>
    <t>EAST TEXAS 10-INCH</t>
  </si>
  <si>
    <t>21003.01 - 10-INCH NEDERLAND TO SOUR LAKE</t>
  </si>
  <si>
    <t>559+07.8</t>
  </si>
  <si>
    <t>API 5L GRADE B</t>
  </si>
  <si>
    <t>ON 12/09/24 AT APPROXIMATELY 10:30, A LEAK WAS DISCOVERED ON THE 21003.01 10-INCH NEDERLAND TO SOUR LAKE LINE ON A LANDOWNER'S PROPERTY. THE LINE WAS ALREADY SHUTDOWN AND BLOCKED IN PER SCHEDULE. MANUAL BLOCK VALVES BETWEEN SOUR LAKE AND NEDERLAND WERE CLOSED OFF TO FURTHER ISOLATE THE SEGMENT. ONCE THE LINE WAS EXCAVATED IT WAS DISCOVERED THE LEAK WAS COMING FROM A PINHOLE. THE LINE WAS TEMPORARILY CLAMPED TO STOP THE LEAK.    APPROXIMATELY 1 BARREL OF CRUDE OIL WAS RELEASED INTO THE GROUND. CLEANUP CONTRACTOR REMOVED FREE PRODUCT AND CONTAMINATED SOIL.    THE FAILED PIPE WAS CUTOUT AND REPLACED.     THE CAUSE OF THE LEAK IS STILL UNDER INVESTIGATION. THE FAILED SECTION HAS BEEN CUT OUT AND SENT TO 3RD PARTY LABORATORY FOR ANALYSIS. A SUPPLEMENTAL REPORT WILL BE SUBMITTED ONCE THE INVESTIGATION IS COMPLETE.    SUPPLEMENTAL &amp; FINAL:  THE INVESTIGATION DETERMINED THE ACCIDENT WAS CAUSED BY INTERNAL CORROSION. THE ISOLATED INTERNAL CORROSION CONTAINED TUNNELING AND PITS-IN-PITS, CONSISTENT WITH MICROBIAL INFLUENCED CORROSION (MIC), WHICH CAUSED A PINHOLE AT THE 7 OCLOCK POSITION.     TO PREVENT REOCCURRENCE, BIOCIDE INJECTION LOCATIONS, AND TREATMENT CHEMICAL AND QUANTITY ARE BEING REVIEWED FOR SUFFICIENCY.</t>
  </si>
  <si>
    <t>LINE ALREADY DOWN FOR MAINTENACE</t>
  </si>
  <si>
    <t>MONTELLO PUMP STATION</t>
  </si>
  <si>
    <t>600 MANIFOLD PIPING</t>
  </si>
  <si>
    <t>SPRING TOWNSHIP</t>
  </si>
  <si>
    <t>BERKS</t>
  </si>
  <si>
    <t>PRODUCT RELEASED AFTER SPOOL PIECE REMOVED DURING HYDROTEST PREPARATION.</t>
  </si>
  <si>
    <t>OTHER INCORRECT OPERATION</t>
  </si>
  <si>
    <t>CONTRACTOR FAILED TO DRAIN DOWN LINE COMPLETELY PRIOR TO HYRDO-TEST.</t>
  </si>
  <si>
    <t>OTHER MAINTENANCE</t>
  </si>
  <si>
    <t>ON 12/03/24 AT APPROXIMATELY 11:28, A DIESEL FUEL LEAK WAS DISCOVERED AT MONTELLO PUMP STATION DURING MAINTENANCE ACTIVITIES. WHILE READYING LINE 6 AND LINE 9 FOR HYDRO-TEST, CONTRACTORS OPENED THE FIRST FLANGE, INTRODUCING AIR INTO THE PIPE, WHICH RESULTED IN PRODUCT FLOWING OUT OF THE OPEN 10-INCH PIPE IN THE 600 MANIFOLD AREA. PRODUCT FLOW WAS REDUCED SO A 10-INCH BLIND FLANGE COULD BE INSTALLED. THE BLIND STOPPED THE FLOW AND ISOLATED THE LINE.    APPROXIMATELY 30 BBLS OF DIESEL FUEL WAS RELEASED. AN ONSITE VACUUM TRUCK RESPONDED TO COLLECT FREE PRODUCT. AN OSRO WAS MOBILIZED FOR ADDITIONAL CLEAN-UP.    THE INVESTIGATION DETERMINED THAT THE LEAK OCCURRED DUE TO THE LINE NOT BEING VENTED AT THE HIGH POINT.     TO PREVENT REOCCURRENCE IN SIMILAR SITUATIONS, AN INSPECTOR OR COMPANY REPRESENTATIVE WILL VERIFY THE DRAINED VOLUME VS LINE FILL COMPARISON PRIOR TO COMPLETION OF THE DRAIN DOWN.</t>
  </si>
  <si>
    <t>SOUR LAKE STATION</t>
  </si>
  <si>
    <t>12-INCH STATION PIPING</t>
  </si>
  <si>
    <t>SOUR LAKE</t>
  </si>
  <si>
    <t>HARDIN</t>
  </si>
  <si>
    <t>ON 10/31/24 AT APPROXIMATELY 15:00, A MEASUREMENT TECH NOTICED A CRUDE SMELL AT THE SOUR LAKE STATION, PERFORMED AN AREA WALK THROUGH AND DISCOVERED CRUDE OIL ON THE SURFACE ABOVE THE PIPING IN THE AREA OF TANK 721. THE LINE WAS SHUT IN AND ISOLATED. THE AREA WAS EXCAVATED AND IT WAS IDENTIFIED THAT THE FAILURE OCCURRED ON A SECTION OF "DEAD LEG" PIPING. THE LEAK WAS COMING FROM A PINHOLE AT THE 6 O'CLOCK POSITION. THE SEGMENT WAS DRAINED AND TWO SKILLET BLINDS WERE INSTALLED.    2 BARRELS OF CRUDE OIL WAS RELEASED. CONTRACTORS CLEANED UP FREE PRODUCT AND REMEDIATED IMPACTED SOIL.    THE CAUSE OF THE ACCIDENT WAS DETERMINED TO BE FROM INTERNAL CORROSION.     TO PREVENT REOCCURRENCE, THE LINE SEGMENT WAS DE-INVENTORIED AND REMAINS ISOLATED INDEFINITELY. PIPING MODIFICATIONS TO THE MANIFOLD ARE PLANNED TO PERMANENTLY REMOVE THE DEAD LEG.</t>
  </si>
  <si>
    <t>TANK 1583</t>
  </si>
  <si>
    <t>ROUTINE WEAR</t>
  </si>
  <si>
    <t>ON 10/23/2024 AT APPROXIMATELY 22:00, CRUDE OIL WAS DISCOVERED WITHIN THE DIKE CONTAINMENT OF TANK 1583. THE LEAK WAS IMMEDIATELY REPORTED, TANK WAS ISOLATED, AND LEAKED STOPPED. OPERATIONS TRANSFERRED THE OIL FROM TANK 1583 TO ANOTHER TANK. THE LEAK WAS COMING FROM A FAILED TANK MIXER SEAL.     APPROXIMATELY 10 BARRELS OF CRUDE OIL WAS RELEASED WITHIN THE TANK DIKE. AN ON-SITE VACUUM TRUCK RESPONDED TO COLLECT ANY FREE PRODUCT. CONTRACTORS CLEANED UP REMAINING PRODUCT AND REMOVED CONTAMINATED SOIL.    THE INVESTIGATION DETERMINED THE CAUSE OF THE LEAK WAS DUE TO A FAILURE OF THE MIXER BEARING SEAL.    THE MIXER HAS BEEN LOCKED OUT SEALING THE LEAK AND TANK 1583 WAS RETURNED TO SERVICE.</t>
  </si>
  <si>
    <t>TEXAS PLAINS PIPELINE</t>
  </si>
  <si>
    <t>23002.04 - 10-INCH TRUSCOTT TO CHILDRESS</t>
  </si>
  <si>
    <t>COTTLE</t>
  </si>
  <si>
    <t>320+76</t>
  </si>
  <si>
    <t>LAP WELDED</t>
  </si>
  <si>
    <t>NDE METHODS UT-0, WCAMT, AND CREAFORM</t>
  </si>
  <si>
    <t>ACI</t>
  </si>
  <si>
    <t>ON 10/23/24 AT 14:57, OPERATIONS WAS DRIVING THE ROW AND NOTICED CRUDE OIL ON THE GROUND NEAR 23002.04 - TRUSCOTT TO CHILDRESS 10-INCH LINE. THE CONTROL CENTER WAS NOTIFIED AND THE LINE WAS SHUTDOWN AND SEGMENT ISOLATED. ONCE THE LINE WAS EXCAVATED IT WAS DISCOVERED THE LEAK WAS COMING FROM A PINHOLE. THE LINE WAS TEMPORARILY CLAMPED TO STOP THE LEAK.    APPROXIMATELY 248 BARRELS OF CRUDE OIL WAS RELEASED INTO THE GROUND. CLEAN-UP CONTRACTORS REMOVED PRODUCT AND CONTAMINATED SOIL.     THE INVESTIGATION DETERMINED THE LEAK WAS CAUSED BY EXTERNAL CORROSION.     DUE TO THE EXTENT OF THE CORROSION, THE SECTION WAS CUTOUT AND REPLACED BEFORE RETURNING TO SERVICE ON 10/26/24 AT 16:00.</t>
  </si>
  <si>
    <t>SECOND PARTY ROW MOWER</t>
  </si>
  <si>
    <t>KILGORE 10-INCH</t>
  </si>
  <si>
    <t>21004.04 - 10-INCH GOODRICH TO HOUSTON TERMINAL</t>
  </si>
  <si>
    <t>HUFFMAN</t>
  </si>
  <si>
    <t>HARRIS</t>
  </si>
  <si>
    <t>8721+80</t>
  </si>
  <si>
    <t>EXPOSED DUE TO LOSS OF COVER</t>
  </si>
  <si>
    <t>JONES AND LAUGHLIN STEEL COMPANY</t>
  </si>
  <si>
    <t>ARMOR PLATE</t>
  </si>
  <si>
    <t>MECHANICAL PUNCTURE</t>
  </si>
  <si>
    <t>OTHER OUTSIDE FORCE DAMAGE</t>
  </si>
  <si>
    <t>DAMAGE BY CAR, TRUCK, OR OTHER MOTORIZED VEHICLE/EQUIPMENT NOT ENGAGED IN EXCAVATION</t>
  </si>
  <si>
    <t>OPERATOR'S CONTRACTOR</t>
  </si>
  <si>
    <t>MOTORCYCLE/ATV</t>
  </si>
  <si>
    <t>OFF-ROAD</t>
  </si>
  <si>
    <t>ON 10/15/24 AT APPROXIMATELY 17:25, A 2ND PARTY ROW MOWING CONTRACTOR STRUCK THE 21004.04 - GOODRICH TO HOUSTON TERMINAL 10-INCH LINE. THE CONTROL CENTER IMMEDIATELY SHUT DOWN THE ORIGIN PUMP AND REMOTE OPERATED VALVES, WHILE FIELD PERSONNEL CLOSED THE UPSTREAM AND DOWNSTREAM MANUAL VALVES. FIELD PERSONNEL STARTED DIGGING TRENCHES, BUILDING DAMS AND PUTTING ABSORBENT BOOM OUT TO SLOW DOWN THE RELEASE UNTIL MORE RESOURCES ARRIVED.     APPROXIMATELY 472 BARRELS OF CRUDE OIL WAS RELEASED. COMPANY PERSONNEL AND OSRO WERE MOBILIZED TO CONTAIN AND RECOVER RELEASED PRODUCT.     ON 10/16/14 AT APPROXIMATELY 14:15, A PLIDCO CLAMP WAS INSTALLED AND AT 15:32, THE LINE WAS RESTARTED.</t>
  </si>
  <si>
    <t>21003.02 - 10-INCH SOUR LAKE TO WARREN</t>
  </si>
  <si>
    <t>ON 10/15/2024 AT APPROXIMATELY 03:05, A PIPELINE TECH FOUND A CRUDE OIL LEAK AT SOUR LAKE STATION NEAR THE EAST TEXAS 10-INCH SCRAPER TRAP. THE LINE WAS SHUT DOWN AND THE SEGMENT ISOLATED. THE AREA WAS EXCAVATED, AND THE LEAK WAS IDENTIFIED COMING FROM A PIN HOLE AT THE 6 O'CLOCK POSITION ON 21003.02 10-INCH SOUR LAKE TO WARREN LINE.    APPROXIMATELY 2 BARRELS OF CRUDE OIL WAS RELEASED INTO THE GROUND. CLEANUP CONTRACTOR REMOVED FREE PRODUCT AND CONTAMINATED SOIL.    THE LINE WAS REPAIRED WITH A CLAMP, PRESSURE TESTED AND RESTARTED.    PLANNING TO ELIMINATE THE FAILED PIPE SEGMENT TO PREVENT REOCCURRENCE.</t>
  </si>
  <si>
    <t>MID - VALLEY PIPELINE CO</t>
  </si>
  <si>
    <t>ALREADY SHUTDOWN</t>
  </si>
  <si>
    <t>ALLOWED TO BURN OUT</t>
  </si>
  <si>
    <t>LIMA STATION</t>
  </si>
  <si>
    <t>28008 - 20-INCH ASHLAND SPUR LINE</t>
  </si>
  <si>
    <t>OH</t>
  </si>
  <si>
    <t>ALLEN</t>
  </si>
  <si>
    <t>ISOLATION MUD PLUG</t>
  </si>
  <si>
    <t>BENTONITE MUD PLUG</t>
  </si>
  <si>
    <t>FLASH FIRE DUE TO HYDROCARBON VAPORS PASSING BY ISOLATION MUD PLUG</t>
  </si>
  <si>
    <t>EQUIPMENT NOT INSTALLED PROPERLY</t>
  </si>
  <si>
    <t>ON 10/04/24 AT APPROXIMATELY 18:00, A SMALL FLASH FIRE OCCURRED AT LIMA MVPL TERMINAL WHILE WELDING TO INSTALL A FABRICATED ASSEMBLY IN ORDER TO AFFECT A PRESSURE TEST THE 20-INCH ASHLAND SPUR LINE. TACK WELDS WERE COMPLETED ON THE ASSEMBLY AND AS CONTRACT CREW WAS BEGINNING THE WELD ROOT PASS A SMALL FLASH OCCURRED DUE TO VAPORS PASSING MUD PLUG. LINE IS NON-PIGGABLE AND DEPENDENT ON DRAIN UP TO EVACUATE LINE.     OPERATIONS HELD A SAFETY STAND DOWN AFTER THE FLASHFIRE.      COLD CUT TACK WELDS TO REMOVE FABRICATED ASSEMBLY FOR INSPECTION AND ALSO, INSPECTED THE 20-INCH SPUR LINE. AFTER SATISFACTORY INSPECTION, PROCEEDED WITH INSTALLATION OF FABRICATED ASSEMBLY AND PRESSURE TEST.     THE INVESTIGATION DETERMINED THAT THE MUD PLUG FAILED LIKELY DUE TO BEING INSTALLED TOO FAR IN ADVANCE OF THE WELDING ACTIVITIES WHICH MAY HAVE ALLOWED IT TO DRY TO AN EXTENT THAT THE SEALING CAPABILITIES WERE COMPROMISED AND THE PLUG WAS MADE WITH INSUFFICIENT THICKNESS FOR THE DIAMETER OF PIPE. THE CONTRACTORS QUALIFICATIONS WERE REMOVED AND INVOLVED INDIVIDUALS ARE BEING RETRAINED.</t>
  </si>
  <si>
    <t>NUSTAR LOGISTICS, L.P.</t>
  </si>
  <si>
    <t>70P CHOKE CANYON PIPELINE SYSTEM</t>
  </si>
  <si>
    <t>HWY 97 TERMINAL</t>
  </si>
  <si>
    <t>MCMULLEN</t>
  </si>
  <si>
    <t>FILTER/STRAINER/SEPARATOR</t>
  </si>
  <si>
    <t>NEITHER CONTROLLER NOR CONTROL ROOM ISSUES CONTRIBUTED TO THE ACCIDENT.</t>
  </si>
  <si>
    <t>RUSSELL PESEK</t>
  </si>
  <si>
    <t>SUPERVISOR PIPELINE SAFETY</t>
  </si>
  <si>
    <t>russell.pesek@sunoco.com</t>
  </si>
  <si>
    <t>361-249-9417</t>
  </si>
  <si>
    <t>210-918-7117</t>
  </si>
  <si>
    <t>WES GORE</t>
  </si>
  <si>
    <t>361-249-9402</t>
  </si>
  <si>
    <t>GENERAL MANAGER</t>
  </si>
  <si>
    <t>wes.gore@sunoco.com</t>
  </si>
  <si>
    <t>WHILE PERFORMING A ROUTINE MAINTENANCE INSPECTION, COMPANY OPERATIONS PERSONNEL DISCOVERED A CRUDE OIL LEAK INSIDE NUSTAR'S HWY 97 TERMINAL TANK FARM.  THE LEAK ORIGINATED AT THE 6 O'CLOCK POSITION OF A STRAINER/FILTER VESSEL LOCATED UPSTREAM OF BOOSTER PUMP 404 AND WITHIN TANK 403'S CONTAINMENT.  NUSTAR'S 70P CHOKE CANYON PIPELINE SYSTEM WAS SHUT DOWN, AND BOTH SUCTION AND DISCHARGE VALVES WERE USED TO ISOLATE THE BOOSTER PUMP STATION.  UPDATE - THE LEAK OCCURRED ON THE BOTTOM HEAD OF THE STRAINER AT A THROUGH-WALL INTERNAL CORROSION PIT.  THE CAUSE OF THE LEAK IS INTERNAL CORROSION OF THE COMPONENT SURFACE DUE TO MICROBIOLOGICALLY INFLUENCED CORROSION.</t>
  </si>
  <si>
    <t>LPG (LIQUEFIED PETROLEUM GAS)  /  NGL (NATURAL GAS LIQUID)</t>
  </si>
  <si>
    <t>S512.03 JUSTICE 20_20IN WOLFE AIR PARK TO HOUSTON</t>
  </si>
  <si>
    <t>JUSTICE 20IN JACKSON TO HOUSTON</t>
  </si>
  <si>
    <t>LAPORTE</t>
  </si>
  <si>
    <t>5555+71</t>
  </si>
  <si>
    <t>API 5L</t>
  </si>
  <si>
    <t>UNITED STATES STEEL</t>
  </si>
  <si>
    <t>A THIRD-PARTY VEHICLE CRASHED INTO A 3' BLOWDOWN ON THE JUSTICE 20' PIPELINE NEAR SPENCER HWY, RESULTING IN THE RUPTURE OF THE LINE AND THE FATALITY OF THE DRIVER.  DETAILS OF THIS THIRD-PARTY CRASH ARE UNDER CRIMINAL INVESTIGATION.</t>
  </si>
  <si>
    <t>THIRD PARTY</t>
  </si>
  <si>
    <t>PASSENGER CAR</t>
  </si>
  <si>
    <t>PARKING LOT</t>
  </si>
  <si>
    <t>JOSEPH STOVER</t>
  </si>
  <si>
    <t>joseph.stover@energytransfer.com</t>
  </si>
  <si>
    <t>832-324-1027</t>
  </si>
  <si>
    <t>JUSTIN DAVIDSON</t>
  </si>
  <si>
    <t>713-989-5231</t>
  </si>
  <si>
    <t>MANAGER - DOT COMPLIANCE</t>
  </si>
  <si>
    <t>justin.davidson@energytransfer.com</t>
  </si>
  <si>
    <t>ON 09/16/2024 AT 10:08AM, THE ENERGY TRANSFER (ET) CONTROL ROOM RECEIVED A LEAK DETECTION RUPTURE ALARM. THEY ACKNOWLEDGED THE ALARM AND THEN CALLED THE JACKSON PLANT TO PREPARE FOR A SHUTDOWN OF THE S512.03 JUSTICE 20_20IN WOLFE AIR PARK TO HOUSTON LINE AT 10:14AM. THE CONTROL ROOM MANAGER THEN CALLED OPERATIONS TO NOTIFY THEM OF A SUSPECTED ISSUE NEAR SPENCER HWY. OPERATIONS THEN DISPATCHED PERSONNEL AND ARRIVED ON SITE AT 10:42 AM WHERE FIRE AND EMERGENCY RESPONDERS WERE ALREADY ON THE SCENE. ET PERSONNEL CONFIRMED DISCOVERY AT 10:52 AM. THE CONTROL ROOM CONTINUED PREPARING FOR A SHUTDOWN AND RECEIVED CONFIRMATION AT 11:21 AM THAT THE MLV UPSTREAM AND DOWNSTREAM WERE CLOSED AND THAT THE LINE WAS ISOLATED. STOPPLE FITTINGS WERE THEN INSTALLED TO REDUCE BLOWDOWN VOLUME. ET AND EMERGENCY RESPONDERS MONITORED THE FIRE ONSITE UNTIL 6:37PM ON 09/19/2024 WHEN THE FIRE WAS DEPLETED. ET THEN BEGAN REMEDIATING THE DAMAGE AND THE LINE WAS PUT BACK INTO SERVICE ON 1:52 AM ON 9/22/2024. THE INVESTIGATION IS STILL ONGOING AND WAITING ON THE DEER PARK POLICE REPORT.    IN REFERENCE TO A.10, A THIRD-PARTY VEHICLE CRASHED INTO A 3' BLOWDOWN ON THE JUSTICE 20' PIPELINE NEAR SPENCER HWY, RESULTING IN THE RUPTURE OF THE LINE AND THE FATALITY OF THE DRIVER.  DETAILS OF THIS THIRD-PARTY CRASH ARE UNDER CRIMINAL INVESTIGATION.</t>
  </si>
  <si>
    <t>TANK 90 16-INCH TANK LINE</t>
  </si>
  <si>
    <t>LIMA</t>
  </si>
  <si>
    <t>ON 09/15/2024 AT 05:29, AN OPERATIONS SUPERVISOR RECEIVED REPORTS OF A CRUDE OIL SMELL COMING FROM THE AREA AROUND MVPL LIMA STATION. A LEAK WAS DISCOVERED INSIDE OF TANK 90 DIKE ON THE MVPL FILL LINE IN THE EAST TANK FARM AT LIMA STATION. THE STATION WAS SHUTDOWN, AND VALVES 7290A AND THE HOV WERE CLOSED. THE LINE WAS EXCAVATED AND A PINHOLE ON THE BOTTOM SIDE OF THE PIPE WAS IDENTIFIED.     APPROXIMATELY 2 BARRELS OF CRUDE OIL WAS RELEASED INTO THE TANK DIKE AREA. RELEASED PRODUCT WAS CLEANED UP AND IMPACTED SOIL REMEDIATED.    THE LINE WAS REPAIRED BY INSTALLING A 16-INCH PLIDCO MECHANICAL CLAMP AND THE LINE WAS RESTARTED AT 12:49.    THE CAUSE OF THE ACCIDENT IS UNDER INVESTIGATION. THE FAILED SECTION IS PLANNED TO BE CUT OUT AND SENT TO A THIRD-PARTY LAB FOR ANALYSIS. A SUPPLEMENTAL REPORT WILL BE SUBMITTED ONCE THE INVESTIGATION IS COMPLETE.</t>
  </si>
  <si>
    <t>TEXOMA STATION</t>
  </si>
  <si>
    <t>WTG 12-INCH RELIEF LINE</t>
  </si>
  <si>
    <t>LONGVIEW</t>
  </si>
  <si>
    <t>GREGG</t>
  </si>
  <si>
    <t>MARUICHI SUN STEEL JOINT STOCK COMPANY</t>
  </si>
  <si>
    <t>ON 09/11/24 AT APPROXIMATELY 12:15, A THIRD-PARTY CONTRACTOR CALLED LOCAL OPERATIONS ABOUT CRUDE OIL ON THE GROUND AT TEXOMA STATION. THE CONTROL CENTER WAS CALLED TO BEGIN SHUTTING DOWN AND ISOLATING THE LINE. THE WTG 12-INCH RELIEF LINE WAS BELIEVED TO BE THE SOURCE OF THE RELEASE AND WAS EXCAVATED.  AFTER EXCAVATION OF THE RELIEF LINE TWO CORROSION PINHOLES WERE DISCOVERED AT THE 6 O'CLOCK POSITION.     APPROXIMATELY 30 BARRELS OF CRUDE OIL WAS RELEASED. CLEAN-UP CONTRACTORS REMOVED FREE PRODUCT AND IMPACTED SOIL IS BEING REMEDIATED.    THE LEAK WAS REPAIRED BY CUTTING OUT AND REPLACING THE PIPE.     THE FAILED SECTION CUT OUT WAS SENT TO A THIRD-PARTY LAB FOR ANALYSIS. THE CAUSE OF THE ACCIDENT WAS DETERMINED TO BE DUE TO MICROBIOLOGICALLY INDUCED INTERNAL CORROSION.    TO PREVENT REOCCURRENCE, THE RELIEF LINE WAS RELOCATED ABOVE GRADE TO ELIMINATE LOW POINT/SETTLEMENT ISSUES.</t>
  </si>
  <si>
    <t>CENTURION PIPELINE L.P.</t>
  </si>
  <si>
    <t>HALLEY STATION</t>
  </si>
  <si>
    <t>C20010 - HALLEY TO WINK</t>
  </si>
  <si>
    <t>WINKLER</t>
  </si>
  <si>
    <t>AGE AND WEAR RELATED FAILURE OF CHECK VALVE.</t>
  </si>
  <si>
    <t>ON 09/11/24 AT APPROXIMATELY 10:45 AM, CRUDE OIL WAS DISCOVERED AT THE METER SKID LOCATED INSIDE OF THE CENTURION HALLEY STATION. THE METER SKID WAS ISOLATED AND C20010 - HALLEY TO WINK 10-INCH LINE WAS SHUT DOWN. LEAK WAS DETERMINED TO BE COMING FROM METER SKID DRAIN LINE DUE TO A FAULTY CHECK VALVE.     APPROXIMATELY 1.6 BARRELS OF CRUDE OIL WAS RELEASED. RELEASED PRODUCT WAS CLEANED UP AND IMPACTED SOIL WAS REMEDIATED.     TO PREVENT IMMEDIATE REOCCURRENCE THE 2-INCH METER VALVE AND 2-INCH CHECK VALVE WERE REPLACED. AN ADDITIONAL REDUNDANT VALVE WILL BE INSTALLED ON THE METER SKID TO ALIGN WITH CURRENT COMPANY DESIGN STANDARDS AND PREVENT FUTURE REOCCURRENCE.</t>
  </si>
  <si>
    <t>HARMONIC DISTORTION</t>
  </si>
  <si>
    <t>ON 9/11/2024 AT APPROXIMATELY 05:00, A CONTRACTOR DISCOVERED A RELEASE OF CRUDE OIL AT THE MARSHLAND MANIFOLD ON INLET PIPING ASSOCIATED WITH #2 BOOSTER. THE BOOSTER PUMP WAS SHUT DOWN AND THE PRESSURE RELIEF VALVE WAS ISOLATED WHICH STOPPED THE LEAK. THE LEAK WAS DETERMINED TO BE COMING FROM A CRACK IN THE 1.5-INCH PRESSURE RELIEF LINE FROM THE BOOSTER DISCHARGE LINE.     APPROXIMATELY 100 BARRELS OF CRUDE OIL WAS RELEASED INTO CONTAINMENT. CLEANUP CREWS REMOVED FREE PRODUCT AND REMEDIATED CONTAMINATED SOIL.    THE 48HR NRC REPORT WAS MADE AS SOON AS POSSIBLE AFTER IT WAS DISCOVERED THAT IT HAD NOT BEEN MADE W/IN 48 HOURS OF THE ORIGINAL NRC REPORT.    AN INVESTIGATION WAS COMPLETED, AND IT WAS DETERMINED THAT A THERMAL PRESSURE SAFETY VALVE (PSV) HAD SETPOINT LEVEL TOO CLOSE TO THE FACILITY LINE NORMAL OPERATING PRESSURE WHICH ALLOWED ACTIVATION OF THE PSV DURING ROUTINE STARTUPS OF THE ASSOCIATED BOOSTER PUMP.  THE PSV FAILED TO RESEAT WHICH CAUSED VIBRATION DURING THE CONTINUED FLOW THROUGH THE PSV AND LED TO A CRACK IN THE SCHEDULE 80 PIPE ASSOCIATED WITH THE PSV LEADING TO THE RELEASE.  TO PREVENT REOCCURRENCE, THE PSV AND ASSOCIATED PIPING HAS BEEN REPLACED.  THE NEW PSV HAS AN INCREASED SETPOINT TO ENSURE IT WILL NOT ACTIVATE UNDER NORMAL OPERATING CONDITIONS BUT WILL STILL PROTECT THE PIPING FROM THERMAL OVERPRESSURE.</t>
  </si>
  <si>
    <t>SEMINOLE STATION</t>
  </si>
  <si>
    <t>SP-0001 2-INCH DISCHARGE LINE</t>
  </si>
  <si>
    <t>SEMINOLE</t>
  </si>
  <si>
    <t>GAINES</t>
  </si>
  <si>
    <t>ON 09/06/24 AT APPROXIMATELY 07:00, OPERATIONS DISCOVERED CRUDE OIL ON THE GROUND AT THE OUTGOING METER SKID WITHIN SEMINOLE STATION. THE RELEASE WAS COMING FROM A PINHOLE ON THE 2-INCH SUMP (SP-0001) DISCHARGE LINE. ISOLATED AND SHUT DOWN SUMP. CLOSED DISCHARGE VALVE ON SUMP &amp; TIE-IN VALVE TO LINE.    APPROXIMATELY 2 BARRELS OF CRUDE OIL WAS RELEASED ONTO THE GROUND. CLEANUP CREWS REMOVED PRODUCT AND REMEDIATED IMPACTED SOIL.     A CLAMP WAS INSTALLED TO REPAIR THE LEAK AND THE SUMP WAS RETURNED TO SERVICE.     A SUPPLEMENTAL REPORT WILL BE SUBMITTED ONCE THE INVESTIGATION IS COMPLETE.</t>
  </si>
  <si>
    <t>21003.04 - 10-INCH DIBOLL TO DOUGLAS</t>
  </si>
  <si>
    <t>NACOGDOCHES</t>
  </si>
  <si>
    <t>WELD, INCLUDING HEAT-AFFECTED ZONE</t>
  </si>
  <si>
    <t>PIPE GIRTH WELD</t>
  </si>
  <si>
    <t>UNNAMED CREEK</t>
  </si>
  <si>
    <t>ON 08/29/24 AT APPROXIMATELY 20:45, A LAND OWNER CALLED THE CONTROL CENTER ABOUT A POTENTIAL CRUDE OIL LEAK ON PIPELINE ROW OF 21003.04 10-INCH DIBOLL TO DOUGLAS LINE. THE LINE WAS SHUT DOWN AND THE SEGMENT ISOLATED. THE LEAK WAS IDENTIFIED COMING FROM A PIN HOLE AT THE 6 O'CLOCK POSITION.     APPROXIMATELY 1.9 BARRELS OF CRUDE OIL WAS RELEASED AND MIGRATED TO A NEARBY UNNAMED CREEK. OSRO REMOVED FREE PRODUCT AND CONTAMINATED SOIL.    ON 08/30/34, A CLAMP WAS INSTALLED AND THE LINE WAS RESTARTED.     THE PIPE WILL BE CUT OUT AND SENT TO A 3RD PARTY LABORATORY FOR ANALYSIS. A SUPPLEMENTAL REPORT WILL BE SUBMITTED ONCE THE ANALYSIS AND INVESTIGATION IS COMPLETE.</t>
  </si>
  <si>
    <t>AMDEL PIPELINE</t>
  </si>
  <si>
    <t>21001.09 10-INCH BRONTE TO TALPA</t>
  </si>
  <si>
    <t>BALLINGER</t>
  </si>
  <si>
    <t>RUNNELS</t>
  </si>
  <si>
    <t>ON  08/29/24 AT APPROXIMATELY 18:30, A LANDOWNER NOTIFIED OPERATIONS ABOUT OIL ON THE GROUND AT MP 79450.4 OF THE 21001.09 10-INCH BRONTE TO TALPA (AMDEL SYSTEM). THE LINE WAS IMMEDIATELY SHUTDOWN AND THE SEGMENT ISOLATED. THE LINE WAS EXCAVATED AND A THROUGH-WALL PINHOLE WAS FOUND AT THE 05:10 O'CLOCK POSITION.    APPROXIMATELY 225 BARRELS OF CRUDE OIL WAS RELEASED. CLEAN-UP CONTRACTORS REMOVED FREE PRODUCT AND IMPACTED SOIL IS BEING REMEDIATED.     ON 08/30/24, A PLIDCO CLAMP WAS INSTALLED TO TEMPORARILY REPAIR THE LEAK WHILE THE LINE WAS RETURNED TO SERVICE.     THE FAILED SECTION OF PIPE WAS CUT OUT AND REPLACED.  THE FAILED SECTION WAS SENT TO A LABORATORY FOR EXAMINATION.  THE INVESTIGATION DETERMINED THE CAUSE OF THE ACCIDENT WAS DUE TO EXTERNAL CORROSION.</t>
  </si>
  <si>
    <t>TANK 7302 WAS ISOLATED.</t>
  </si>
  <si>
    <t>JAL STATION</t>
  </si>
  <si>
    <t>TANK 7302</t>
  </si>
  <si>
    <t>NM</t>
  </si>
  <si>
    <t>JAL</t>
  </si>
  <si>
    <t>LEA</t>
  </si>
  <si>
    <t>ROOF DRAIN SYSTEM</t>
  </si>
  <si>
    <t>UNDER INVESTIGATION</t>
  </si>
  <si>
    <t>ON 08/25/24 AT 12:30, CRUDE OIL WAS DISCOVERED ON THE GROUND AT JAL STATION. CRUDE OIL WAS ALSO FOUND ON TOP OF THE EXTERNAL FLOATING ROOF. IT WAS DETERMINED THE CRUDE OIL WAS COMING FROM THE ROOF DRAIN LINE OF TANK 7302. TANK'S ROOF DRAIN WAS CLOSED AND THE TANK WAS ISOLATED.     APPROXIMATELY 2.5 BARRELS OF CRUDE OIL WAS RELEASED INTO CONTAINMENT. CLEANUP CREWS REMOVED PRODUCT AND REMEDIATED CONTAMINATED SOIL.     THE CAUSE OF THE ACCIDENT IS PENDING AN ONGOING INVESTIGATION. A SUPPLEMENTAL REPORT WILL BE SUBMITTED ONCE COMPLETED.</t>
  </si>
  <si>
    <t>MARYSVILLE TO TOLEDO</t>
  </si>
  <si>
    <t>13002 CMAR-CTOL-16INCH</t>
  </si>
  <si>
    <t>LIVONIA</t>
  </si>
  <si>
    <t>WAYNE</t>
  </si>
  <si>
    <t>X-60</t>
  </si>
  <si>
    <t>REPUBLIC STEEL</t>
  </si>
  <si>
    <t>ON 8/20/2024 AT 08:57, OPERATIONS RECEIVED A NOTIFICATION CONCERNING VISIBLE PRODUCT LEAKING FROM A SIDEWALK ON 13002 CMAR-CTOL-16INCH LINE. LINE WAS IMMEDIATELY SHUTDOWN AND ISOLATED.     APPROXIMATELY 5 BARRELS OF CRUDE OIL WAS RELEASED. AN OSRO WAS MOBILIZED TO CLEANUP FREE PRODUCT AND CONTAMINATED SOIL.     THE FAILED PIPE WAS CUTOUT AND REPLACED. THE LINE WAS RESTARTED ON 8/24/2024 AT 09:45.    THE CAUSE OF THE LEAK IS STILL UNDER INVESTIGATION. A SUPPLEMENTAL REPORT WILL BE SUBMITTED ONCE THE INVESTIGATION IS COMPLETE.</t>
  </si>
  <si>
    <t>EL RENO STATION</t>
  </si>
  <si>
    <t>EL RENO TO CUSHING SYSTEM #2 16-INCH</t>
  </si>
  <si>
    <t>EL RENO</t>
  </si>
  <si>
    <t>CANADIAN</t>
  </si>
  <si>
    <t>TUBING</t>
  </si>
  <si>
    <t>STAINLESS STEEL</t>
  </si>
  <si>
    <t>RIGID</t>
  </si>
  <si>
    <t>NATURAL FORCE DAMAGE</t>
  </si>
  <si>
    <t>HEAVY RAINS/FLOODS</t>
  </si>
  <si>
    <t>INCREASED EARTH SETTLING FROM EXTREME DRY WEATHER TO SUDDEN RAINFALL.</t>
  </si>
  <si>
    <t>ON 8/11/24 AT 23:30, A LEAK WAS DISCOVERED IN THE MAINLINE PUMP STRAINER AREA OF THE EL RENO TO CUSHING SYSTEM #2 LINE AT EL RENO STATION. THE AREA WAS ISOLATED AND THE LINE SHUTDOWN. THE INVESTIGATION DETERMINED THE LEAK WAS COMING FROM A THREADED 1/2-INCH PVIT FITTING.    APPROXIMATELY 5 BARRELS OF CRUDE OIL WAS RELEASED TO THE GROUND. RELEASED PRODUCT WAS CLEANED UP AND IMPACTED SOIL REMEDIATED.    FAILED FITTING WAS REPLACED AND LINE RESTARTED.    THE CAUSE OF THE LEAK IS STILL UNDER INVESTIGATION. A SUPPLEMENTAL REPORT WILL BE SUBMITTED ONCE THE INVESTIGATION IS COMPLETE.    SUPPLEMENTAL REPORT FILED ON NOVEMBER 15, 2024:  DURING THE ACCIDENT INVESTIGATION, IT WAS DETERMINED THAT SUDDEN HEAVY RAINFALL CAUSE INCREASED SETTLING OF THE SOIL IN THE AREA OF THE FITTING. PRIOR TO THE LEAK, THE GROUND HAD PREVIOUSLY BEEN EXCAVATED AND BACKFILLED. WEATHER CONDITIONS WERE IN DROUGHT PRIOR TO THE RAINFALL. WITH THE AGE OF THE FITTING AND THE SUDDEN RAINFALL CAUSING SETTLING, THE FITTING LEAKED. THE THREADED FITTING WAS REPLACED WITH A SINGLE STAINLESS STEEL LINE TO PREVENT FUTURE REOCCURRENCE. THE SINGLE STAINLESS STEEL LINE WILL PREVENT MULTIPLE CONNECTION POINTS THAT COULD SERVE AS POTENTIAL LEAK POINTS.</t>
  </si>
  <si>
    <t>MARCUS HOOK TANK FARM</t>
  </si>
  <si>
    <t>TANK 327</t>
  </si>
  <si>
    <t>ASTON</t>
  </si>
  <si>
    <t>DELAWARE</t>
  </si>
  <si>
    <t>CHIME</t>
  </si>
  <si>
    <t>MW35</t>
  </si>
  <si>
    <t>ON 8/9/24 AT 07:45, BUBBLING AROUND CHIME OF TANK 327 WAS OBSERVED DURING ROUNDS AT MARCUS HOOK TANK FARM.     APPROXIMATELY 1,342 BBLS OF GASOLINE WAS RELEASED INTO CONTAINMENT. REMAINING PRODUCT FROM TANK 327 WAS TRANSFERRED TO AN ADJACENT TANK. FREE PRODUCT WAS RECOVERED FROM TANK DIKE AREA.    TANK MANWAYS REMOVED.    THE CAUSE OF THE ACCIDENT IS STILL UNDER INVESTIGATION. A SUPPLEMENTAL REPORT WILL BE SUBMITTED ONCE THE INVESTIGATION IS COMPLETED.</t>
  </si>
  <si>
    <t>MERTEN STATION</t>
  </si>
  <si>
    <t>23002 8-INCH MCCLELLAN TO MERTEN</t>
  </si>
  <si>
    <t>PAMPA</t>
  </si>
  <si>
    <t>GRAY</t>
  </si>
  <si>
    <t>MAINLINE</t>
  </si>
  <si>
    <t>CHECK</t>
  </si>
  <si>
    <t>INTERNAL PIN DRIPPED ALLOWING EXTERNAL HANDLE TO COME OUTSIDE OF THE PACKINGING</t>
  </si>
  <si>
    <t>ON 8/8/24 AT APPROXIMATELY 12:00, A COMPANY EMPLOYEE DISCOVERED A CRUDE OIL RELEASE AT MERTEN STATION. THE CONTROL CENTER WAS NOTIFIED AND IMMEDIATELY SHUTDOWN AND BLOCKED OFF THE TRUCKING LACTS INTO THE TANK, THE TANK INJECTION PUMP AND THE MAIN LINE. OPERATIONS ISOLATED THE ONSITE VALVE AND VERIFIED THE LEAK WAS COMING FROM A  CHECK VALVE ON THE 23002 8-INCH MCCLELLAN TO MERTEN LINE.     APPROXIMATELY 50 BARRELS OF CRUDE OIL WAS RELEASED. RELEASED PRODUCT WAS CLEANED UP AND IMPACTED SOIL REMEDIATED.    THE INVESTIGATION DISCOVERED THE INTERNAL PIN OF THE CHECK VALVE DROPPED ALLOWING EXTERNAL HANDLE TO COME OUTSIDE OF THE PACKING AND RELEASE CRUDE OIL.     THE STATION IS CURRENTLY BEING BYPASSED WHILE VALVE REPLACEMENT IS PENDING.     A SUPPLEMENTAL REPORT WILL BE SUBMITTED ONCE THE REPAIR HAS BEEN MADE AND THE STATION IS RESTARTED.     SUPPLEMENTAL &amp; FINAL:  THE CHECK VALVE WAS REPLACED WITH A SPRING ASSISTED CHECK VALVE AND THE LINE WAS RETURNED TO SERVICE.</t>
  </si>
  <si>
    <t>LINE WAS ALREADY SHUTDOWN</t>
  </si>
  <si>
    <t>MAYERSVILLE STATION</t>
  </si>
  <si>
    <t>16-INCH STRAINER BYPASS LINE</t>
  </si>
  <si>
    <t>MS</t>
  </si>
  <si>
    <t>MAYERSVILLE</t>
  </si>
  <si>
    <t>ISSAQUENA</t>
  </si>
  <si>
    <t>X52</t>
  </si>
  <si>
    <t>ON 08/08/24 AT APPROXIMATELY 07:15, DURING THE MORNING WALKTHROUGH, A LOCAL OPERATOR EMPLOYEE DISCOVERED A LEAK ON THE 16-INCH STRAINER BYPASS PIPING AT MAYERSVILLE PUMP STATION. THE CONTROL CENTER WAS IMMEDIATELY NOTIFIED AND THE STATION WAS ISOLATED ALTHOUGH AT THE TIME OF DISCOVERY THE PIPELINE WAS DOWN ON NORMAL SCHEDULE. THE LEAK AREA WAS FURTHER ISOLATED AND AN INVESTIGATION DETERMINED THE LEAK WAS COMING FROM A PINHOLE LEAK AT THE 6 OCLOCK POSITION ON THE STRAINER BYPASS PIPING. THE LEAK POINT WAS REPAIRED USING A 16-INCH MECHANICAL CLAMP.     APPROXIMATELY 15 GALLONS (0.4 BBLS.) OF CRUDE OIL WAS RELEASED. CLEANUP CONTRACTORS REMOVED PRODUCT AND REMEDIATED IMPACTED SOIL.    THE FAILED SECTION HAS BEEN CUT OUT AND REPLACED AND SENT TO A LABORATORY FOR EXAMINATION.     SUPPLEMENTAL &amp; FINAL:  THE LAB ANALYSIS DETERMINED THE CAUSE OF THE ACCIDENT WAS DUE TO INTERNAL CORROSION.    TO PREVENT REOCCURRENCE, CONTINUOUS TREATMENTS UPSTREAM OF THIS STATION HAVE BEEN IMPLEMENTED AND THE VOLUME OF PRODUCT TO FLUSH THE LINE WAS INCREASED.</t>
  </si>
  <si>
    <t>IDLE</t>
  </si>
  <si>
    <t>COLORADO CITY WTG</t>
  </si>
  <si>
    <t>BOOSTER PUMP 3111</t>
  </si>
  <si>
    <t>HERMLEIGH</t>
  </si>
  <si>
    <t>SCURRY</t>
  </si>
  <si>
    <t>ON 7/28/24 AT APPROXIMATELY 15:00, A LEAK WAS DISCOVERED ON THE BOOSTER PUMP 3111 DRAIN LINE ON THE 20-INCH COLORADO CITY WTG LINE. THE BOOSTER PUMP WAS OUT OF SERVICE AND ISOLATED WITH GATE VALVES AT THE TIME OF THE LEAK. COLORADO CITY WTG DELIVERIES WERE STOPPED AND THE DRAIN DOWN LINE WAS ISOLATED. TECHNICIANS INSTALLED SKILLETS TO FURTHER ISOLATE DEAD LEG DISCHARGE AND SUCTION PIPING TO BOOSTER PUMP 3111.     3.07 BARRELS OF CRUDE OIL WAS RELEASED. RELEASED PRODUCT WAS CLEANED UP AND IMPACTED SOIL REMEDIATED.    AN INVESTIGATION DETERMINED THE CAUSE OF THE LEAK WAS DUE TO INTERNAL CORROSION ON THE DRAIN LINE WELD. THE GATE VALVES UTILIZED FOR ISOLATION MAY HAVE LEAKED BY ALLOWING A SMALL AMOUNT OF PRODUCT TO ACCUMULATE OVER TIME.     TO PREVENT REOCCURRENCE, BOOSTER PUMP 3111 HAS BEEN ISOLATED AND DRAINED FROM MAINLINE PIPING, AND THE DEAD LEG REMOVED.</t>
  </si>
  <si>
    <t>INLAND CORPORATION</t>
  </si>
  <si>
    <t>13212 LIME-COLUMBUS NORTH-SL10 10-INCH</t>
  </si>
  <si>
    <t>1+13.5</t>
  </si>
  <si>
    <t>A REVIEW OF THE EVENT DETERMINED THERE WERE NO CONTROL ROOM ACTIONS THAT LED TO OR CONTRIBUTED TO THE FAILURE.</t>
  </si>
  <si>
    <t>VALVE THREADS</t>
  </si>
  <si>
    <t>UNKNOWN UNDERGROUND CONNECTION AND WAS NOT MAINTAINED.</t>
  </si>
  <si>
    <t>ON 7/13/2024 AT 18:00, A LEAK OF DIESEL FUEL WAS DISCOVERED AT LIMA STATION ON THE 13212 LIMA-COLUMBUS NORTH-SL10 10-INCH LINE. STATION WAS SHUTDOWN WHILE INVESTIGATION INTO SOURCE OF THE LEAK WAS COMPLETED.  AFTER EXCAVATION THE LEAK WAS DETERMINED TO HAVE BEEN COMING FROM AN UNKNOWN 2-INCH THREAD-O-LET AND VALVE ASSOCIATED WITH SMALL DIAMETER PIPING.  THE LEAK WAS CONTROLLED AND REPAIRED BY REMOVING THE VALVE AND PLUGGING THIS CONNECTION.     APPROXIMATELY 13 BARRELS OF DIESEL WAS RELEASED. RELEASED PRODUCT WAS CLEANED UP AND IMPACTED SOIL REMEDIATED.     TO PREVENT REOCCURRENCE, OPERATIONS IDENTIFIED AND VERIFIED THE STATUS OF OTHER 2-INCH VALVES WITHIN LIMA STATION.</t>
  </si>
  <si>
    <t>SEAWAY 30-INCH</t>
  </si>
  <si>
    <t>PRESSURE EXCEEDED MOP, BUT DID NOT EXCEED 110% OF MOP</t>
  </si>
  <si>
    <t>PIPELINE OR EQUIPMENT OVERPRESSURED</t>
  </si>
  <si>
    <t>ON 7/13/24 AT APPROXIMATELY 04:00, A CRUDE OIL RELEASE OCCURRED WITHIN THE TEXOMA MANIFOLD. OPERATIONS PERSONNEL WERE IMMEDIATELY DISPATCHED TO THE AREA OF THE RELEASE TO ASSESS THE SITUATION AND BEGIN CLEANUP. IT WAS DETERMINED THAT TANK 1541 TANK GATE VALVE WAS NOT OPENED IN SEQUENCE, WHICH CAUSED AN OVERPRESSURE OF THE SEAWAY 30-INCH TRANSFER LINE. THE PIPELINE OVERPRESSURE CAUSED THE SHUTDOWN VALVE TO BLOCK IN AUTOMATICALLY AND STOP THE FLOW OF CRUDE.    APPROXIMATELY ONE (1) BARREL OF CRUDE OIL WAS RELEASED. ON-SITE CONTRACTORS CLEANED-UP RELEASED PRODUCT.     GASKETS WERE REPLACED. ALL FLANGES WERE TORQUED TO SPEC AND CHECKED FOR LEAKS. THE LINE WAS STATIC PRESSURE TESTED AND WAS MONITORED FOR LEAKS PRIOR TO RESTART.    THE CAUSE OF THE LEAK WAS AN OVERPRESSURE DUE TO THE LOCAL FACILITY CONTROL ROOM OPERATOR'S FAILURE TO FOLLOW PROCEDURE.     OPERATOR WAS SENT FOR DRUG AND ALCOHOL TESTING (NEGATIVE) AND OQ WAS SUSPENDED AND THE INDIVIDUAL WILL BE RETRAINED TO PREVENT REOCCURRENCE.</t>
  </si>
  <si>
    <t>MIDLAND TO MP11 ALON 8-INCH RELIEF LINE</t>
  </si>
  <si>
    <t>ON 07/12/2024 AT APPROXIMATELY 13:36, STATION PERSONNEL DISCOVERED A LEAK INSIDE MIDLAND TANK FARM AND NOTIFIED THE OPERATIONS MANAGER.  THERE ARE OTHER PIPELINES IN THE SAME AREA WHICH CAUSED THE INVESTIGATION TO IDENTIFY THE SOURCE OF THE RELEASE TO TAKE AN EXTENDED AMOUNT OF TIME.  CONFIRMED DISCOVERY WAS MADE AT 22:50. THE SEGMENT WAS ISOLATED, UPSTREAM AND DOWNSTREAM VALVES CLOSED AT APPROXIMATELY 23:00, AND LINE WAS READIED FOR REPAIR. TEXAS RAILROAD COMMISSION WAS NOTIFIED OF THE LEAK AT 23:10. ON 7/16/2024, DUE TO ESCALATING ENVIRONMENTAL COSTS IT WAS DETERMINED THAT TOTAL COSTS WOULD EXCEED $50,000. THE NRC WAS NOTIFIED AT 13:02 (1404950). AN UPDATED 48-HOUR NRC NOTIFICATION WAS MADE ON 7/18/2024 AT 11:59 (1405173).    APPROXIMATELY 55 BARRELS OF CRUDE OIL WAS RELEASED. CLEANUP CONTRACTORS REMOVED PRODUCT AND REMEDIATED IMPACTED SOIL.     ON 7/14/2024, REPAIR WAS MADE BY REPLACING THE FAILED PIPELINE SEGMENT.    THE CAUSE OF THE LEAK WAS DETERMINED TO BE INTERNAL CORROSION OCCURRING ALONG THE BOTTOM OF THE PIPE.    TO PREVENT REOCCURRENCE, THE RELIEF LINE WAS PERMANENTLY REMOVED FROM SERVICE ON 9/6/2024.</t>
  </si>
  <si>
    <t>TANK 30001 20-INCH TANK LINE</t>
  </si>
  <si>
    <t>API 5L X42</t>
  </si>
  <si>
    <t>ON 07/09/2024 AT APPROXIMATELY 09:45, COMPANY PERSONNEL WERE CONDUCTING A ROUTINE PATROL AT TEXOMA STATION AND DISCOVERED AN OIL RELEASE FROM TANK 30001 TANK FILL 20-INCH LINE. THE LINE WAS ISOLATED AND CLEAN-UP EFFORTS BEGAN.    APPROXIMATELY 6 BARRELS OF CRUDE OIL WAS RELEASED FROM ABOVE GROUND STATION PIPING. RELEASED PRODUCT WAS CLEANED UP AND IMPACTED SOIL WAS REMEDIATED.    CAUSE OF THE RELEASE WAS DETERMINED TO BE DUE TO INTERNAL CORROSION.    A PLIDCO CLAMP WAS INSTALLED AND THE LINE WAS RESTARTED.    MECHANICAL INTEGRITY IS REVIEWING THE RESULTS FROM A PAUT SCAN OF THE PIPING TO DETERMINE PREVENTATIVE MEASURES. FURTHER, THE INTERNAL CORROSION CONTROL PROGRAM FOR THIS FACILITY IS BEING REVIEWED FOR APPROPRIATE CHANGES.</t>
  </si>
  <si>
    <t>1-INCH VALVE BELOW TRANSMITTER WAS CLOSED TO ISOLATE TUBING LEAK</t>
  </si>
  <si>
    <t>SINGLE ISOLATION VALVE UPSTREAM OF INSTRUMENT TUBING ISOLATED THE LEAK</t>
  </si>
  <si>
    <t>50P LAREDO PIPELINE SYSTEM</t>
  </si>
  <si>
    <t>DOS LAREDO</t>
  </si>
  <si>
    <t>LAREDO</t>
  </si>
  <si>
    <t>WEBB</t>
  </si>
  <si>
    <t>LAB ANALYSIS</t>
  </si>
  <si>
    <t>NEITHER CONTROLLER ACTIONS NOR CONTROL ROOM ISSUES CONTRIBUTED TO THE ACCIDENT</t>
  </si>
  <si>
    <t>DEFECTIVE OR LOOSE TUBING OR FITTING</t>
  </si>
  <si>
    <t>A TRUCK DRIVER NOTIFIED COMPANY PERSONNEL OF A TUBING FAILURE INSIDE SUNOCO'S LAREDO TERMINAL.  THE FAILURE ORIGINATED FROM A 1/2 INCH TUBING FITTING CONNECTING A PIPELINE PRESSURE TRANSMITTER ADJACENT TO THE LAUNCHER TRAP ON THE DOS LAREDO SEGMENT OF THE 50P LAREDO PIPELINE SYSTEM.  COMPANY TERMINAL PERSONNEL WERE ALERTED AND IMMEDIATELY RESPONDED TO TRAP SITE.  THE LEAK WAS ISOLATED USING A VALVE BELOW THE FITTING, AND THE TUBING AND FITTING WAS REMOVED AND PRESERVED FOR ANALYSIS.  THE TRANSMITTER WAS RE-MOUNTED DIRECTLY TO THE PIPELINE FITTING ABOVE THE ISOLATION VALVE.  THE ASSOCIATED TUBING AND CONNECTION WILL BE EXAMINED TO DETERMINE THE CAUSE OF FAILURE. UPDATE - THE LEAK WAS THE RESULT OF MECHANICAL DAMAGE OR CRIMPING OF THE TUBE, DURING INSTALLATION, THAT ALLOWED MOVEMENT OF THE FERRULE.  THE EXACT DATE OF THE INSTRUMENT TUBING INSTALLATION IS UNKNOWN AND IS BELIEVED TO BE ORIGINAL TO THE SEGMENT'S CONSTRUCTION IN 2004.</t>
  </si>
  <si>
    <t>CLAW STATION</t>
  </si>
  <si>
    <t>MALLET TO SEMINOLE 8-INCH</t>
  </si>
  <si>
    <t>YOAKUM</t>
  </si>
  <si>
    <t>FLEXIBLE</t>
  </si>
  <si>
    <t>HIGH PRESSURE BRAIDED HOSE</t>
  </si>
  <si>
    <t>CHAFING</t>
  </si>
  <si>
    <t>ON 6/30/24 AT APPROXIMATELY 09:45, THE CONTROL ROOM RECEIVED A CALL FROM THE PUBLIC ABOUT OIL SPRAYING AT THE CLAW STATION. INBOUND AND OUTBOUND LINE SEGMENTS WERE SHUTDOWN AND THE CALLER CONFIRMED OIL WAS NO LONGER SPRAYING. AN INVESTIGATION DETERMINED THE LEAK WAS COMING FROM A PIN HOLE ON THE TUBING OF A DISCHARGE SIDE PD PUMP. CONFIRMED DISCOVERY WAS MADE BY OPERATING PERSONNEL AT 11:50AM AND THE TEXAS RAILROAD COMMISSION, OFFICE OF PIPELINE SAFETY NOTIFICATION WAS INITIATED AT 12:18 PM.    APPROXIMATELY 0.5 BARRELS OF CRUDE OIL WAS RELEASED. RELEASED PRODUCT WAS CLEANED UP AND IMPACTED SOIL WAS REMEDIATED.    ON 07/01/24, REPAIR WAS MADE BY INSTALLING A NEW, RIGID STAINLESS STEEL LINE TO THE PRESSURE TRANSMITTER. THE STATION WAS RESTARTED AT 11:21 AM.    THE CAUSE OF THE LEAK WAS DUE TO DEFECTIVE OR LOOSE TUBING OR FITTING CAUSED BY EXCESSIVE VIBRATION.    TO PREVENT REOCCURRENCE, THE FLEXIBLE HIGH PRESSURE BRAIDED HOSE WAS REPLACED WITH A RIGID, STAINLESS STEEL LINE.</t>
  </si>
  <si>
    <t>LOCAL/STATE/FEDERAL EMERGENCY RESPONDER</t>
  </si>
  <si>
    <t>TANK 2536</t>
  </si>
  <si>
    <t>TANK MIXER SEAL FAILURE CAUSED BY BEARING FAILURE</t>
  </si>
  <si>
    <t>MECHANICAL DAMAGE, SLIDING FATIGUE, OR FRETTING</t>
  </si>
  <si>
    <t>ON 6/22/24 AT APPROXIMATELY 20:46, A FIRE AT THE TANK 2536 MIXER AT THE CUSHING NORTH TERMINAL WAS DISCOVERED. LOCAL OPERATING PERSONNEL CONTACTED THE TERMINAL MANAGER, THEN CALLED 911 AND REQUESTED FIRE SERVICES TO ASSIST IN EXTINGUISHING THE FIRE.  THE TERMINAL MANAGER CONTACTED THE CONTROL CENTER AND REQUESTED THAT THE TERMINAL BE SHUT DOWN.    ONCE THE FIRE WAS EXTINGUISHED IT WAS DETERMINED THAT APPROXIMATELY 2 BARRELS OF CRUDE OIL WAS RELEASED. A CONTRACTOR CREW CLEANED UP PRODUCT AND REMOVED CONTAMINATED SOIL.    OPERATIONS PUMPED THE TANK DOWN, REPLACED THE MIXER, INSPECTED THE TANK AND RETURNED TO NORMAL SERVICE THE FOLLOWING DAY.     THE CAUSE OF THE ACCIDENT IS STILL UNDER INVESTIGATION. THE REMOVED MIXER WAS EXAMINED BY THE MANUFACTURER AND A BEARING FAILURE IS SUSPECTED TO BE THE CAUSE.  THE OTHER MIXER BEARING ON TANK 2536 WAS REMOVED AND IT ALONG WITH THE FAILED BEARING WERE SENT TO AN INDEPENDENT 3RD PARTY LAB FOR ADDITIONAL ANALYSIS.      A SUPPLEMENTAL AND FINAL REPORT WILL BE SUBMITTED ONCE THE INVESTIGATION IS COMPLETE.    SUPPLEMENTAL &amp; FINAL:  THE INVESTIGATION DETERMINED THE ACCIDENT WAS CAUSED BY EQUIPMENT FAILURE. TANK MIXER SEAL FAILURE WAS CAUSED BY MIXER BEARING FAILURE WHICH WAS LIKELY DUE TO A BEARING LUBRICATION FAILURE OR PIECE OF DEBRIS ENTERING THE BEARING ASSEMBLY.  SOMETIME AFTER THE SEAL LEAK BEGAN THE POWER WIRING TO THE MIXER SHORTED TO GROUND THROUGH A WORN CONDUIT AND THE RESULTANT SPARKS CAUSED IGNITION TO THE CRUDE OIL RELEASED FROM THE SEAL FAILURE.     THE INVESTIGATION IDENTIFIED THAT THE POWER WIRING TO THE MIXER WAS ROUTED IN A MANNER THAT ALLOWED RUBBING AGAINST THE MIXER MOUNTING PLATE. TO PREVENT REOCCURRENCE, OPERATIONS IS REROUTING CONDUITS THAT ARE CURRENTLY IN CONTACT WITH THE MIXER MOUNTING PLATE.</t>
  </si>
  <si>
    <t>LINDEN - SUNOCO LLC</t>
  </si>
  <si>
    <t>12" BUCKEYE TRANSFER LINE</t>
  </si>
  <si>
    <t>NJ</t>
  </si>
  <si>
    <t>LINDEN</t>
  </si>
  <si>
    <t>UNION</t>
  </si>
  <si>
    <t>MARIN766MBV30</t>
  </si>
  <si>
    <t>TERMINAL PUMP</t>
  </si>
  <si>
    <t>PUMP OR PUMP-RELATED EQUIPMENT</t>
  </si>
  <si>
    <t>SEAL/PACKING FAILURE</t>
  </si>
  <si>
    <t>856-579-5063</t>
  </si>
  <si>
    <t>CRAIG KUMPEL</t>
  </si>
  <si>
    <t>856-579-5060</t>
  </si>
  <si>
    <t>VP - TECH SERVICES</t>
  </si>
  <si>
    <t>craig.kumpel@sunoco.com</t>
  </si>
  <si>
    <t>ON MAY 26, 2024 AT 11:18 AM, SUNOCO OPERATOR ARRIVED AT PUMP PAD #3 (WHICH IS INSIDE THE FACILITY  FENCELINE) TO CONDUCT AN AVO INSPECTION OF FACILITY. UPON ARRIVAL TO AREA NEAR PUMP PAD #3, SUNOCO OPERATOR DETECTED SMELL OF GASOLINE AND INITIATED SHUTDOWN OF THE PUMPS.  OPERATOR OBSERVED PUMP #12'S SEAL LEAKING GASOLINE AND THE PUMP'S SUCTION AND DISCHARGE VALVES WERE CLOSED TO STOP THE LEAK. APPROXIMATELY 10 BARRELS OF THE LEAK WAS RECOVERED AND 15-BARRELS WAS RELEASED INTO SECONDARY CONTAINMENT AND CLEANED UP (NO WATER WAS IMPACTED).  INVESTIGATION DETERMINED THAT THE PUMP SEAL FAILED, THEN LEAKED AND THE SEAL FAILURE MAY HAVE BEEN CAUSED BY AN IMPELLER BORE CLEARANCE TO THE SHAFT.</t>
  </si>
  <si>
    <t>LINE WAS ALREADY DOWN ON SCHEDULE.</t>
  </si>
  <si>
    <t>RINGGOLD TO CORSICANA 16"</t>
  </si>
  <si>
    <t>22002.01 - 16" CORSICANA TO KELLER</t>
  </si>
  <si>
    <t>WAXAHACHIE</t>
  </si>
  <si>
    <t>ELLIS</t>
  </si>
  <si>
    <t>6910+20</t>
  </si>
  <si>
    <t>NDE - MAG PARTICLE INSPECTION, ULTRASONIC TESTING</t>
  </si>
  <si>
    <t>ON 5/11/24 AT 13:19, A LANDOWNER CALLED THE EMERGENCY NUMBER REGARDING A SUSPECTED A CRUDE OIL LEAK IN A FIELD. LOCAL OPERATIONS PERSONNEL WERE DISPATCHED TO THE LOCATION AND UPON ARRIVAL, A LEAK WAS CONFIRMED FROM THE 22002.01 - 16" CORSICANA TO KELLER LINE. THE LINE WAS EXCAVATED AND THE LEAK WAS FOUND TO BE FROM FROM A PINHOLE AT THE 6 O'CLOCK POSITION.    APPROXIMATELY 5 BARRELS OF CRUDE OIL WAS RELEASED TO THE GROUND. CONTRACTORS CLEANED-UP THE PRODUCT AND REMOVED IMPACTED SOIL.    THE CAUSE OF THE LEAK WAS DETERMINED TO BE EXTERNAL CORROSION. ON 5/12/24, THE LINE WAS REPAIRED WITH A TYPE B SLEEVE.     RECENT ILI DATA IS BEING REVIEWED AND ADDITIONAL INVESTIGATIONS TO THOSE ALREADY PLANNED MAY BE PERFORMED TO DETERMINE IF THERE ARE ANY SIMILAR CONDITIONS ELSEWHERE ON THE SEGMENT.</t>
  </si>
  <si>
    <t>ON 5/1/24 AT 08:59, CRUDE OIL WAS DISCOVERED ON THE GROUND BENEATH STATION PIPING BETWEEN TANKS 2534 AND 2535 AT THE CUSHING TANK FARM. THE LEAK WAS COMING FROM A PINHOLE AT THE 6 O'CLOCK POSITION ON THE CIMARRON 8-INCH LINE. THIS SECTION OF THE LINE HAS RECENTLY HAD NO FLOW DUE TO AN OOS TANK. THE LINE WAS ALREADY ISOLATED WHEN THE FAILURE OCCURRED AND A CLAMP WAS INSTALLED TO STOP THE RELEASE.      APPROXIMATELY 16 BARRELS OF CRUDE OIL WAS RELEASED ON THE GROUND. CLEANUP CONTRACTORS REMOVED PRODUCT AND CONTAMINATED SOIL.    AN INVESTIGATION DETERMINED THE CAUSE OF THE LEAK WAS DUE TO INTERNAL CORROSION. UT WAS USED TO FIND THE EXTENT OF THE INTERNAL CORROSION. THE INTERNAL CORROSION APPEARED TO BE VERY SHARP INDICATING POSSIBLE MIC CORROSION.    THIS LINE HAS BEEN REMOVED FROM SERVICE.</t>
  </si>
  <si>
    <t>TRINITY STATION</t>
  </si>
  <si>
    <t>STATION SUMP</t>
  </si>
  <si>
    <t>ONALASKA</t>
  </si>
  <si>
    <t>POLK</t>
  </si>
  <si>
    <t>EXCESSIVE AMOUNTS OF RAINWATER</t>
  </si>
  <si>
    <t>ON 4/29/2024 AT APPROXIMATELY 04:00, AS SEVERE STORMS WITH HEAVY RAINFALL MOVED ACROSS SOUTHEAST TEXAS, THE TRINITY STATION SUMP OVERFLOWED DUE TO EXCESSIVE AMOUNTS OF RAINWATER CAUSING CRUDE OIL TO BE RELEASED. STATION DRAINS VALVES WERE ISOLATED AND THE STATION SUMP WAS LOCKED OUT.     APPROXIMATELY 4.5 BARRELS OF CRUDE WAS RELEASED. CLEANUP CONTRACTORS REMOVED RELEASED PRODUCT VIA VAC TRUCK, OIL PADS AND BOOM.    TO PREVENT REOCCURRENCE A SECONDARY CONTAINMENT BERM WILL BE BUILT AROUND SUMP TO PREVENT EXCESSIVE RAINWATER ACCUMULATIONS FROM OVERCOMING THE SUMP IN THE FUTURE.</t>
  </si>
  <si>
    <t>TRAP WAS ISOLATED</t>
  </si>
  <si>
    <t>BRADLEY TERMINAL</t>
  </si>
  <si>
    <t>VLC-2</t>
  </si>
  <si>
    <t>BRADLEY</t>
  </si>
  <si>
    <t>SCRAPER/PIG TRAP</t>
  </si>
  <si>
    <t>ON 4/27/24 AT APPROXIMATELY 16:00, A MEASUREMENT TECH WAS AT THE BRADLEY STATION AND NOTICED OIL BEING RELEASED FROM THE OUTBOUND PIG TRAP VENT DEVICE. THE TRAP WAS ISOLATED TO STOP THE RELEASE.      APPROXIMATELY 8 BARRELS OF CRUDE OIL WAS RELEASED ON TO THE GROUND.    THE VENT WAS REMOVED AND THE GASKET WAS REPLACED. AN INVESTIGATION DETERMINED THE GASKET IN THE VENT HAD FAILED DUE TO NORMAL WEAR OF THE EQUIPMENT.</t>
  </si>
  <si>
    <t>FAILED PIPING WAS ALREADY ISOLATED.</t>
  </si>
  <si>
    <t>CORSICANA TANK FARM</t>
  </si>
  <si>
    <t>24-INCH FILL SYSTEM</t>
  </si>
  <si>
    <t>NAVARRO</t>
  </si>
  <si>
    <t>API5L/PSL2</t>
  </si>
  <si>
    <t>SEAH STEEL CORP</t>
  </si>
  <si>
    <t>ON 4/22/24 AT APPROXIMATELY 15:00, A CRUDE RELEASE WAS DISCOVERED ON THE 24-INCH CORSICANA TANK FARM FILL SYSTEM. PIPING WAS ABOVE GRADE AND A MECHANICAL CLAMP WAS INSTALLED TO CONTROL AND STOP THE LEAK.    APPROXIMATELY 14 BARRELS OF CRUDE OIL WAS RELEASED ONTO THE SOIL. ON-SITE CONTRACTORS WERE MOBILIZED TO CLEAN-UP, RECOVER PRODUCT AND REMEDIATE CONTAMINATED SOIL.    AN INVESTIGATION DETERMINED THE CAUSE OF THE RELEASE WAS DUE TO INTERNAL CORROSION.  THE FAILED DEAD-LEG WAS CUTOUT AND THE INTERNAL CORROSION CONTROL PROGRAM FOR THE FACILITY IS BEING REVIEWED FOR POTENTIAL CHANGES TO PREVENT REOCCURRENCE.</t>
  </si>
  <si>
    <t>TANK WAS ISOLATED FROM FACILITY.</t>
  </si>
  <si>
    <t>TANK 1538</t>
  </si>
  <si>
    <t>SINGLE BOTTOM SYSTEM</t>
  </si>
  <si>
    <t>UNDER TANK ROOF SUPPORT LEGS</t>
  </si>
  <si>
    <t>ON 4/19/24 AT 08:07, A CONTRACTOR WORKING FOR THE OPERATOR DISCOVERED CRUDE OIL COMING FROM THE AREA OF TANK 1538. THE CONTRACTOR IMMEDIATELY NOTIFIED COMPANY PERSONNEL. OPERATIONS BEGAN TRANSFERRING THE 25,000 BARRELS OF CRUDE IN THE TANK TO ANOTHER TANK.  ONCE PRODUCT WAS PUMPED OUT OF TANK 1538 IT WAS FULLY ISOLATED PENDING INVESTIGATION INTO THE CAUSE OF THE FAILURE.    APPROXIMATELY 4 BARRELS OF CRUDE WERE RELEASED. FREE PRODUCT WAS CLEANED-UP AND CONTAMINATED SOIL WAS REMOVED.    SUPPLEMENTAL REPORT    THE TANK WAS TAKEN OUT OF SERVICE, CLEANED AND AN API 653 OOS INSPECTION COMPLETED. THE INSPECTION OF THE TANK FLOOR DETERMINED THE CAUSE OF THE LEAK WAS DUE TO INTERNAL CORROSION UNDER THREE OF THE TANK ROOF SUPPORT LEGS. THE TANK FLOOR AND SUPPORT LEGS WILL BE REPAIRED PRIOR TO RETURNING THE TANK TO SERVICE.    WHEN PREPARING THE SUPPLEMENTAL AND FINAL REPORT ON 9/13/24 AT APPROXIMATELY 13:00 IT WAS DETERMINED THAT THE TOTAL COSTS TO ACCESS AND REPAIR THE FAILURE WOULD EXCEED $50,000 AND AS SUCH AN NRC NOTIFICATION (1410754) AND REQUIRED 48HR UPDATE NOTIFICATION (1410758) WERE MADE ON THE SAME DATE.</t>
  </si>
  <si>
    <t>BODY BLEED PIPE AND BLEED VALVE ISOLATED.</t>
  </si>
  <si>
    <t>YUKON MANIFOLD</t>
  </si>
  <si>
    <t>THREADED PIPE COLLAR</t>
  </si>
  <si>
    <t>ON 4/14/2024 AT APPROXIMATELY 06:30, AN OPERATOR FOUND OIL ON THE GROUND NEAR THE 1566 TANK LINE. UPON FURTHER INVESTIGATION, THE LEAK WAS FOUND TO BE COMING FROM THE THREADED CONNECTION FOR THE 3/4-INCH BODY BLEED PIPING ON THE A571 VALVE.     APPROXIMATELY 20 GALLONS OF CRUDE OIL WAS RELEASED. A CLEAN UP CREW WAS CONTACTED AND HYDRO EXCAVATION WAS USED TO REMOVE THE SOIL AND CLEAN THE AREA.     THE FAILURE WAS CAUSED BY VIBRATION IN THE VALVE BODY BLEED PIPING DUE TO SUPPORTS BEING DESIGNED FOR 1-INCH PIPING BUT 3/4-INCH PIPING WAS USED WHICH ALLOWED VIBRATION TO OCCUR ULTIMATELY LEADING THE FAILURE OF THE THREADED, UNDERGROUND CONNECTION.  REPAIRS WERE MADE BY REPLACING THE 3/4-INCH PIPING WITH 1" PIPING FOR THE VALVE BODY BLEED AND MOVING THIS PIPING ABOVE GRADE.  ONCE REPAIRED, THE LOTO WAS REMOVED.</t>
  </si>
  <si>
    <t>CORSICANA</t>
  </si>
  <si>
    <t>TODD NARDOZZ</t>
  </si>
  <si>
    <t>ON 4/9/25 AT APPROXIMATELY 08:25, A CRUDE RELEASE WAS DISCOVERED ON THE 24-INCH CORSICANA TANK FARM FILL SYSTEM. PIPING WAS ABOVE GRADE AND A MECHANICAL CLAMP WAS INSTALLED TO CONTROL AND STOP THE LEAK.    APPROXIMATELY 30 BARRELS OF CRUDE OIL WAS RELEASED ONTO THE SOIL. AN OSRO WAS MOBILIZED TO CLEAN-UP, RECOVER PRODUCT AND REMEDIATE CONTAMINATED SOIL.    AN INVESTIGATION DETERMINED THE CAUSE OF THE RELEASE WAS DUE TO INTERNAL CORROSION.  THE FAILED DEAD-LEG WAS CUTOUT AND THE INTERNAL CORROSION CONTROL PROGRAM FOR THE FACILITY IS BEING REVIEWED AND CHANGES WILL BE IMPLEMENTED PREVENT REOCCURRENCE.</t>
  </si>
  <si>
    <t>ANOTHER OPERATOR</t>
  </si>
  <si>
    <t>LINE WAS PREVIOUSLY IDLED AND DEEMED IN-SERVICE(DEFERRED) SO VALVES WERE ALREADY CLOSED</t>
  </si>
  <si>
    <t>S503 TX NGL E LOOP WALNUT SPRINGS TO HILLSBORO MER</t>
  </si>
  <si>
    <t>HILLSBORO</t>
  </si>
  <si>
    <t>SEVERE EXTERNAL AND INTERNAL PITTING.</t>
  </si>
  <si>
    <t>3RD PARTY</t>
  </si>
  <si>
    <t>SLADE BEARD</t>
  </si>
  <si>
    <t>SENIOR SPECIALIST - DOT COMPLIANCE</t>
  </si>
  <si>
    <t>slade.beard@energytransfer.com</t>
  </si>
  <si>
    <t>430-258-1223</t>
  </si>
  <si>
    <t>AT 2:00PM ON APRIL 4 2024, ENERGY TRANSFER WAS NOTIFIED BY 3RD PARTY OPERATING COMPANY THAT AFTER INVESTIGATING A POSSIBLE LEAK ON THEIR LINE, THAT THE AFFECTED LINE MAY BELONG TO ENERGY TRANSFER.      AT 9:20PM ON APRIL 4, 2024 ENERGY TRANSFER CONFIRMED THE LEAK WAS ON A) LIQUID TRANSMISSION LINE, S503 TX NGL E LOOP WALNUT SPRINGS TO HILLSBORO MERTENS. OPERATIONS INSTALLED A CLAMP TO STOP LEAK, SINCE THE LINE WAS ALREADY ISOLATED.      AT 10:07PM THE NATIONAL RESPONSE CENTER(NRC) WAS NOTIFIED.       SUPPLEMENTAL/FINAL    CAUSE OF FAILURE WAS EXTERNAL CORROSION.</t>
  </si>
  <si>
    <t>HAYNESVILLE PUMP STATION</t>
  </si>
  <si>
    <t>6-INCH TANK STRIP-IN LINE</t>
  </si>
  <si>
    <t>HAYNESVILLE</t>
  </si>
  <si>
    <t>CLAIBORNE</t>
  </si>
  <si>
    <t>X-65</t>
  </si>
  <si>
    <t>VISUAL EXAMINATION BY THIRD PARTY LAB</t>
  </si>
  <si>
    <t>LOW FLOW STATION PIPING</t>
  </si>
  <si>
    <t>ON 04/02/2024 AT 06:39, A MEASUREMENT TECH ARRIVED AT THE HAYNESVILLE STATION AND SMELLED CRUDE OIL. HE CALLED THE CONTROL ROOM TO REPORT THE LEAK. A CONTROLLER SHUT DOWN THE STATION AND ALL LINES ASSOCIATED WITH THE STATION. THE LEAK WAS IDENTIFIED AS COMING FROM A PINHOLE AT THE 6 O'CLOCK POSITION ON A 6-INCH TANK STRIP-IN LINE OFF A 16-INCH TANK 1 FILL LINE.     APPROXIMATELY 2 BARRELS OF CRUDE OIL WAS RELEASED. ALL FREE PRODUCT WAS PICKED UP AND CONTAMINATED SOIL WAS CLEANED UP.      ON 4/2/24, THE 16-INCH X 6-INCH TEE ON STATION SUCTION LINE WAS CUTOUT AND REMOVED, THE ENTIRE 6-INCH TANK STRIP-IN LINE AND VALVE WERE REMOVED, AND A 6-INCH BLIND FLANGE ON TANK 1 FILL LINE WAS INSTALLED. ON 4/3/34, THE STATION WAS RESTARTED AND RETURNED TO NORMAL OPERATIONS. THE 6-INCH STRIP-IN LINE WAS NO LONGER BEING ROUTINELY UTILIZED BUT WAS ON A QUARTERLY FLUSHING PROGRAM. FURTHER REVIEW OF ALL SYSTEM STATIONS FOR POTENTIAL SIMILAR LOW FLOW PIPING CONFIGURATIONS IS ONGOING.     THE CAUSE OF THE ACCIDENT WAS DETERMINED TO BE FROM INTERNAL CORROSION.     TO PREVENT REOCCURRENCE THIS SECTION OF PIPE WAS REMOVED FROM THE SYSTEM SINCE IT IS NO LONGER NEEDED FOR OPERATIONAL PURPOSES.</t>
  </si>
  <si>
    <t>COLORADO CITY STATION</t>
  </si>
  <si>
    <t>SUMP 9110</t>
  </si>
  <si>
    <t>COLORADO CITY</t>
  </si>
  <si>
    <t>DEBRIS UNDER SEAT DID NOT ALLOW RELIEF VALVE TO FULLY CLOSE</t>
  </si>
  <si>
    <t>ON 3/23/2024 AT APPROXIMATELY 02:00 CONTROL CENTER RECEIVED A HIGH ALARM ON SUMP 9110 AT COLORADO CITY STATION.  THE HIGH ALARM CAUSES THE SUMP PUMP TO ACTIVATE.  CONTROL CENTER CALLED LOCAL OPERATIONS TO INVESTIGATE THE ALARM.  AT APPROXIMATELY 03:00, OPERATIONS ARRIVED ON SITE AND BEGAN TO INSPECT THE STATION.  AT APPROXIMATELY 3:30 OPERATIONS PERSONNEL DISCOVERED APPROXIMATELY 3 BARRELS RELEASED TO CONTAINMENT DUE TO THE SUMP OVERFILLING AND IMMEDIATELY CALLED THE CONTROL CENTER TO SHUT DOWN.      CLEAN-UP CONTRACTORS RECOVERED FREE PRODUCT AND WASHED IMPACTED ROCKS.    UPON INVESTIGATION IT WAS DISCOVERED THAT THE VALVE ON THE TANK 4 LINE WAS NOT FULLY SEATING WHICH CAUSED CONTINUOUS FLOW TO SUMP 9110. THE SUMP PUMP ACTIVATED AT THE HIGH ALARM BUT THEN TRIPPED OFF SOMETIME SHORTLY THEREAFTER AND THE HI-HI SUMP LEVEL DID NOT ALARM INTO CONTROL CENTER.    THE FAILED RELIEF VALVE WAS INSPECTED, AND IT WAS DETERMINED THAT DEBRIS IN THE BODY DID NOT ALLOW THE SEAL TO FULLY SEAT.  THE RELIEF VALVE WAS REPLACED WITH A NEW, TESTED RELIEF VALVE. FURTHER INVESTIGATION DISCOVERED TRIPPED OVERLOAD SWITCHES ON THE SUMP PUMP MOTOR ELECTRICAL PANEL. ONCE THESE WERE RESET, THE PUMP RETURNED TO NORMAL OPERATION.  AS A PRECAUTION THE OVERLOAD SWITCHES WERE REPLACED.    TO PREVENT REOCCURRENCE, AN ANALOG SUMP LEVEL TRANSMITTER WILL BE INSTALLED IN ORDER TO HAVE A REDUNDANT HI-HI LEVEL IN ALARMS WHICH IF ACTIVATED WILL CAUSE A STATION SHUT DOWN AND ALARM INTO CONTROL ROOM.</t>
  </si>
  <si>
    <t>PROVER ISOLATED.</t>
  </si>
  <si>
    <t>6-INCH PROVER LINE</t>
  </si>
  <si>
    <t>SINKING SPRING</t>
  </si>
  <si>
    <t>INVESTIGATION IDENTIFIED NO CONTROLLER ISSUES. CONTROLLER ACTIONS WERE CONSISTENT WITH COMPANY PROTOCOLS.</t>
  </si>
  <si>
    <t>ON 3/14/2024 AT APPROXIMATELY 07:30, DURING DAILY CHECKS AT MONTELLO PUMP STATION, AN OPERATOR NOTICED PRODUCT ON THE GROUND BY A VALVE STEM NEAR PROVER LINE. LINES IN THE VICINITY OF THE AFFECTED AREA WERE SHUT DOWN. EXCAVATION BEGAN TO IDENTIFY SOURCE. AT 16:30, THE LEAK WAS DETERMINED TO BE COMING FROM A PINHOLE ON THE NORTH PROVER INLET 6-INCH LINE. THE LARGER AREA WAS INVESTIGATED AND CONFIRMED NO PRODUCT LEFT THE IMMEDIATE AREA NOR ENTERED THE STORM DRAINS ON SITE.    APPROXIMATELY 2 BBLS OF DIESEL FUEL WAS RELEASED INTO THE SOIL. THE OSRO PROVIDED A VACUUM TRUCK FOR PRODUCT RECOVERY AND LINED ROLL OFF FOR CONTAMINATED SOIL.      ON 3/18/2024, OPERATIONS CUT AND BLINDED NORTH LINE PROVER INLET LEG. THE FAILED SECTION HAS BEEN CUT OUT AND SENT TO 3RD PARTY LABORATORY FOR ANALYSIS. A SUPPLEMENTAL REPORT WILL BE SUBMITTED ONCE THE INVESTIGATION IS COMPLETE.    SUPPLEMENTAL &amp; FINAL:  THE METALLURGICAL ANALYSIS DETERMINED THAT THE FAILURE WAS DUE TO AN EXTERNAL CORROSION PINHOLE.  THE CAUSE OF THE EXTERNAL CORROSION WAS MICROBIAL (MIC).  THE FAILED PIPING WAS COATED WITH A TAPECOAT COATING THAT WAS DISBONDED WITH LIQUID UNDER THE COATING.    THE PROVER INLET LEG WAS REPLACED WITH FBE COATED PIPE TO PREVENT REOCCURRENCE.</t>
  </si>
  <si>
    <t>MIXER SHAFT LOCKED OUT</t>
  </si>
  <si>
    <t>TANK 1581</t>
  </si>
  <si>
    <t>NORMAL WEAR AND TEAR</t>
  </si>
  <si>
    <t>ON 2/19/2024 AT APPROXIMATELY 12:15, A CONTRACTOR WORKING FOR THE OPERATOR DISCOVERED A LEAK ON TANK 1581. THE LEAK WAS IMMEDIATELY REPORTED TO OPERATIONS AND THE TANK WAS ISOLATED. OPERATIONS PERSONNEL RESPONDED TO THE SITE AND CONTACTED THE MAINTENANCE CREW AND CLEAN UP CONTRACTORS. IT WAS DETERMINED THAT A TANK MIXER SEAL FAILED ON THE "B" MIXER AND RELEASED CRUDE OIL.  THE MAINTENANCE CREW PLACED A CATCH PAN UNDER THE MIXER TO STOP ANY FURTHER CRUDE OIL FROM BEING RELEASED TO THE GROUND.     APPROXIMATELY 20 GALLONS OF CRUDE OIL WAS RELEASED. A VACUUM TRUCK RESPONDED TO COLLECT ANY FREE PRODUCT AND MEASURES WERE TAKEN TO PREVENT ANY FURTHER MIGRATION OF THE CRUDE OIL WITHIN THE TANK DIKE AREA.  CONTAMINATED GRAVEL AND SOIL FROM THE AREA WERE REMOVED AND REPLACED WITH NEW FILL AND GRAVEL.     THE LEVEL OF THE TANK WAS PULLED DOWN BELOW THE MIXER AND MECHANICS REPLACED THE SEAL.  THE MIXER WAS ALSO EXAMINED FOR ANY INDICATIONS OF MECHANICAL ISSUES AND NONE WERE DISCOVERED.    THE CAUSE OF THE TANK MIXER SEAL FAILURE WAS DETERMINED TO BE NORMAL WEAR OF THE EQUIPMENT.</t>
  </si>
  <si>
    <t>NOTIFICATION FROM EMERGENCY RESPONDER</t>
  </si>
  <si>
    <t>COW WEST</t>
  </si>
  <si>
    <t>WILLISTON</t>
  </si>
  <si>
    <t>64+65</t>
  </si>
  <si>
    <t>OVERTIME COST FOR OPERATIONS PERSONNEL</t>
  </si>
  <si>
    <t>NOT OPERATED BY A CONTROL ROOM.</t>
  </si>
  <si>
    <t>SEAL IN BODY OF VALVE</t>
  </si>
  <si>
    <t>ON FEBRUARY 18, 2024 AT APPROXIMATELY 3:25 PM, ENERGY TRANSFER PERSONNEL WERE NOTIFIED BY WILLISTON FIRE DEPARTMENT OF A CRUDE RELEASE AT A PIPELINE RISER. ENERGY TRANSFER PERSONNEL ARRIVED ON SITE (48.14005, -103.67657) AT 3:47 PM AND CONFIRMED A 1INCH VALVE ON A RISER OF THE COW WEST 6INCH CRUDE PIPELINE WAS LEAKING FROM THE SEAL OF THE BODY.    OPERATIONS SHUTDOWN THE PIPELINE AND BEGAN REPAIR AND REMEDIATION. APPROXIMATELY 25 GALLONS OF CRUDE WAS RELEASE. THE 1INCH VALVE ON THE RISER WAS REPLACED AND THE IMPACTED SOIL WAS REMOVED.</t>
  </si>
  <si>
    <t>DIESEL AND GASOLINE MIXTURE</t>
  </si>
  <si>
    <t>ROUTINE SHUTDOWN</t>
  </si>
  <si>
    <t>OPENED DOWNSTREAM VALVES TO DRAIN DOWN AWAY FROM FAILURE LOCATION.</t>
  </si>
  <si>
    <t>FISHER STREET BLOCK VALVE</t>
  </si>
  <si>
    <t>LOCKPORT - KENNEDY</t>
  </si>
  <si>
    <t>IN</t>
  </si>
  <si>
    <t>MUNSTER</t>
  </si>
  <si>
    <t>LAKE COUNTY</t>
  </si>
  <si>
    <t>1/2" VALVE BODY DRAIN PIPING</t>
  </si>
  <si>
    <t>ENVIRONMENTAL CONSULTATION AND SOIL SAMPLING.</t>
  </si>
  <si>
    <t>EARLY ANALYSIS OF SCADA DATA DID NOT INDICATE OPERATOR ACTIONS CONTRIBUTED TO INCIDENT.</t>
  </si>
  <si>
    <t>TEMPERATURE</t>
  </si>
  <si>
    <t>FROST HEAVE</t>
  </si>
  <si>
    <t>SPENCER J WELLING</t>
  </si>
  <si>
    <t>SAFETY HEALTH AND ENVRIONMENTAL SUPERVISOR</t>
  </si>
  <si>
    <t>ON THURSDAY, FEBRUARY 2ND , 2024, A PUBLIC CITIZEN WAS USING THE MUNSTER INDIANA MUNICIPAL TRAIL NEAR THE FISHER STREET BLOCK VALVE WHEN THEY OBSERVED A PETROLEUM ODOR AND VISUAL IDENTIFICATION OF A POSSIBLE LEAK. THE CITIZEN CONTACTED WOLVERINE'S OPERATIONS CONTROL CENTER(OCC) TO NOTIFY OF THE SUSPECTED LEAK.  WOLVERINE'S OCC DISPATCHED PERSONNEL TO THE BLOCK VALVE FOR VISUAL CONFIRMATION. UPON CONFIRMATION, THE RELEASE WAS REPORTED TO LAKE COUNTY EMERGENCY MANAGEMENT AND THE NATIONAL RESPONSE CENTER (NRC#1390514) WITHIN 1 HOUR. UPON NOTIFICATION THROUGH NPC, U.S. EPA, INDIANA DEPARTMENT OF ENVIRONMENTAL MANAGEMENT, AND PHMSA CONTACTED WOLVERINE IN REGARDS TO THE LEAK.         THE PIPELINE WAS ISOLATED AND A GRAVITY DRAIN UP WAS PERFORMED TO DISPLACE PETROLEUM PRODUCTS AWAY FROM THE BLOCK VALVE AND REMEDIATION EXCAVATION ACTIVITIES WERE IMMEDIATELY IMPLEMENTED. APPROXIMATELY 200 CUBIC YARDS OF DIESEL AND GASOLINE IMPACTED SOIL WAS EXCAVATED AND REMOVED FROM THE SITE. SOIL SAMPLES WERE COLLECTED FROM THE SIDEWALLS AND BASE OF THE EXCAVATION AND ANALYZED TO VERIFY THE REMEDIATION OF THE PETROLEUM IMPACTED SOIL.  WATER AND SOIL ANALYTICAL RESULTS INDICATED THAT ALL SOIL AND WATER REMEDIATION VERIFICATION SAMPLES WERE LESS THAN IDEM GENERIC RESIDENTIAL CLEANUP CRITERIA.      THE VALVE WAS EXCAVATED AND REPAIR ACTIVITIES WERE COMPLETED AND THE PIPELINE WAS RESTORED TO NORMAL OPERATIONS ON 2/3/24. THE VALVE BODY DRAIN PIPING AS DESCRIBED IN PART C WAS SENT OFF FOR METALLURGICAL TESTING.     THE BURIED VALVE HAS BODY DRAIN ASSEMBLY PIPING THAT IS ROUTED OFF THE BODY DRAIN VALVE AND THEN UPWARDS TO ABOVE GRADE SO PERSONNEL CAN PERFORM ROUTINE MAINTENANCE ON THE BURIED VALVE. THE SOURCE OF THE LEAK WAS IDENTIFIED TO BE A CRACK IN THE BODY DRAIN PIPING ASSEMBLY ON THE BUSHING END WHERE THE PIPING ASSEMBLY WAS CONNECTED TO THE BODY DRAIN VALVE.    TESTING CONCLUDED THAT THE CRACK ON THE BODY DRAIN PIPING ASSEMBLY DEVELOPED DUE TO AN OVERLOAD FORCE (AND/OR PULLING) ON THE PIPE NIPPLE UPWARDS AT THE ELBOW END WHILE THE BUSHING END WAS HELD IN PLACE AT THE VALVE.  MOST LIKELY CAUSED BY ENVIRONMENTAL STRESS SUCH AS FROST HEAVING OR EARTH MOVEMENTS. WITH THE VALVE BEING INSTALLED IN 1969, SCHEDULE 40 PIPE WAS UTILIZED IN THE INSTALLATION. CURRENT STANDARDS AND INDUSTRY BEST PRACTICES CALL FOR SCHEDULE 160 PIPING.     WOLVERINE WILL PERFORM A RISK BASED EVALUATION OF BURIED VALVES AND PRIORITIZE FOLLOW UP ACTIONS. PIPE SCHEDULE AND SUPPORTS OR BRACES TO LIMIT PIPE MOVEMENT WILL BE EVALUATED DURING INSPECTION.</t>
  </si>
  <si>
    <t>ISOLATED FAILED TUBING</t>
  </si>
  <si>
    <t>HALCON PUMP STATION</t>
  </si>
  <si>
    <t>CT153 HALCON SHORTCUT TIEOVER / 6458638</t>
  </si>
  <si>
    <t>PECOS</t>
  </si>
  <si>
    <t>DIRECTOR - REGULATORY COMPLIANCE</t>
  </si>
  <si>
    <t>toddnardozzi@gmail.com</t>
  </si>
  <si>
    <t>ON 01/17/2024 AT APPROXIMATELY 14:00, A THIRD PARTY OPERATOR DISCOVERED CRUDE OIL ON THE GROUND AT HALCON STATION AND NOTIFIED LOCAL OPERATIONS PERSONNEL.  UPON ARRIVAL PERSONNEL DISCOVERED A UNION HAD FAILED ON THE 3/8-INCH STAINLESS STEEL INHIBITOR INJECTION TUBING.  THE FAILED UNION CAUSED THE INLINE CHECK VALVE TO MALFUNCTION WHICH ALLOWED CRUDE OIL TO FEED INTO THE 3/8-INCH LINE AND ULTIMATELY BE RELEASED TO THE GROUND VIA THE FAILED UNION.  PERSONNEL CLOSED THE 1-INCH VALVE TO ISOLATE THE TUBING TO PREVENT ADDITIONAL PRODUCT FROM BEING RELEASED.  THE FAILED UNION APPEARED TO HAVE BEEN OVER TORQUED WHEN INSTALLED.    APPROXIMATELY 3 BARRELS OF CRUDE OIL WAS RELEASED. CLEANUP CONTRACTORS WERE MOBILIZED TO RECOVER ALL FREE PRODUCT AND BEGIN REMEDIATION OF CONTAMINATED SOIL.    REPAIRS WERE MADE BY REMOVING JOINTS AND INSTALLING A SOLID PIECE OF TUBING. MECHANICS USED GO-NO-GO WHEN INSTALLING SOLID PIECE OF PIPING TO ENSURE FITTINGS WERE NOT OVER OR UNDER TORQUED.    TO PREVENT REOCCURRENCE, OPERATIONS PLANS ON MOVING CHEMICAL PUMPS CLOSER TO THE PIPELINE TO MINIMIZE THE TUBING LENGTH AND ELIMINATE THE NEED FOR UNION FITTINGS BETWEEN PUMP AND INJECTION POINT.</t>
  </si>
  <si>
    <t>ROOF DRAIN ISOLATED</t>
  </si>
  <si>
    <t>PATOKA TANK FARM</t>
  </si>
  <si>
    <t>TANK 2523</t>
  </si>
  <si>
    <t>IL</t>
  </si>
  <si>
    <t>PATOKA</t>
  </si>
  <si>
    <t>MARION</t>
  </si>
  <si>
    <t>ON 12/27/2023 AT 09:30, AN OPERATOR EMPLOYEE FOUND A SMALL STREAM OF OIL COMING OUT OF ROOF DRAIN WHILE DOING MORNING WALK AROUNDS. THE EMPLOYEE IMMEDIATELY CLOSED THE ROOF DRAIN.     APPROXIMATELY 38 GALLONS OF CRUDE OIL WAS RELEASED ON THE GROUND. CONTAMINATED SOIL WAS REMOVED FOR ONSITE REMEDIATION.    SAFE GUARDS IN PLACE ON THE ROOF DRAIN SYSTEM, WHICH ALLOW THE TANK TO REMAIN IN SERVICE AND OPERATE SAFELY.     THE CAUSE OF THE ACCIDENT IS PENDING INVESTIGATION.</t>
  </si>
  <si>
    <t>3RD PARTY CRUDE TRUCKING DELIVERY DRIVER</t>
  </si>
  <si>
    <t>ANDREWS STATION</t>
  </si>
  <si>
    <t>23023 DELAWARE BASIN 16-INCH</t>
  </si>
  <si>
    <t>ANDREWS</t>
  </si>
  <si>
    <t>MECHANICAL COUPLING</t>
  </si>
  <si>
    <t>ON 12/21/23 AT APPROXIMATELY 04:55, THE CONTROL CENTER RECEIVED A CALL FROM A DELIVERY TRUCK DRIVER AT ANDREWS STATION, WHO REPORTED OIL COMING OUT OF A PIPE DOWNSTREAM OF THE PUMPS. AT THE SAME TIME, A CONTROLLER RECEIVED AN ALARM. CONTROL CENTER SHUT DOWN PUMPS AT LEA STATION AND ANDREWS UNTIL OPERATIONS COULD ARRIVE ON SCENE AND INVESTIGATE. 3/4-INCH STAINLESS TUBING CAME LOOSE ON THE MAINLINE PUMP 2120.     APPROXIMATELY 2.6 BARRELS OF CRUDE OIL WAS RELEASED. CLEANUP CONTRACTORS WERE MOBILIZED TO RECOVER ALL FREE PRODUCT AND BEGIN REMEDIATION OF CONTAMINATED SOIL.    OPERATIONS REPAIRED STAINLESS STEEL TUBING. ON 12/22/2023 AT 07:18, THE LINE WAS RESTARTED.     THE CAUSE OF THE RELEASE WAS DETERMINED TO BE MECHANICAL COUPLING FAILURE DUE TO A &lt;110% OVERPRESSURE EVENT.    TO PREVENT REOCCURRENCE, PROGRAMMING OF THE VFD WAS ADDED TO INCREASE RAMP TIME WHEN STARTING SECOND MAINLINE PUMP AND TUNING OF REACTION TIME FOR CONTROL VALVE FOR INCREASED OPERABILITY.</t>
  </si>
  <si>
    <t>10-INCH CRAWFORD</t>
  </si>
  <si>
    <t>LTV STEEL</t>
  </si>
  <si>
    <t>ON 12/18/23 AT APPROXIMATELY 11:00, LANDOWNER REPORTED A LEAK IN HIS PASTURE. THE CONTROL CENTER SHUTDOWN THE LINE AND OPERATIONS CONFIRMED LEAK ON THE 10-INCH CRAWFORD LINE.     APPROXIMATELY 2 BARRELS OF CRUDE OIL WAS RELEASED. ALL PRODUCT WAS CLEANED UP AND CONTAMINATED SOIL REMOVED.    AT APPROXIMATELY 18:00, THE LINE WAS REPAIRED WITH 10-INCH PLIDCO CLAMP AND THE LINE WAS RESTARTED AT 18:30.     THE CAUSE OF THE ACCIDENT WAS DETERMINED TO BE INTERNAL CORROSION AT THE 6 O'CLOCK POSITION ON THE PIPE.    TO PREVENT REOCCURRENCE, OPERATIONS IS WORKING ON A CHEMICAL INJECTION. ALSO, AN ILI TOOL RUN IS PLANNED FOR THIS MONTH AND AN ADDITIONAL COUPON WAS ADDED AT THE CRAWFORD RECEIVER.     SUPPLEMENTAL REPORT:  FURTHER INVESTIGATION INTO THE CAUSE OF THE FAILURE AND METALLURGICAL ANALYSIS DETERMINED THE ROOT CAUSE OF THE INTERNAL CORROSION WAS MICROBIAL INDUCED.</t>
  </si>
  <si>
    <t>PEII 20-INCH FACILITY PIPING</t>
  </si>
  <si>
    <t>IPSCO STEEL</t>
  </si>
  <si>
    <t>SULPHUR CREEK AND PRIVATE LIVESTOCK POND.</t>
  </si>
  <si>
    <t>ON 12/15/23 AT APPROXIMATELY 05:15, LOCAL FIELD PIPELINE OPERATIONS PERSONNEL NOTIFIED THE CONTROL CENTER AND OPERATIONS MANAGEMENT OF A POTENTIAL RELEASE INSIDE THE COLORADO CITY STATION. THE PE2 LINE WAS IMMEDIATELY SHUT DOWN, BLOCKED IN AND ISOLATED. THE LEAK WAS DETERMINED TO BE COMING FROM 20-INCH STATION PIPING.     APPROXIMATELY 181 BARRELS OF CRUDE OIL WAS RELEASED. THE CRUDE OIL MIGRATED OFFSITE AND IMPACTED NEARBY SULPHUR CREEK AND A PRIVATE LIVESTOCK POND. OSROS REMOVED FREE PRODUCT AND CONTAMINATED SOIL.    THE PIPE WAS DETERMINED TO BE DEAD LEG SUCTION LINE PIPING ASSOCIATED WITH MAINLINE PUMPS THAT HAD BEEN REMOVED PREVIOUSLY.  THE FAILED PIPING WAS REMOVED AND THE MAINLINE RESTARTED ON 12/16/2023.     THE FAILED PIPING WAS SENT TO 3RD PARTY LABORATORY FOR ANALYSIS. A SUPPLEMENTAL REPORT WILL BE SUBMITTED ONCE THE INVESTIGATION IS COMPLETE.    SUPPLEMENTAL REPORT:  RESULTS FROM THE THIRD PARTY ANALYSIS DETERMINED THE FAILURE WAS AT THE 6:00 O'CLOCK POSITION AND WAS CAUSED BY INTERNAL CORROSION WITH PIT IN PIT MORPHOLOGY CHARACTERISTIC OF MICROBIAL INDUCED INTERNAL CORROSION.  CORROSION DEPOSIT ANALYSIS ALSO SUPPORTED A MICROBIAL INDUCED INTERNAL CORROSION CAUSE.    TO PREVENT REOCCURRENCE, OPERATIONS IS INCREMENTALLY REMOVING DEAD-LEG FACILITY PIPING, INTERMITTENTLY FLUSHING LOW FLOW FACILITY PIPING LINES TO PREVENT CORROSION PITTING AND ENHANCING THE CHEMICAL TREATMENT PROGRAM.</t>
  </si>
  <si>
    <t>RELIEF LINE WAS BYPASSED.</t>
  </si>
  <si>
    <t>ECTOR STATION</t>
  </si>
  <si>
    <t>FORD TO ECTOR RELIEF LINE</t>
  </si>
  <si>
    <t>ECTOR</t>
  </si>
  <si>
    <t>ECTOR STA</t>
  </si>
  <si>
    <t>LEAK WAS NOT DETECTABLE FROM SCADA AND NOT CAUSED BY CONTROLLER ACTIONS.</t>
  </si>
  <si>
    <t>YVAN TY</t>
  </si>
  <si>
    <t>SENIOR DOT COMPLIANCE SPECIALIST</t>
  </si>
  <si>
    <t>yvan.ty@energytransfer.com</t>
  </si>
  <si>
    <t>281-748-8205</t>
  </si>
  <si>
    <t>TAMARA DIEMER</t>
  </si>
  <si>
    <t>281-808-9234</t>
  </si>
  <si>
    <t>DOT COMPLIANCE MANAGER</t>
  </si>
  <si>
    <t>tamara.diemer@energytransfer.com</t>
  </si>
  <si>
    <t>ON DECEMBER 13, 2023, AT APPROXIMATELY 08:50 AM CST, A THIRD PARTY CONTRACTOR DISCOVERED A LEAK IN "ECTOR STATION" LOCATED IN ECTOR COUNTY NEAR ODESSA, TEXAS. AN EMPLOYEE WAS NOTIFIED AND ARRIVED ON-SITE AT 08:55 AM CST. THE EMPLOYEE DETERMINED THE LEAK TO BE ON A BYPASS LINE NEAR A TRAP AND PROMPTLY ISOLATED THE LEAK. FIFTEEN (15) BARRELS OF CRUDE OIL WAS RELEASED AND CONTAINED COMPLETELY ON-SITE. REMEDIATION ON THE CONTAMINATED SOIL HAS BEEN COMPLETED. NO INJURIES, FATALITIES OR FIRES WERE ASSOCIATED WITH THIS INCIDENT.    THE LEAK WAS REPORTED TO THE TEXAS RAILROAD COMMISSION, OFFICE OF PIPELINE SAFETY AT 09:43 AM CST ON DECEMBER 13, 2023. ASSOCIATED INCIDENT # IS 2988.    AT THE TIME OF THIS WRITING, REPAIRS ARE COMPLETE AND THE INVESTIGATION STILL ONGOING WITH THE RESULTING INFORMATION SUBMITTED VIA SUPPLEMENTAL REPORT(S).    SUPPLEMENTAL FINAL REPORTED ON MARCH 28TH, 2024:  DURING THE INVESTIGATION, IT WAS DETERMINED THAT THERE WAS A THROUGH-WALL CORROSION PIT AT THE 6 O'CLOCK POSITION. BASED ON THE COMPLETED REPAIR, NO FURTHER ACTIONS ARE REQUIRED.</t>
  </si>
  <si>
    <t>LINE WAS SHUT DOWN PRIOR TO DISCOVERY.</t>
  </si>
  <si>
    <t>ETX 10-INCH</t>
  </si>
  <si>
    <t>21003.03 - 10-INCH WARREN TO DIBOLL</t>
  </si>
  <si>
    <t>WARREN</t>
  </si>
  <si>
    <t>TYLER</t>
  </si>
  <si>
    <t>HORSE PEN CREEK</t>
  </si>
  <si>
    <t>FLANGED CONNECTION AT LOW POINT IN PIPE ELEVATION.</t>
  </si>
  <si>
    <t>ON 12/11/2023 AT APPROXIMATELY 10:30, OPERATIONS PERSONNEL WERE PATROLLING THE EAST TEXAS 10-INCH RIGHT-OF-WAY (ROW) NEAR WARREN STATION AND DISCOVERED CRUDE OIL ON THE SURFACE. THE LINE HAD BEEN SHUT DOWN AT APPROXIMATELY 10:00 DUE TO A LINE IMBALANCE INVESTIGATION AND REMOTELY CONTROLLED VALVES HAD BEEN CLOSED TO ISOLATE THE SEGMENT.     APPROXIMATELY 47 BBLS OF CRUDE OIL WAS RELEASED. PRODUCT MIGRATED OFF OF THE RESULTING IN APPROXIMATELY 1 BBL IMPACTING HORSE PEN CREEK. OSROS WERE ENGAGED AND WORKED TO REMOVE ALL RELEASED PRODUCT AND IMPACTED SOIL.     UPON EXCAVATION THE SOURCE OF THE LEAK WAS DETERMINED TO BE FROM AN UNGROUND FLANGED CONNECTION. THE FAILED PIPELINE SECTION WAS CUTOUT AND REPLACED AND THE LINE WAS RESTARTED ON 12/14/2023.    THE CAUSE OF THE FAILURE HAS YET TO BE DETERMINED. A SUPPLEMENTAL REPORT WILL BE SUBMITTED ONCE THE INVESTIGATION IS COMPLETE.    SUPPLEMENTAL &amp; FINAL REPORT:  THE CAUSE OF THE ACCIDENT WAS DETERMINED TO BE INTERNAL CORROSION AFFECTING THE FLANGED CONNECTION. THE INTERNAL CORROSION OCCURRED WHERE THE FLANGE FACES CONNECTED TOGETHER IN AREA WHICH ALLOWED WATER AND SOLIDS TO DROP OUT OF THE PRODUCT STREAM IN AND WHERE INHIBITOR COULD NOT BE EFFECTIVELY DISTRIBUTED. THE THICKNESS OF THE FLANGE FACES ALSO MAY HAVE MASKED ANY INDICATIONS OF METAL LOSS INDICATED FROM MFL ILI TOOL ASSESSMENTS.      TO PREVENT REOCCURRENCE, THE FLANGED CONNECTION WAS CUT OUT AND NEW REPLACEMENT PIPE WAS WELDED IN. ADDITIONALLY, A REVIEW OF ILI DATA IDENTIFIED 11 MORE SETS OF UNDERGROUND FLANGES IN THE SYSTEM. DURING THE REPAIR OF THE FAILED SECTION ANOTHER FLANGED CONNECTION UPSTREAM OF THE FAILURE WAS CUT OUT AND REPLACED.  THE REMAINING 10 FLANGED CONNECTION LOCATIONS WERE EXCAVATED AND INSPECTED.  AS AN ADDITIONAL PRECAUTIONARY MEASURE, INSPECTION PORTS AT THESE LOCATIONS WERE INSTALLED IN ORDER TO BE ABLE TO MONITOR THESE LOCATIONS FOR INDICATIONS OF A FAILURE.  ALL EXISTING CATHODIC PROTECTION BONDS ACROSS ALL REMAINING FLANGED CONNECTIONS WERE INSPECTED AND REPAIRED AS NEEDED TO ENSURE CONTINUITY IN THE EXTERNAL CATHODIC PROTECTION SYSTEM.</t>
  </si>
  <si>
    <t>ONSHORE EQUIPMENT AND PIPING ASSOCIATED WITH BELOWGROUND STORAGE</t>
  </si>
  <si>
    <t>CHILDRESS STATION</t>
  </si>
  <si>
    <t>BRETCH TO CHILDRESS #2</t>
  </si>
  <si>
    <t>CHILDRESS</t>
  </si>
  <si>
    <t>CHILDRESS STA</t>
  </si>
  <si>
    <t>YES, BUT THE INVESTIGATION OF THE CONTROL ROOM AND/OR CONTROLLER ACTIONS HAS NOT YET BEEN COMPLETED BY THE OPERATOR (SUPPLEMENTAL REPORT REQUIRED)</t>
  </si>
  <si>
    <t>COMPLIANCE MANAGER</t>
  </si>
  <si>
    <t>ON DECEMBER 9, 2023 AT 9:12 AM, THERE WAS A POWER FAILURE AND LOSS OF COMMUNICATIONS TO THE PLC AT CPL'S CHILDRESS STATION LOCATED NEAR CHILDRESS, TEXAS IN CHILDRESS COUNTY, TEXAS. CONTROL CENTER NOTIFIED A FIELD EMPLOYEE AT 09:15AM TO DISPATCH TO CHILDRESS STATION. AT 09:30AM, THE EMPLOYEE ARRIVED ON-SITE AND DISCOVERED A LEAK LOCATED NEAR THE SUMP INSIDE CHILDRESS STATION. CONTROL CENTER SHUT DOWN FLOW INTO CHILDRESS STATION. SEVEN (7) BARRELS OF CRUDE OIL WERE RELEASED AND CONTAINED COMPLETELY ON-SITE. THE CONTAMINATED SOIL WILL BE REMEDIATED ON-SITE. NO INJURIES, FATALITIES OR FIRES WERE ASSOCIATED WITH THIS INCIDENT. A NOTIFICATION TO THE NATIONAL RESPONSE CENTER (NRC) WAS NOT REQUIRED. AT THE TIME OF THIS WRITING, REPAIRS ARE COMPLETE AND THE INVESTIGATION STILL ONGOING AND THE RESULTING INFORMATION SUBMITTED VIA SUPPLEMENTAL REPORT(S).    SUPPLEMENTAL REPORT FILED ON MARCH 12, 2024:  DURING THE ROOT CAUSE ANALYSIS, IT WAS DETERMINED TO BE EQUIPMENT FAILURE DUE TO LOSS OF COMMUNICATION FROM A POWER OUTAGE. THE BATTERY BACKUP FAILED AND THERE WAS NOT A GENERATOR INSTALLED ON-SITE. THE BATTERIES WAS REPLACED AND A GENERATOR WAS INSTALLED TO PREVENT REOCCURRENCE IN THE FUTURE.</t>
  </si>
  <si>
    <t>TANK 2725 WAS ISOLATED.</t>
  </si>
  <si>
    <t>CORSICANA TANK 2725</t>
  </si>
  <si>
    <t>PUNCTURE</t>
  </si>
  <si>
    <t>EXTERNAL FLOATING ROOF TANK DRAIN HOSE</t>
  </si>
  <si>
    <t>ON 12/01/2023 AT 15:00, A LOCAL OPERATOR WAS PERFORMING A ROUTINE MONTHLY TANK INSPECTION ON TANK 2725 AT THE CORSICANA TANK FARM AND OBSERVED A SMALL OIL RESIDUE AROUND THE ROOF DRAIN DISCHARGE VALVE AND PRODUCT ON THE GROUND WHERE THE DRAIN VALVE DISCHARGES FROM THE TANK.     APPROXIMATELY, 30 GALLONS OF CRUDE OIL WAS RELEASED ON THE GROUND. FREE PRODUCT WAS RECOVERED WITH A VACUUM TRUCK. CONTAMINATED SOIL WAS REMOVED FOR ONSITE REMEDIATION.    SUPPLEMENTAL:  THE FAILURE WAS DETERMINED TO HAVE BEEN CAUSED BY A FAILURE OF THE EXTERNAL FLOATING ROOF TANK DRAIN HOSE WHICH IS UTILIZED TO DRAIN WATER FROM THE ROOF. THE HOSE IS COMPRISED OF AN EXTERNAL THERMOPLASTIC SHEATH EXTRUDED OVER A SPIRAL WOUND STAINLESS STEEL INTERNAL CARCASS.  THE ANALYSIS DETERMINED THE HOSE HAD EXPERIENCED MECHANICAL DAMAGE SUSPECTED TO HAVE OCCURRED DUE TO A MISSING GUARD ON A TANK LEG.  THE CONTACT ABRADED THE EXTERNAL SURFACE, AND EVENTUALLY PUNCTURED THE THERMOPLASTIC SHEATH.    THE HOSE HAS BEEN REPLACED WITH A NEW DESIGN AND THE TANK LEG GUARDS HAVE BEEN INSPECTED TO PREVENT REOCCURRENCE</t>
  </si>
  <si>
    <t>TANK 2660 AND ASSOCIATED PIPING WAS ALREADY ISOLATED.</t>
  </si>
  <si>
    <t>CORSICANA STATION</t>
  </si>
  <si>
    <t>CORSICANA TANK 2660 STATION PIPING</t>
  </si>
  <si>
    <t>SINGLE SAW</t>
  </si>
  <si>
    <t>ON 11/27/2023 AT 15:46, FACILITY CONTRACTORS WORKING NEARBY NOTICED CRUDE IN THE CONTAINMENT DIKE OF TANK 2660. THE LEAK WAS COMING FROM THE SUCTION/FILL LINE INSIDE THE TANK DIKE.     APPROXIMATELY, 120 BARRELS OF CRUDE OIL WAS RELEASED INTO THE CONTAINMENT DIKE. CLEAN-UP CREWS WERE DISPATCHED AND REMOVED FREE PRODUCT AND CONTAMINATED SOIL.     THE FAILED PIPE WAS TEMPORARILY REPAIRED WITH A CLAMP. ACCIDENT CAUSE HAS YET TO BE DETERMINED. A SUPPLEMENTAL REPORT WILL BE SUBMITTED ONCE THE PIPE IS REMOVED AND ANALYZED.    SUPPLEMENTAL REPORT:  TANK 2660 WAS ISOLATED, DRAINED, CLEANED AND DEGASSED IN 2022 FOR INTERNAL 653 INSPECTION AND WAS NOT RETURNED TO SERVICE SUBSEQUENT TO THE INSPECTION. THE DEDICATED SUCTION/FILL LINE FOR THIS TANK BECAME A DEAD LEG AFTER THE TANK WAS REMOVED FROM SERVICE FROM THE TANK SHELL VALVE TO THE BOOSTER PUMP.      SUBSEQUENT TO THE INITIAL MECHANICAL CLAMP APPLICATION TO CONTROL THE RELEASE THE FAILED SECTION OF THE SUCTION FILL LINE WAS FULLY REMOVED FROM THE GROUND AND THE INTERNAL SURFACE EXAMINED.  THE VISUAL EXAMINATION DETERMINED THE CAUSE WAS INTERNAL CORROSION.     THE REMAINING SECTION OF ASSOCIATED PIPING IS ABOVE GROUND, CAPPED, DRAINED AND ISOLATED FROM THE SYSTEM. THE REMAINING SECTION WILL BE REMOVED IN THE NEAR FUTURE.  DEAD LEG MANAGEMENT PROGRAM IS IN PLACE FOR THE FACILITY AND AS TANKS MOVE TO OUT OF SERVICE STATUS AND ARE SCHEDULED TO REMAIN IN THAT STATUS ASSOCIATED PIPING WILL BE REMOVED TO PREVENT FUTURE, SIMILAR TYPE FAILURES.</t>
  </si>
  <si>
    <t>AIRPORT JUNCTION STATION</t>
  </si>
  <si>
    <t>AIRPORT JUNCTION TRUNK 3</t>
  </si>
  <si>
    <t>AIRPORT JCT</t>
  </si>
  <si>
    <t>POSITIVE DISPLACEMENT</t>
  </si>
  <si>
    <t>713-989-7895</t>
  </si>
  <si>
    <t>832-808-9234</t>
  </si>
  <si>
    <t>ON NOVEMBER 25, 2023, AT APPROXIMATELY 09:00AM CST, A COMPANY EMPLOYEE DISCOVERED A LEAK IN AIRPORT JUNCTION STATION NEAR DENVER CITY, TEXAS. THE EMPLOYEE DETERMINED THE SOURCE OF THE LEAK TO BE A STATION PUMP AND PROMPTLY ISOLATED THE LEAK. TEN (10) GALLONS OF CRUDE OIL WAS RELEASED AND WAS CONTAINED COMPLETELY ON-SITE. THE CONTAMINATED SOIL WILL BE REMEDIATED ON-SITE. NO INJURIES, FATALITIES OR FIRES WERE ASSOCIATED WITH THIS INCIDENT.    TEXAS RAILROAD COMMISSION, OFFICE OF PIPELINE SAFETY WAS NOTIFIED OF THE LEAK AT 09:50 AM CST ON NOVEMBER 25, 2023. A NOTIFICATION TO THE NATIONAL RESPONSE CENTER (NRC) WAS NOT REQUIRED.</t>
  </si>
  <si>
    <t>MIDLAND STATION</t>
  </si>
  <si>
    <t>MTF SUMP</t>
  </si>
  <si>
    <t>MIDLAND STA.</t>
  </si>
  <si>
    <t>ASSOCIATED PUMP'S DEBOUNCE TIMER SETTING WAS UPDATED TO ATYPICAL OPERATIONAL SETTINGS.</t>
  </si>
  <si>
    <t>THERE IS NO PROCEDURAL ISSUE AS THE DEBOUNCE TIMER DOES NOT HAVE A SPECIFIC SETTING FOR SUMP PUMPS AT INSTALLATION AND SHOULD BE MODIFIED AT THE DISCRETION OF OPERATIONS PERSONNEL.</t>
  </si>
  <si>
    <t>CONSTRUCTION</t>
  </si>
  <si>
    <t>ON OCTOBER 25, 2023, AT APPROXIMATELY 11:05 AM CST, A CENTURION PIPELINE, L.P. (CPL) EMPLOYEE DISCOVERED A LEAK IN CPL'S MIDLAND STATION NEAR MIDLAND, TEXAS. CPL DETERMINED THE SOURCE OF THE LEAK TO BE A STATION SUMP AND PROMPTLY ISOLATED THE LEAK. THIRTY-SIX (36) BARRELS OF CRUDE OIL WAS RELEASED AND WAS CONTAINED COMPLETELY ON-SITE. THE CONTAMINATED SOIL WILL BE REMEDIATED ON-SITE. NO INJURIES, FATALITIES OR FIRES WERE ASSOCIATED WITH THIS INCIDENT.    CPL REPORTED THE LEAK TO THE TEXAS RAILROAD COMMISSION, OFFICE OF PIPELINE SAFETY AT 12:05 PM CST ON OCTOBER 25, 2023. ASSOCIATED INCIDENT # IS 2939. A NOTIFICATION TO THE NATIONAL RESPONSE CENTER (NRC) WAS NOT REQUIRED BUT MADE ON OCTOBER 25, 2023 AT 12:00 CST. ASSOCIATED NRC# FOR THE INITIAL CALL WAS 1382630. AN UPDATED 48-HOUR NOTIFICATION WAS MADE ON OCTOBER 27, 2023 AT 8:05 AM CST. ASSOCIATED NRC# IS 1382782.    THE SYSTEM WAS OPERATIONAL AT 12:30 PM CST BUT WAS NOT RESTARTED UNTIL THE 5:44 PM CST.     AT THE TIME OF THIS WRITING, NO REPAIRS WERE REQUIRED AND THE ROOT CAUSE FAILURE ANALYSIS WILL BE COMPLETED AND THE RESULTING INFORMATION SUBMITTED VIA SUPPLEMENTAL REPORT(S).    SUPPLEMENTAL REPORT FILED ON MARCH 13, 2024:  DURING THE ROOT CAUSE ANALYSIS, CPL DETERMINED THAT THE ASSOCIATED PUMP HAD A SETTING TO THE DEBOUNCE TIMER THAT WAS NOT SET TO THE ATYPICAL SETTING FOR THE ASSOCIATED PUMP. THERE IS NO PRESET REQUIREMENT FOR THE DEBOUNCE TIMER BUT INCREASED DURATION OF THE DEBOUNCE TIMER WOULD ALLOW FOR GREATER FLEXIBILITY IN THE SYSTEM TO RECOVER AND ALLOW FOR PROPER MITIGATIVE ACTIONS BY OPERATIONS PERSONNEL.</t>
  </si>
  <si>
    <t>GROUND PATROL BY OPERATOR OR ITS CONTRACTOR</t>
  </si>
  <si>
    <t>FAILED SECTION OF MANIFOLD WAS ISOLATED WITH VALVES</t>
  </si>
  <si>
    <t>TEXOMA MANIFOLD</t>
  </si>
  <si>
    <t>EPOXY OTHER THAN FBE</t>
  </si>
  <si>
    <t>NOT CUT OPEN</t>
  </si>
  <si>
    <t>ON 10/15/2023, AT APPROXIMATELY 05:00, AN OPERATOR WAS STANDING BY FOR A SWITCH AT TEXOMA MANIFOLD AND NOTICED OIL ON THE GROUND. ON FURTHER INVESTIGATION, HE FOUND A PIN HOLE LEAK AT THE 6 O'CLOCK POSITION ON A 30-INCH LINE INSIDE THE MANIFOLD. THE SHIFT SUPERVISOR WAS NOTIFIED IMMEDIATELY AS WELL AS THE ONSITE CLEANUP CREW.     APPROXIMATELY 21 GALLONS OF CRUDE OIL WAS RELEASED. CLEAN-UP CREW AND VACUUM TRUCK ARRIVED TO THE SITE TO REMOVE PRODUCT AND CONTAMINATED SOIL.    INVESTIGATION DETERMINED THE PINHOLE LEAK WAS DUE TO INTERNAL CORROSION. A TEMPORARY CLAMP WAS INSTALLED TO STOP THE LEAK. THE TEMPORARY CLAMP WILL STAY IN PLACE UNTIL A PERMANENT REPAIR IS MADE WHICH WILL INCLUDE A CUTOUT AND REPLACEMENT.        A CORROSION SPECIALIST TOOK UT READINGS AROUND THE CLAMPED AREA AND DID NOT SHOW THAT THERE WERE OTHER THIN AREAS ON THE PIPE. OPERATIONS IS WORKING ON AN INHIBITOR INJECTION PROGRAM TO PREVENT REOCCURRENCE.</t>
  </si>
  <si>
    <t>NOTIFICATION FROM THIRD PARTY THAT CAUSED THE ACCIDENT</t>
  </si>
  <si>
    <t>BLOCK VALVES PREVIOUSLY CLOSED DUE TO ROUTINE PAUSE OF PRODUCT FLOW.</t>
  </si>
  <si>
    <t>SLAUGHTER TO DRUMRIGHT #1</t>
  </si>
  <si>
    <t>CUSHING WEST TO EL RENO #1</t>
  </si>
  <si>
    <t>OKLAHOMA CITY</t>
  </si>
  <si>
    <t>OKLAHOMA</t>
  </si>
  <si>
    <t>MP 61</t>
  </si>
  <si>
    <t>API 5L X-52</t>
  </si>
  <si>
    <t>POLYWRAP</t>
  </si>
  <si>
    <t>THE PIPELINE SEGMENT WAS ALREADY SHUTDOWN AND THE LEAK WAS NOT DETECTABLE BY SCADA.</t>
  </si>
  <si>
    <t>EXCAVATION DAMAGE BY THIRD PARTY</t>
  </si>
  <si>
    <t>18î ñ 36î</t>
  </si>
  <si>
    <t>DEVELOPER</t>
  </si>
  <si>
    <t>BULLDOZER</t>
  </si>
  <si>
    <t>SITE DEVELOPMENT</t>
  </si>
  <si>
    <t>FACILITY OWNER</t>
  </si>
  <si>
    <t>EXCAVATOR FAILED TO MAINTAIN CLEARANCE AFTER VERIFYING MARKS</t>
  </si>
  <si>
    <t>713-989-7863</t>
  </si>
  <si>
    <t>ON SEPTEMBER 25, 2023, AT 10:24AM, CENTURION PIPELINE, L.P. (CPL) EMPLOYEE WAS NOTIFIED BY A THIRD PARTY EXCAVATOR THAT A BULLDOZER HAD STRUCK ONE OF CPL'S "SLAUGHTER TO DRUMRIGHT" RIGHT-OF-WAY (ROW). THE EMPLOYEE'S SUPERVISOR (QUALIFIED INDIVIDUAL) AND CONTROL CENTER WAS NOTIFIED. THE PIPELINE SYSTEM WAS PREVIOUSLY SHUTDOWN DUE TO REDUCED TANK LEVELS AT CPL'S CUSHING STATION AT 10:17AM. CPL PERSONNEL ARRIVED ON-SITE AT 10:44AM AND CONFIRMED DISCOVERY ON THE "CUSHING WEST TO EL RENO #1" AT AT 11:10AM. LEAK WAS LOCATED AT APPROXIMATELY MP 61 IN OKLAHOMA CITY, OKLAHOMA IN OKLAHOMA COUNTY. THE COMPANY'S OSRO WAS NOTIFIED AT 11:00AM OF THE LEAK AND ARRIVED ON-SITE AT 11:50AM. THE NATIONAL RESPONSE CENTER (NRC) WAS NOTIFIED AT 12:18AM WITH INCIDENT REPORT# 1380056.    ONE THOUSAND, SIX HUNDRED AND EIGHTY-FOUR (1,684) BARRELS WAS RELEASED AND RECOVERED. NO INJURIES, FATALITIES OR FIRES WERE ASSOCIATED WITH THIS INCIDENT. REMEDIATION HAS BEEN COMPLETED ON-SITE.    REPAIRS WERE COMPLETED AND SEGMENT WAS RETURNED TO SERVICE.    IT WAS DETERMINED THAT THE THIRD PARTY EXCAVATOR HAD MADE THE PROPERLY ONE-CALL TICKET AND THE LOCATE PROCEDURES WERE PROPERLY FOLLOWED. IN DISCUSSIONS WITH CPL'S LINE LOCATOR AND THE EXCAVATOR, IT WAS DETERMINED THAT THE THIRD PARTY EXCAVATOR'S ORIGINAL PLANS OF EXCAVATION WAS TOO CLOSE TO CPL'S CUSHING WEST TO EL RENO #1 TO MAINTAIN CLEARANCE. IT WAS DETERMINED THAT THE EXCAVATOR WOULD REVISE THE EXCAVATION PLANS TO INCLUDE ADDITIONAL COVER AND CROSS ABOVE CPL'S PIPELINE INSTEAD OF UNDERNEATH. THE THIRD PARTY EXCAVATOR WAS INFORMED THAT CPL'S EMPLOYEE WOULD NEED TO BE ON-SITE FOR ANY EXCAVATION. THE EXCAVATOR DID NOT MAKE NOTIFICATION TO CPL ON THE DAY OF THE INCIDENT AND CPL WAS NOT ON-SITE. ON THE DAY OF THE INCIDENT, IT WAS DETERMINED THAT EXCAVATOR'S POINT OF CONTACT HAD NOT FOLLOWED THE MODIFIED PLANS NOR WAS AWARE THAT THERE WAS AN EXCAVATION CREW ON SITE.    SUPPLEMENTAL REPORT FILED ON NOVEMBER 21, 2023:  UPDATED PART A5: LOCATION OF ACCIDENT'S COORDINATES.  UPDATED PART A17 AND INCLUDED SHUTDOWN AND RESTART TIMES.  PERMANENT REPAIRS HAVE BEEN SCHEDULED FOR LATE NOVEMBER 2023 AND NO FURTHER ACTIONS WILL BE REQUIRED.</t>
  </si>
  <si>
    <t>STATION WAS DOWN AT TIME OF DISCOVERY</t>
  </si>
  <si>
    <t>PERMIAN EXPRESS 2</t>
  </si>
  <si>
    <t>GLEN ROSE STATION</t>
  </si>
  <si>
    <t>HOOD</t>
  </si>
  <si>
    <t>ON 9/6/2023 AT APPROXIMATELY 07:00, LOCAL OPERATING PERSONNEL DISCOVERED OIL ON THE GROUND AROUND THE SUMP DURING A ROUTINE STATION CHECK. THE STATION WAS DOWN AT THE TIME OF THE RELEASE.     APPROXIMATELY 5 BARRELS OF CRUDE OIL RELEASED. A CLEAN-UP CONTRACTOR REMOVED ALL RELEASED PRODUCT AND IMPACTED SOIL.    A FULL PRESSURE PLIDCO CLAMP WAS INSTALLED AND THE SUMP SYSTEM WAS LOCKED OUT.     THE INVESTIGATION REVEALED A PINHOLE LEAK CAUSED BY INTERNAL CORROSION IN SUMP AUXILIARY PIPING. ORIGINAL DESIGN ALLOWED WATER TO BE TRAPPED IN THE LOW POINT OF PIPING.     TO PREVENT REOCCURRENCE THE WATER TRAP IS BEING REDESIGNED, SUMP INJECTION BEING MOVED ABOVE GRADE AND CHECK VALVE RELOCATED TO INJECTION POINT.</t>
  </si>
  <si>
    <t>1377625 1377770</t>
  </si>
  <si>
    <t>INLAND PIPELINE</t>
  </si>
  <si>
    <t>13201 TR10 TOLEDO-FOSTORIA 10-INCH</t>
  </si>
  <si>
    <t>NORTHWOOD</t>
  </si>
  <si>
    <t>WOOD</t>
  </si>
  <si>
    <t>X-46</t>
  </si>
  <si>
    <t>WEST SIDE CULVERT DITCH, UPSTREAM AND DOWNSTREAM ALONG MATHEWS ROAD</t>
  </si>
  <si>
    <t>ON 8/29/2023 AT APPROXIMATELY 12:05 ET, THE CONTROL CENTER RECEIVED A CALL FROM A PROPERTY OWNER CONCERNING A GASOLINE ODOR AND DEAD VEGETATION NEAR THE INLAND TOLEDO TO FOSTORIA TR10 LINE. INTERNAL NOTIFICATIONS WERE MADE, AND THE PIPELINE WAS SHUTDOWN AT 12:24.  CONTROL CENTER PERSONNEL NOTIFIED LOCAL OPERATIONS AND PERSONNEL ARRIVED ON SITE AT APPROXIMATELY 12:40.  AFTER INVESTIGATION AND EXCAVATION THE RELEASE WAS CONFIRMED TO BE FROM THE TR10 PIPELINE AT APPROXIMATELY 15:15.  DETAILS WERE COMPILED AND NRC, PHMSA AND OHIO EPA NOTIFICATIONS WERE MADE.     APPROXIMATELY 4 BARRELS OF GASOLINE WERE RELEASED INTO THE SOIL, WHICH MIGRATED UNDERNEATH THE ROADWAY INTO A DRAINAGE DITCH THAT FLOWS TO AYERS CREEK. FIELD PERSONNEL AND OSROS WORKED TO RECOVER FREE PRODUCT FROM SOIL AND WATER AND REMOVE CONTAMINATED SOIL.    ON 8/30/2023, A PLIDCO MECHANICAL CLAMP WAS INSTALLED AS A TEMPORARY REPAIR UNTIL THE PERMANENT REPAIR CAN BE MADE. THE LINE WAS RESTARTED UNDER A TEMPORARY PRESSURE REDUCTION UNTIL PERMANENT REPAIR WAS MADE.     ON 9/12/2023, THE FAILED SECTION OF PIPE WAS CUT OUT, REPLACED AND THE TEMPORARY OPERATING PRESSURE REDUCTION WAS REMOVED.     THE FAILED SECTION WAS PRESERVED AND SHIPPED TO A 3RD PARTY LABORATORY FOR ANALYSIS TO DETERMINE FAILURE MECHANISM. SUPPLEMENTAL REPORT WILL BE FILED WHEN ANALYSIS HAS BEEN COMPLETED.    SUPPLEMENTAL REPORT:  THE CAUSE OF THE ACCIDENT WAS DETERMINED TO BE EXTERNAL CORROSION. THE RESULTS OF THE ANALYSIS INDICATE THAT THE LEAK OCCURRED AT AN AREA OF EXTERNAL CORROSION THAT CONTAINED AXIALLY ORIENTED CRACKING. THE CRACKING MECHANISM MAY BE ASSOCIATED WITH CORROSION FATIGUE OR NEAR NEUTRAL PH SCC, OR A COMBINATION THEREOF.     TO PREVENT REOCCURRENCE LINE WILL BE ASSESSED WITH ILI TECHNOLOGY CAPABLE OF DETECTING LIKE AND SIMILAR FEATURES TO THAT OF THE FAILURE AND APPROPRIATE REMEDIAL STEPS WILL BE TAKEN BASED ON THE RESULTS OF THE RUN.</t>
  </si>
  <si>
    <t>TX-107 VIOLA</t>
  </si>
  <si>
    <t>DRISCOLL</t>
  </si>
  <si>
    <t>NUECES</t>
  </si>
  <si>
    <t>1363+85</t>
  </si>
  <si>
    <t>MOP AS USED BY PREVIOUS OPERATOR AND SUPPORTED BY HYDROTEST</t>
  </si>
  <si>
    <t>INVESTIGATION IDENTIFIED NO CONTROLLER ISSUES. CONTROLLER ACTIONS WERE CONSISTENT WITH COMPANY PROTOCOL.</t>
  </si>
  <si>
    <t>MEASURED DEPTH FROM GRADE</t>
  </si>
  <si>
    <t>FARMER</t>
  </si>
  <si>
    <t>FARM EQUIPMENT</t>
  </si>
  <si>
    <t>AGRICULTURE</t>
  </si>
  <si>
    <t>TIMOTHY BUNAG</t>
  </si>
  <si>
    <t>SR. ENGINEER - REGULATORY COMPLIANCE</t>
  </si>
  <si>
    <t>timothy.bunag@energytransfer.com</t>
  </si>
  <si>
    <t>832-294-5324</t>
  </si>
  <si>
    <t>SUSIE SJULIN</t>
  </si>
  <si>
    <t>405-557-5271</t>
  </si>
  <si>
    <t>susie.sjulin@energytransfer.com</t>
  </si>
  <si>
    <t>ON AUGUST 18, 2023, AT APPROXIMATELY 16:29, ENERGY TRANSFER (ET) GAS CONTROL NOTICED A SUDDEN DROP IN PIPELINE PRESSURE ON THE TX-107 VIOLA PIPELINE. GAS CONTROL AND OPERATIONS DECIDED TO INITIATE AN AREA SHUTDOWN AS FIELD PERSONNEL WERE TRAVELING TO THE SITE IN ORDER TO VISUALLY CONFIRM THE LEAK. BOTH UPSTREAM AND DOWNSTREAM VALVES WERE REMOTELY CLOSED AT 17:03. AT 17:36, ET PERSONNEL ARRIVED ON SITE AND CONFIRMED THAT THE PIPELINE HAD BEEN PUNCTURED BY A CONTRACTED FARMER. TX-107 VIOLA IS AN 8-INCH NATURAL GAS LIQUID (NGL) PIPELINE IN A RURAL AREA LOCATED IN NUECES COUNTY IN DRISCOLL, TX. THE FAILED SECTION OF PIPE WAS CUT OUT, REPLACED AND LINE WAS RETURNED TO SERVICE AS OF AUGUST 20, 2023, AT 09:12. THE INVESTIGATION REVEALED THAT THE 3RD PARTY CONTRACTOR WAS PLOWING THE FIELD ACROSS THE RIGHT-OF-WAY AND HIT THE PIPELINE WITH A CULTIVATION PLOW. CONTRACTOR FAILED TO MAKE A ONE CALL NOTIFICATION PRIOR TO EXCAVATING.    THIS PIPELINE IS UNDER THE JURISDICTION OF THE TEXAS RAILROAD COMMISSION (TX RRC). ON AUGUST 18, 2023, THIS INCIDENT WAS TELEPHONICALLY REPORTED TO THE NATIONAL RESPONSE CENTER (NRC #1376623) AT 17:58. TX RRC WAS NOTIFIED SHORTLY AFTER. A 48-HOUR NRC UPDATE (NRC #1376739) WAS MADE ON JUNE 20, 2023 AT 13:38.     TO PREVENT REOCCURRENCE, ET WILL CONTINUE TO RAISE AWARENESS ON THE IMPORTANCE OF MAKING A ONE-CALL NOTIFICATION PRIOR TO EXCAVATION.</t>
  </si>
  <si>
    <t>MAGTEX PIPELINE</t>
  </si>
  <si>
    <t>21023.01 HEBERT TO CENTER 8-INCH</t>
  </si>
  <si>
    <t>BRONSON</t>
  </si>
  <si>
    <t>SAN AUGUSTINE</t>
  </si>
  <si>
    <t>FILLET WELD</t>
  </si>
  <si>
    <t>UNNAMED TRIBUTARY TO CHIAMON BAYOU</t>
  </si>
  <si>
    <t>DESIGN-, CONSTRUCTION-, INSTALLATION-, OR FABRICATION-RELATED</t>
  </si>
  <si>
    <t>NON DESTRUCTIVE DYE PENETRANT ANALYSIS</t>
  </si>
  <si>
    <t>PINHOLE IN HISTORIC REPAIR SLEEVE FILLET WELD</t>
  </si>
  <si>
    <t>ON 8/15/2023 AT APPROXIMATELY 09:15, ROW MAINTENANCE CREW IDENTIFIED A SUSPECTED RELEASE NEAR THE HEBERT TO CENTER PIPELINE. LATER THAT DAY ONCE THE LINE WAS EXPOSED, OPERATIONS DETERMINED THE LEAK WAS COMING FROM THE 21023 HEBERT TO CENTER 8-INCH LINE.     APPROXIMATELY 10 BARRELS OF DIESEL FUEL RELEASED INTO THE SOIL. 2 OF THE 10 BARRELS MIGRATED INTO AN UNNAMED TRIBUTARY OF CHIAMON BAYOU. CONTRACTOR MOBILIZED FOR CLEANUP. ALL PRODUCT REMOVED FROM TRIBUTARY AND IMPACTED SOIL.     VISUAL AND DYE PENETRANT INSPECTIONS SHOWED A PINHOLE LEAK AT THE 6:00 OCLOCK POSITION ON A HISTORIC REPAIR SLEEVE FILLET WELD. THE FAILED PIPE SECTION WAS REMOVED AND REPLACED WITH 122 FT. OF NEW PIPE. ON 8/18/2023 AT APPROXIMATELY 01:00, THE LINE WAS RESTARTED.     COMPANY PERSONNEL INSPECTED THE FAILED SECTION OF PIPE AND DETERMINED THE CAUSE OF THE PINHOLE LEAK TO BE DUE TO INCOMPLETE PENETRATION OF FILLET WELD ON HISTORIC REPAIR SLEEVE INSTALLATION.  THE REPAIR SLEEVE WAS INSTALLED PRIOR TO MODERN STANDARD PRACTICES.</t>
  </si>
  <si>
    <t>ALON STATION</t>
  </si>
  <si>
    <t>ROBERTS TO ALON</t>
  </si>
  <si>
    <t>HOWARD</t>
  </si>
  <si>
    <t>RECEIVER TRAP</t>
  </si>
  <si>
    <t>LINE WAS DOWN WHEN PINHOLE LEAK DISCOVERED.</t>
  </si>
  <si>
    <t>Y-VAN TY</t>
  </si>
  <si>
    <t>ON JULY 31, 2023, A THIRD PARTY OPERATOR INFORMED CENTURION PIPELINE, L.P. (CPL) OF A LEAK. ON JULY 30, 2023, THE ASSOCIATED PIPELINE SEGMENT WAS ALREADY IDLED DUE TO COMPLETION OF COMMERCIAL DELIVERY FOR THE MONTH. A CPL EMPLOYEE ARRIVED ON-SITE AT 01:11 PM. THE LEAK WAS CONFIRMED AT 1:15PM WAS ON CPL'S RECEIVER TRAP FOR 'ROBERTS TO ALON' 12'' PIPELINE LOCATED NEAR BIG SPRINGS, TEXAS IN HOWARD COUNTY, TEXAS. THREE (3) BARRELS OF CRUDE OIL WAS RELEASED AND RECOVERED DURING THE PROCESS. CPL REMEDIATED THE CONTAMINATED SOIL ON SITE. NO INJURIES, FATALITIES OR FIRES WERE ASSOCIATED WITH THIS INCIDENT. TEMPORARY REPAIRS WERE COMPLETED AND PLANS ARE IN PLACE FOR REPLACEMENT. CPL'S INVESTIGATION IS STILL PENDING AND A SUPPLEMENTAL REPORT WILL FOLLOW UPON COMPLETION OF THE INVESTIGATION. THE SUPPLEMENTAL REPORT WILL INCLUDE THE ROOT CAUSE OF THE ACCIDENT, UPDATES TO COST, IF APPLICABLE AND ASSOCIATED P&amp;M MEASURE(S).    SUPPLEMENTAL REPORT FILED ON SEPTEMBER 28, 2023:  DURING THE ROOT CAUSE ANALYSIS, CPL DETERMINED INTERNAL CORROSION DUE TO EROSION RESULTED IN A THROUGH-WALL CORROSION PIT AT THE 6 O'CLOCK POSITION IN VALVE.    SUPPLEMENTAL REPORT FILED ON OCTOBER 17, 2023:  WITH THE PERMANENT REPLACEMENT, NO FURTHER RECURRENCE IS ANTICIPATED. BASED ON THE INVESTIGATION, THE VALVE TYPE AND MANUFACTURER DOES NOT HAVE ANY HISTORICAL ISSUES. THIS INCLUDES LENGTH OF TIME FROM INSTALLATION AND ANY OTHER CAPABILITIES. THIS IS ANTICIPATED TO BE A SINGLE OCCURRENCE AND NO FURTHER ACTIONS ARE REQUIRED.</t>
  </si>
  <si>
    <t>HUDSON STATION</t>
  </si>
  <si>
    <t>48432 12-INCH TANK LINE</t>
  </si>
  <si>
    <t>KS</t>
  </si>
  <si>
    <t>STAFFORD</t>
  </si>
  <si>
    <t>PANGAN GROUP CHENDU IRON AND STEEL CO</t>
  </si>
  <si>
    <t>ON 7/31/2023 AT APPROXIMATELY 08:00, A MEASUREMENT TECHNICIAN WAS PERFORMING END OF MONTH ACTIVITIES AND DISCOVERED RELEASE AT THE HUDSON STATION. CONTROL CENTER WAS IMMEDIATELY NOTIFIED, SHUTDOWN THE PIPELINE AND LOCAL PERSONAL WERE DISPATCHED TO THE LOCATION.    A TOTAL OF APPROXIMATELY 23 BARRELS OF CRUDE OIL WAS RELEASED FROM FACILITY PIPING AND WAS FULLY CONTAINED TO COMPANY FACILITY PROPERTY. ALL FREE PRODUCT WAS CLEANED UP AND CONTAMINATED SOIL REMOVED.    THE FAILED PIPELINE SECTION WAS CUTOUT AND REPLACED. ON 8/4/2023 AT 17:00, THE LINE WAS RESTARTED.    THE CAUSE OF THE FAILURE WAS DETERMINED TO BE INTERNAL CORROSION.    THE CHEMICAL CORROSION PROGRAM TREATMENT PROGRAM WAS REVIEWED WITH CHEMICAL VENDOR WHICH RESULTED IN A RECOMMENDATION FOR TREATMENT WITH DIFFERENT CHEMICAL INJECTIONS AND INSTALLATION OF COUPON WATER TRAPS. MODIFIED TREATMENT PROGRAM WILL BE IMPLEMENTED ALONG WITH WATER TRAP INSTALLATION TO MORE CLOSELY MONITOR CONDITIONS.</t>
  </si>
  <si>
    <t>SUN TERMINAL METER STATION</t>
  </si>
  <si>
    <t>16-INCH PRL TOLEDO DELIVERY LINE</t>
  </si>
  <si>
    <t>OREGON</t>
  </si>
  <si>
    <t>LUCAS</t>
  </si>
  <si>
    <t>NDE SCAN</t>
  </si>
  <si>
    <t>ON 7/14/23 AT 11:41, LOCAL OPERATIONS DISCOVERED A LEAK AT THE SUN TERMINAL METER STATION MANIFOLD. THE CONTROL ROOM WAS CONTACTED AND SHUT DOWN AND ISOLATED THE FACILITY. A FITTING ON THE 16-INCH PRESSURE RELIEF LINE WAS IDENTIFIED AS THE SOURCE OF THE LEAK.    APPROXIMATELY, 28 BARRELS OF CRUDE OIL WAS RELEASED TO SOIL AND ROCK INSIDE THE STATION. CLEAN-UP CREWS REMOVED FREE PRODUCT AND CONTAMINATED SOIL/ROCK.  THE FAILED PIPING WAS CUT OUT AND REPLACED.    THE CAUSE OF THE FAILURE WAS DETERMINED TO BE INTERNAL CORROSION.</t>
  </si>
  <si>
    <t>HFOTCO LLC</t>
  </si>
  <si>
    <t>HOUSTON TERMINAL PIPELINE</t>
  </si>
  <si>
    <t>21073 HFOTCO TO LYONDALE 24-INCH</t>
  </si>
  <si>
    <t>PASADENA</t>
  </si>
  <si>
    <t>VISUAL LABORATORY ANALYSIS OF PIT MORPHOLOGY.</t>
  </si>
  <si>
    <t>ON 7/13/23 AT APPROXIMATELY 15:00, A MECHANICAL TECH IDENTIFIED PRODUCT RELEASE AT THE BIG SPEED JUNCTION STATION ON THE 24" HOUSTON TERMINAL PIPELINE. THE LINE WAS ALREADY DOWN PER SCHEDULE. MECHANICAL TECH ISOLATED THE VALVES ON BOTH SIDES OF THE LINE SEGMENT WHERE THE RELEASE OCCURRED. CONTRACTORS AND COMPANY SUPPORT PERSONNEL WERE DISPATCHED TO EXCAVATE AND LOCATE THE SOURCE OF THE RELEASE. RELEASE WAS LATER IDENTIFIED ON A STATION DEAD LEG SECTION OF PIPING, APPROXIMATELY 6 FT. UNDERGROUND, BETWEEN BIG SPEED AND LITTLE SPEED JUNCTIONS. A CLAMP WAS INSTALLED ON THE LINE TO ISOLATE THE RELEASE.     APPROXIMATELY, 20 BARRELS OF CRUDE OIL WAS RELEASED. PRODUCT WAS CLEANED UP AND CONTAMINATED SOIL REMOVED.    THE CAUSE OF THE ACCIDENT IS UNDER INVESTIGATION.    SUPPLEMENTAL REPORT: THE FAILED SECTION OF PIPE WAS CUT OUT AND REPLACED.  3RD PARTY PHYSICAL ANALYSIS DETERMINED CAUSE TO BE INTERNAL CORROSION DUE TO MICROBIAL INDUCED CORROSION. LINE SEGMENT HAS BEEN TREATED WITH INHIBITOR AND BIOCIDE FOR APPROXIMATELY ONE YEAR.  INTERNAL TREATMENT PROGRAM WILL BE ADJUSTED AS NEEDED BASED ON FINDINGS OF THE ANALYSIS OF THIS FAILURE.</t>
  </si>
  <si>
    <t>AUTOMATIC FIRE SUPPRESSION SYSTEM</t>
  </si>
  <si>
    <t>LONGVIEW STATION</t>
  </si>
  <si>
    <t>UNIT 2120</t>
  </si>
  <si>
    <t>VITON</t>
  </si>
  <si>
    <t>ON 7/11/23 AT 04:18 THE CONTROL CENTER RECEIVED AN LEL, SEAL FAILURE AND FIRE SUPPRESSION SYSTEM ALARM FOR PUMP UNIT 2120 AT LONGVIEW STATION.  THE CONTROLLER SHUT THE PUMP DOWN AND NOTIFIED LOCAL OPERATIONS PERSONNEL.  UPON ARRIVAL AT THE STATION, FIELD PERSONNEL OBSERVED A RELEASE OF APPROXIMATELY, 2 GALLONS OF CRUDE OIL INTO SECONDARY CONTAINMENT AND NOTED THAT THE FIRE SUPPRESSION SYSTEM HAD ACTIVATED.  A MIST OF CRUDE OIL HAD IGNITED DUE TO CONTACT WITH ANCILLARY PUMP COMPONENTS THAT WERE HOT.  THE FACILITY DRY CHEMICAL FIRE SUPPRESSION SYSTEM ACTIVATED AND EXTINGUISHED THE FIRE WITH MINIMAL DAMAGE.     AN INVESTIGATION DETERMINED THE RELEASE WAS DUE TO A PUMP SEAL FAILURE.  THE SEAL FAILURE OCCURRED BECAUSE OF COUPLING MISALIGNMENT BETWEEN THE PUMP AND THE PUMP MOTOR WHICH CAUSED VIBRATION.  FURTHER, THE MULTILIN RELAY PROTECTIVE UNIT DID NOT ACTIVATE AND SHUT THE PUMP DOWN DUE TO VIBRATION AUTOMATICALLY AS IS INTENDED.     TO PREVENT REOCCURRENCE, OPERATIONS IS ADDING LOGIC TO SHUT THE PUMP UNITS DOWN WHEN THE MULTILIN LOSES COMMUNICATION AND/OR THE MULTILIN HEALTH CHECK BIT IS FAULTED. AN ENGINEERING ANALYSIS WILL BE CONDUCTED TO DETERMINE THE BEST PIPING MODIFICATIONS TO PREVENT COUPLING MISALIGNMENT ISSUES.  THE PUMP AND MOTOR ARE BEING REPAIRED AND WILL BE REINSTALLED ALONG WITH A NEW MULTILIN RELAY PROTECTIVE UNIT.</t>
  </si>
  <si>
    <t>MID VALLEY PIPELINE</t>
  </si>
  <si>
    <t>28003.02 CYGNET TO SAMARIA 22-INCH</t>
  </si>
  <si>
    <t>CYGNET</t>
  </si>
  <si>
    <t>ASPHALT</t>
  </si>
  <si>
    <t>AERIAL PATROL TO LOCATE RELEASE</t>
  </si>
  <si>
    <t>ON 7/5/23 AT APPROXIMATELY 16:18 ET THE CONTROL CENTER RECEIVED A LINE IMBALANCE ALARM AND BEGAN SHUTTING THE PIPELINE DOWN.  INVESTIGATION INTO THE ALARM BEGAN WHILE THE LINE WAS SETUP FOR A STATIC PRESSURE TEST TO CONFIRM INTEGRITY.  AERIAL PATROL WAS INITIATED, AND THE STATIC TEST WAS COMPLETED WITH NO INDICATION OF A RELEASE.  THE LINE IMBALANCE WAS BELIEVED TO BE DUE TO A MEASUREMENT ISSUE. THE LINE WAS CLEARED FOR RESTART AT APPROXIMATELY 21:04.  AT APPROXIMATELY 22:00 AERIAL PATROL IDENTIFIED A STAIN ON ROW NORTH OF CYGNET.  LINE WAS SHUTDOWN AGAIN AT APPROXIMATELY 22:04.    APPROXIMATELY 2 BARRELS OF CRUDE OIL RELEASED TO THE SOIL. OIL SPILL RESPONSE CONTRACTORS WERE MOBILIZED TO CLEANUP RELEASED PRODUCT.  A PLIDCO CLAMP WAS INSTALLED ON 7/6/23 AND THE LINE WAS RESTARTED ON 7/7/23.     AFTER ILI ASSESSMENT THE FAILED SECTION WILL BE CUT OUT AND REPLACED.  THE FAILED SECTION WILL BE ANALYZED FOR CAUSE AND A SUPPLEMENTAL REPORT WILL BE FILED.    SUPPLEMENTAL:  THE FAILED SECTION OF PIPE WAS CUT OUT AND REPLACED IN JANUARY 2024.  THE FAILED SECTION WAS SENT FOR METALLURGICAL ANALYSIS.  THE CAUSE OF THE FAILURE WAS DETERMINED BY METALLURGICAL ANALYSIS TO BE A LEAK LOCATED AT A COLONY OF AXIALLY ORIENTED, INTERLINKED NEAR NEUTRAL PH STRESS CORROSION CRACKS THAT WERE LOCATED AT AN AREA OF EXTERNA CORROSION AND A DENT.     AN ULTRASONIC CRACK TOOL ILI ASSESSMENT WAS CONDUCTED IN DECEMBER 2023. TOOL DATA WILL BE REVIEWED FOR SIMILAR ISSUES ONCE RECEIVED AND REMEDIAL MEASURES TAKEN ACCORDINGLY.</t>
  </si>
  <si>
    <t>MTF - ROW 5</t>
  </si>
  <si>
    <t>EXPOSED DUE TO EXCAVATION</t>
  </si>
  <si>
    <t>NONE</t>
  </si>
  <si>
    <t>SENIOR COMPLIANCE SPECIALIST</t>
  </si>
  <si>
    <t>ON JUNE 29, 2023, AT APPROXIMATELY 07:47 AM CST, A CENTURION PIPELINE, L.P. (CPL) EMPLOYEE DISCOVERED A LEAK IN CPL'S MIDLAND STATION NEAR MIDLAND, TEXAS. CPL DETERMINED THE SOURCE OF THE LEAK TO BE STATION PIPING AND PROMPTLY ISOLATED THE LEAK. THE PIPELINE SEGMENT HAD BEEN EXCAVATED AND EXPOSED PRIOR TO THE LEAK AND WAS PENDING PIPE REPLACEMENT. ACTUAL PIPE REPLACEMENT HAD NOT COMMENCED. THIRTY-SEVEN (37) BARRELS OF CRUDE OIL WAS RELEASED AND WAS CONTAINED COMPLETELY ON-SITE. THE CONTAMINATED SOIL WILL BE REMEDIATED ON SITE. NO INJURIES, FATALITIES OR FIRES WERE ASSOCIATED WITH THIS INCIDENT.    CPL REPORTED THE LEAK TO THE TEXAS RAILROAD COMMISSION, OFFICE OF PIPELINE SAFETY AT 08:44 AM CST ON JUNE 29, 2023. THE "AFTER-HOURS" OPERATOR NOTED THE INCIDENT AND DID NOT PROVIDE AN INCIDENT NUMBER.    AT THE TIME OF THIS WRITING, THE REPAIR OF THE STATION PIPING IS PENDING AND THE ROOT CAUSE FAILURE ANALYSIS WILL BE CONDUCTED PENDING THE REMOVAL OF THE DAMAGED PIPING SEGMENT. THE RESULTING INFORMATION RELATED TO THE CAUSE OF THE LEAK, PREVENTATIVE AND MITIGATIVE MEASURES (P&amp;M) AND COSTS ASSOCIATED WITH THE REPAIRING THE STATION PIPING WILL BE SUBMITTED VIA SUPPLEMENTAL REPORT(S).    SUPPLEMENTAL REPORT REPORTED ON AUGUST 28, 2023:  DURING THE ROOT CAUSE ANALYSIS, CPL DETERMINES THAT UNDER-DEPOSIT MICROBIOLOGICALLY INFLUENCED CORROSION (MIC) RESULTED IN A THROUGH-WALL INTERNAL CORROSION PIT IN THE 6 O'CLOCK POSITION OF THE MTF ROW 5 DEAD LEG #2 STATION PIPING. THIS STATION PIPING WAS A PREVIOUSLY IDENTIFIED DEAD LEG THAT WAS SCHEDULED TO BE REPLACED. ONCE REPLACED, NO FURTHER ACTIONS WILL BE REQUIRED.</t>
  </si>
  <si>
    <t>SUMP ISOLATED FROM THE MANIFOLD.</t>
  </si>
  <si>
    <t>CENTRAL MANIFOLD 24-INCH</t>
  </si>
  <si>
    <t>SUMP ALARM NOT DISPLAYED ON ACTIVE SCADA SCREEN WHEN OPERATING MANIFOLD.  AFTER INVESTIGATION THE ALARM HAS BEEN MOVED TO THE ACTIVE SCADA SCREEN TO PREVENT RECURRENCE.</t>
  </si>
  <si>
    <t>WEAR ON VALVE INNER COMPONENTS</t>
  </si>
  <si>
    <t>ON 6/28/2023 AT APPROXIMATELY 07:50, THE DUTY FOREMAN RECEIVED A CALL THAT THE FRONT SUMP AT CENTRAL MANIFOLD WAS OVERFLOWING. LOCAL OPERATIONS PERSONNEL RESPONDED TO THE CENTRAL MANIFOLD AND STOPPED ALL TRANSFERS TO DETERMINE WHICH LINE THE OIL WAS COMING FROM. APPROXIMATELY, 20 GALLONS OF CRUDE OIL RELEASED INTO THE SUMP CONTAINMENT AREA. CLEAN-UP CONTRACTORS WERE DISPATCHED TO THE AREA TO COLLECT THE FREE PRODUCT.    INVESTIGATION DETERMINED THAT 4-INCH DRAIN VALVE WAS LEAKING BY AND BYPASSING CRUDE OIL INTO THE SUMP CAUSING IT TO OVERFILL INTO THE CONTAINMENT.  FURTHER INVESTIGATION IN THE LOCAL CONTROL ROOM IDENTIFIED THAT THE SCADA HI SUMP ALARM WAS NOT LOCATED ON THE ACTIVE SCREEN WHEN CONTROLLING THE CENTRAL MANIFOLD.  THE ALARM WAS MOVED TO BE VISIBLE ON THE ACTIVE SCREEN TO PREVENT RECURRENCE.      A NEW DRAIN VALVE WAS INSTALLED, AND A VAPOR BLIND WAS INSTALLED TO BLOCK THE OIL COMING FROM THE 26-INCH LINE.</t>
  </si>
  <si>
    <t>KILGORE STATION</t>
  </si>
  <si>
    <t>21004.01 - 10" KILGORE TO DOUGLASS</t>
  </si>
  <si>
    <t>KILGORE</t>
  </si>
  <si>
    <t>NOT MONITORED BY CONTROLLERS.</t>
  </si>
  <si>
    <t>NORMAL WEAR</t>
  </si>
  <si>
    <t>ON 6/7/2023 AT APPROXIMATELY 08:00, DURING A STATION CHECK, A PIPELINE TECH DISCOVERED OIL-STAINING AROUND PIPING AT IDLED KILGORE STATION. AN INVESTIGATION DETERMINED A LEAKING FLANGE RELEASED 0.24 BARRELS OF CRUDE OIL. CONTAMINATED SOIL WAS REMOVED AND STAGED FOR LAND FARMING.    LEAK REPAIRED BY REPLACING GASKET.    THE PIPELINE WAS DRAINED DOWN AND BLINDS PUT IN PLACE TO REMOVE FURTHER POSSIBILITIES OF LEAKING. ENSURED NO RESIDUAL PRODUCT REMAINED IN THE LINE TO PREVENT REOCCURRENCE.</t>
  </si>
  <si>
    <t>ISOLATED TRAP TO MAKE REPAIRS.</t>
  </si>
  <si>
    <t>ST. MARTINVILLE PUMP STATION</t>
  </si>
  <si>
    <t>21066.03 - 24" ST MARTINVILLE TO ST JAMES</t>
  </si>
  <si>
    <t>ST. MARTINVILLE</t>
  </si>
  <si>
    <t>ST. MARTIN</t>
  </si>
  <si>
    <t>ON 6/7/23 AT APPROXIMATELY 07:25, AN OPERATOR DISCOVERED A RELEASE OF APPROXIMATELY 8 BARRELS OF CRUDE OIL FROM THE PIG TRAP TUBING ONTO THE GROUND SURROUNDING THE ST. MARTINVILLE PUMP STATION SCRAPER TRAP. THE TRAP WAS ISOLATED AND CLEANUP CONTRACTORS WERE DISPATCHED TO REMOVE FREE PRODUCT AND CONTAMINATED SOIL AND ROCKS.     ON 6/12/23, IT WAS DETERMINED THAT TOTAL COSTS WOULD EXCEED $50K DUE TO ENVIRONMENTAL REMEDIATION COSTS EXCEEDING THOSE WHICH WERE INITIALLY ANTICIPATED FOR A RELEASE OF THIS SIZE.  IMMEDIATELY FOLLOWING DETERMINATION THAT TOTAL COSTS WOULD EXCEED $50K THE NRC AND PHMSA AID WERE NOTIFIED.    OPERATIONS ASSESSED THE SCRAPER TRAP AND THE INVESTIGATION DETERMINED THE RELEASE WAS CAUSED BY A TUBING FAILURE DUE TO IMPROPER TIGHTENING OF A SWAGELOK FITTING WHEN INSTALLED DURING CONSTRUCTION.  DUE TO THE FITTING NOT BEING PROPERLY TIGHTENED ACCORDING TO THE MANUFACTURERS PROCEDURE IT PREVENTED THE FERRULE FROM PROPERLY CRIMPING THE STAINLESS STEEL TUBING RESULTING IN THE TUBING COMING OUT OF THE FITTING AND CAUSING THE RELEASE.    REPAIRED THE FAILURE BY REINSTALLING THE TUBING TO MANUFACTURERS SPECIFICATION.     TO PREVENT REOCCURRENCE, OPERATIONS ASSESSED ALL OTHER TUBING FITTINGS ON THE SYSTEM USING SWAGELOK PROCEDURE AND GAUGE TO CHECK FITTINGS FOR PROPER TIGHTNESS.</t>
  </si>
  <si>
    <t>PSV-H002 PIPING CRACKED ABOVE THE WELD COMING OFF THE 30" LOADING LINE.</t>
  </si>
  <si>
    <t>TODD NARDO</t>
  </si>
  <si>
    <t>ON 5/19/20 AT APPROXIMATELY 11:30, THE ASSOCIATED PRV PIPING DEVELOPED A CRACK ABOVE THE WELD COMING OFF OF THE 30" SHIP LOADING LINE. OPERATIONS WAS NOTIFIED TO SHUT DOWN THE LOADING OF THE SHIP IN ORDER TO STOP THE LEAK AND MAKE THE NECESSARY REPAIRS. IT WAS DETERMINED THAT APPROXIMATELY 2 BBLS OF CRUDE OIL WAS RELEASED AS A RESULT OF THIS BROKEN PRV LINE. VACUUM TRUCKS RESPONDED TO THE SITE ALONG WITH PERSONNEL FOR CLEANUP. ONCE THE LINE WAS SLACKED, LOTO WAS COMPLETED AND A PLUG WAS INSTALLED IN THE PIPING.     A WELDING MODEL WAS DESIGNED AND A 4" FLANGE WAS WELDED ONTO THE PIPE TO FACILITATE A NEW PRV AND ASSOCIATED PRV PIPING. THE SHIP LOADING WAS RESTARTED AFTER THE PIPING WAS COMPLETED AND LOTO REMOVED.    ALL PRV SETTINGS AND DESIGNS WITHIN EACH MANIFOLD ARE BEING ASSESSED BY ENGINEERS TO PREVENT REOCCURRENCE.</t>
  </si>
  <si>
    <t>EOLA STATION</t>
  </si>
  <si>
    <t>25001 10-INCH</t>
  </si>
  <si>
    <t>GARVIN</t>
  </si>
  <si>
    <t>X-52</t>
  </si>
  <si>
    <t>RUPTURE</t>
  </si>
  <si>
    <t>LONGITUDINAL</t>
  </si>
  <si>
    <t>FACILITY PIPING BETWEEN MAINLINE DIAMETER TRANSITION AND TRAPS</t>
  </si>
  <si>
    <t>FACILITY PIPING BETWEEN TRAPS</t>
  </si>
  <si>
    <t>ON 5/6/2023 AT APPROXIMATELY 14:44 WHILE PUMPING THE RECENTLY COMMISSIONED BEAR CREEK CVR DELIVERY, A RELEASE AT EOLA STATION OCCURRED.  AT APPROXIMATELY 21:35 THE RELEASE WAS DISCOVERED AT EOLA STATION BY OPERATING PERSONNEL.  THE LINE WAS SHUT DOWN AND SPILL RESPONSE CREWS WERE DISPATCHED.  APPROXIMATELY 1500 BARRELS OF CRUDE OIL WAS RELEASED. ALL FREE PRODUCT WAS RECOVERED, AND CONTAMINATED SOIL WAS REMOVED.    THE FAILURE OCCURRED ON PREVIOUSLY UNKNOWN 10-INCH DEAD LEG PIPING SITUATED BETWEEN THE MAINLINE DIAMETER TRANSITION TRAPS OF THE 10-INCH TO 12-INCH SEGMENTS. ON 5/7/2023, PERMANENT REPAIRS WERE COMPLETED, AND THE LINE WAS RESTARTED.    THE FAILED PIPING WAS CUT OUT AND SENT TO 3RD PARTY LABORATORY FOR ANALYSIS.  THE LABORATORY ANALYSIS DETERMINED THAT THE FAILURE WAS CAUSED BY INTERNAL CORROSION THAT PROGRESSED UNTIL THE REMAINING WALL THICKNESS COULD NO LONGER SUPPORT THE PRESSURE WITHIN THE PIPE RESULTING IN THE RUPTURE FAILURE.  THE CORROSION DEPOSITS INDICATED THAT THE INTERNAL CORROSION PROGRESSED IN AN ENVIRONMENT CONTAINING CARBONIC ACID FORMING WITHIN THE PRESENCE OF CO2 AND WATER WHICH WAS EXACERBATED BY SEDIMENT FILLING THE LOW END OF THE PIPE.    THE RELEASE WAS EXACERBATED DUE TO CONTROL CENTER UNCERTAINTY REGARDING WHETHER A VALVE CLOSURE AT THE DELIVERY FACILITY AT APPROXIMATELY 14:39 WAS CAUSED EITHER BY A LOSS OF COMMUNICATIONS DUE TO A POWER FAILURE AT THE DELIVERY FACILITY OR DUE TO PRESSURE SETPOINT. THIS UNCERTAINTY LED CONTROLLERS TO BELIEVE A LINE BALANCE ISSUE WAS DUE TO POWER FAILURE/COMMUNICATION LOSS AND NOT A RELEASE. SURGE PROTECTION WAS NO LONGER OPEN DOWNSTREAM WHICH ALLOWED A HIGHER-THAN-NORMAL PRESSURE BUT NOT EXCEEDING MOP TO BE EXPERIENCED AT EOLA STATION AND OPEN PATH LOGIC DID NOT TRIGGER AN IMMEDIATE SHUTDOWN. THE RUPTURE ALARMS FOLLOWING STARTUP APPEARED TO THE CONTROLLER TO BE EXPLAINABLE AND WERE NOT PROPERLY ESCALATED FOR ADDITIONAL INVESTIGATION. WHILE FIELD CREWS AT THE DELIVERY POINT CONTINUED TO TROUBLE SHOOT THE ISSUES AND COMMUNICATE WITH THE CONTROL CENTER THE LINE CONTINUED TO BE OPERATED INTERMITTENTLY UNTIL 21:35 WITH THE BELIEF THAT THE LINE WAS RE-PACKING AFTER THE POWER FAILURE, COMMUNICATIONS LOSS, AND DELIVERY VALVE CLOSURE.     TO PREVENT A RECURRENCE OPEN PATH LOGIC AND REVISED ALARM SET POINTS WERE IMPLEMENTED ON THIS DELIVERY CONFIGURATION.  ADDITIONALLY, CONTROLLER ADHERENCE TO PROCEDURES, SHUTDOWN AUTHORITY AND ENGAGEMENT WITH MANAGEMENT WAS REVIEWED WITH ALL LIQUID CONTROLLERS.</t>
  </si>
  <si>
    <t>ENABLE GAS GATHERING, LLC</t>
  </si>
  <si>
    <t>ALEX</t>
  </si>
  <si>
    <t>UNNAMED STREAM AND UNNAMED CREEK</t>
  </si>
  <si>
    <t>ON 5/3/2023 AT 09:40, THE CONTROL CENTER RECEIVED A CALL FROM A LANDOWNER STATING OIL WAS OBSERVED ON THE SURFACE NEAR THE VLC-3 PIPELINE. THE PIPELINE WAS IMMEDIATELY SHUT DOWN AND LOCAL PIPELINE OPERATIONS PERSONNEL WERE DISPATCHED TO THE AREA. AT APPROXIMATELY 10:30, THE LEAK WAS LOCATED AND APPROXIMATELY 14:00, THE LEAK WAS CONFIRMED TO BE COMING FROM THE VLC-3 CRUDE PIPELINE.    APPROXIMATELY 205 BARRELS OF CRUDE OIL WAS RELEASED. THE PRODUCT TRAVELLED TO AN UNKNOWN TRIBUTARY AND CONTINUED INTO A SMALL POND. ADDITIONAL PERSONNEL WERE SENT TO THE SITE TO BEGIN OIL RESPONSE RECOVERY EFFORTS, ALONG WITH VACUUM TRUCKS AND OSROS.    AT 15:15, A PLIDCO MECHANICAL CLAMP WAS INSTALLED TO PREVENT ANY FURTHER RELEASE. THE PIPELINE WAS MONITORED OVERNIGHT FOR ANY ADDITIONAL RELEASE.     ON 5/10/23, AN ILI TOOL RUN WAS PERFORMED. PERMANENT REPAIRS WILL BE DETERMINED PENDING TOOL RUN RESULTS. A SUPPLEMENTAL REPORT WILL BE SUBMITTED ONCE THE INVESTIGATION AND CAUSAL DETERMINATION IS COMPLETE.     SUPPLEMENTAL/FINAL:  THE PERMANENT REPAIR OF THE PIPELINE WAS COMPLETED ON 8/29/23; REPLACED APPROXIMATELY 20 FEET OF PIPE INCLUDING THE FAILED SECTION AND PLIDCO MECHANICAL CLAMP. THE INVESTIGATION DETERMINED THE CAUSE OF THE ACCIDENT WAS DUE TO INTERNAL CORROSION.    CLEANING PIGS ARE NOW BEING USED TO PREVENT REOCCURRENCE.</t>
  </si>
  <si>
    <t>RAY TOWNSHIP</t>
  </si>
  <si>
    <t>MACOMB</t>
  </si>
  <si>
    <t>API 5LX X-52</t>
  </si>
  <si>
    <t>HYDROGEN STRESS CRACKING</t>
  </si>
  <si>
    <t>ON 4/20/2023 AT APPROXIMATELY 18:25, OPERATIONS RECEIVED A CALL FROM A LANDOWNER CONCERNING A PETROLEUM ODOR. LINE WAS SHUTDOWN AND ISOLATED.  AFTER INVESTIGATION OF THE AREA AND EXCAVATION OF THE PIPELINE, CONFIRMATION OF THE RELEASE WAS DETERMINED AT 23:15.  APPROXIMATELY 4 BARRELS OF CRUDE OIL WAS RELEASED. CLEAN-UP CREWS REMOVED FREE PRODUCT AND CONTAMINATED SOIL.  NRC WAS NOTIFIED IN THE EVENT THAT TOTAL COSTS WOULD EXCEED $50K WHICH THEY DID NOT.    THE LINE WAS EXCAVATED AND PINHOLE LEAK WAS FOUND ON A WELD. A MECHANICAL PLIDCO CLAMP WAS INSTALLED. THE LINE WAS MONITORED UNDER PRESSURE BEFORE BEING RELEASED TO NORMAL OPERATIONS.    PLANS ARE UNDERWAY TO PURGE THE LINE SECTION AT THE CLAMP SITE, CUT OUT THE PIPE SECTION, REPLACE WITH WELDED STEEL PIPE, AND HAVE THE SECTION WITH THE FAILURE FURTHER ANALYZED BY THIRD PARTY LAB. THE PLAN IS TO CUT OUT THE PIPE AND SENT IT TO THE LAB BY THE END OF FIRST QUARTER 2024.     SUPPLEMENTAL:  METALLURGICAL ANALYSIS DETERMINED THE CAUSE OF THE FAILURE WAS A SURFACE BREAKING, CIRCUMFERENTIALLY ORIENTED FLAW AT THE GIRTH WELD WHICH CONSISTED OF TWO (2) REGIONS.  THE FIRST REGION WAS AN INSIDE DIAMETER SURFACE BREAKING HYDROGEN ASSISTED COLD CRACK WHICH INITIATED IN THE HEAT AFFECTED ZONE OF THE U/S PIPE JOINT WHICH DISPLAYED A HIGH CARBON EQUIVALENT.  THE SECOND REGION WAS A SEMI-ELLIPTICAL SHAPED CRACK THAT GREW THROUGH WALL WHILE IN SERVICE.</t>
  </si>
  <si>
    <t>ALREADY SHUT DOWN FOR MAINTENANCE</t>
  </si>
  <si>
    <t>LONESTAR EXPRESS #4 PUMP STATION</t>
  </si>
  <si>
    <t>S544 LSE 24-INCH</t>
  </si>
  <si>
    <t>KOPPERL</t>
  </si>
  <si>
    <t>BOSQUE</t>
  </si>
  <si>
    <t>FLASH FIRE</t>
  </si>
  <si>
    <t>THE ELECTRIC-OVER-HYDRAULIC TORQUING EQUIPMENT BROUGHT TO THE SITE FOR THE WORK BY THE CONTRACTOR WAS NOT DESIGNED FOR USE IN FLAMMABLE ATMOSPHERES.</t>
  </si>
  <si>
    <t>ROUTINE MAINTENANCE</t>
  </si>
  <si>
    <t>ON TUESDAY APRIL 11, 2023, A CONTRACTOR INCIDENT OCCURRED AT THE LONE STAR EXPRESS (LSX) #4 PUMP STATION. THE CONTRACTOR (KYLE ERWIN CONSTRUCTION) HAD THREE INDIVIDUALS ONSITE TO REMOVE A 24-INCH SPOOL PIECE FROM THE SUCTION SIDE OF PUMP NUMBER 4200 TO INSPECT AND REPLACE THE STRAINER ON THE PUMP. AT APPROXIMATELY 12:07, TWO OF THE CONTRACTORS WERE FINISHING TORQUING PROCEDURES ON THE PUMP-SIDE FLANGE CONNECTION WHEN THE THIRD CONTRACTOR STARTED USING A CRANE TO LIFT AND REMOVE THE SPOOL PIECE. WHEN THE SPOOL PIECE WAS SEPARATED FROM THE SUCTION SIDE, NGL VAPORS VENTED TO THE ATMOSPHERE AND CONTACTED AN IGNITION SOURCE WHICH CAUSED A FLASH FIRE. THIS FIRE BURNED THE CONTRACTOR WHO WAS OPERATING THE CRANE, LIFTING THE SPOOL PIECE. AN ENERGY TRANSFER (ET) EMPLOYEE RAN TO THE SITE AND USED THE FIRE EXTINGUISHER TO PUT OUT THE FIRE, THEN ONE OF THE CONTRACTORS PICKED UP THE FIRE EXTINGUISHER AND SPRAYED THE PIPE TO ENSURE THE FIRE WAS OUT.    THE ROOT CAUSE IS THE ELECTRIC-OVER-HYDRAULIC TORQUING EQUIPMENT (ALLTITE BRAND) BROUGHT TO THE SITE FOR THE WORK BY THE CONTRACTOR WAS NOT DESIGNED FOR USE IN FLAMMABLE ATMOSPHERES.   THE ELECTRIC MOTOR OF THE ELECTRIC-OVER-HYDRAULIC TORQUING EQUIPMENT IN USE AT THE TIME OF THE INCIDENT WAS THE IGNITION SOURCE FOR THE FLASH FIRE.  DURING THE WORK PERMIT AND JSA PROCESS, ALL IGNITION SOURCES WERE NOT PROPERLY IDENTIFIED (E.G., THE ELECTRIC-OVER-HYDRAULIC TORQUING EQUIPMENT) AND SO A PLAN WAS NOT DEVELOPED TO ELIMINATE SUCH IGNITION SOURCES BEFORE PERFORMING WORK, INCLUDING THE LIFTING OF THE SPOOL PIECE WHICH INTRODUCED THE FLAMMABLE VAPORS.</t>
  </si>
  <si>
    <t>30-INCH ROTATION MANIFOLD</t>
  </si>
  <si>
    <t>ON APRIL 5, 2023 AT APPROXIMATELY 07:50, THE DUTY FOREMAN RECEIVED A PHONE CALL REGARDING OIL ON THE GROUND AT THE ROTATION MANIFOLD. UPON ARRIVAL, AN INVESTIGATION BEGAN IN ORDER TO DETERMINE THE SOURCE OF THE UNDERGROUND LEAK. IT WAS DETERMINED THAT THE LEAK WAS COMING FROM ROTATION MANIFOLD PIPING. THE STREAM GOING INTO THE1558 TANK LINE WAS CHANGED TO ANOTHER TANK.     APPROXIMATELY 4 BARRELS OF CRUDE OIL WAS RELEASED TO THE SURFACE. CLEANUP PERSONNEL, VACUUM TRUCKS, AND HYDRO-EXCAVATION EQUIPMENT WERE CALLED IN TO REMOVE ALL FREE PRODUCT AND SOIL.     THE FAILED PIPE WAS CUT OUT AND REPLACED AND TANK LINE WAS PLACED BACK INTO SERVICE ON 11/1/2023 AT 10:00.  THE INVESTIGATION OF THE FAILED PIPE DETERMINED THE CAUSE OF THE LEAK WAS DUE TO INTERNAL CORROSION.    OPERATIONS IS DEVELOPING AN INHIBITOR INJECTION PROGRAM TO PREVENT REOCCURRENCE.</t>
  </si>
  <si>
    <t>TANK ISOLATED FROM OTHER FACILITY OPERATIONS</t>
  </si>
  <si>
    <t>TANK 2598</t>
  </si>
  <si>
    <t>MESQUITE BRANCH CREEK</t>
  </si>
  <si>
    <t>TANK MIXER BEARING FAILURE WHICH ALLOWED THE SHAFT DROP DAMAGING SEAL</t>
  </si>
  <si>
    <t>ON MARCH 28, 2023 AT APPROXIMATELY 08:52, DURING A STATION CHECK THE OPERATOR DISCOVERED A RELEASE COMING FROM THE TANK 2598 MIXER AREA. APPROXIMATELY 1094 BARRELS OF CRUDE OIL WAS RELEASED TO CONTAINMENT AND APPROXIMATELY 25 BARRELS OF THE TOTAL VOLUME MIGRATED OFF OPERATOR PROPERTY AND REACHED MESQUITE BRANCH CREEK. THE TANK IMPOUNDMENT DIKE DRAIN VALVE WAS IN THE CLOSED POSITION. HOWEVER, DUE TO DEBRIS IN THE VALVE BODY THE VALVE WAS NOT FULLY SEATED WHICH ALLOWED PRODUCT TO LEAK BY.      BOOM WAS PLACED IN THE CREEK TO PREVENT FURTHER MIGRATION AND OSROS WERE DISPATCHED TO COLLECT FREE PRODUCT. CONTAMINATED SOIL FROM THE IMPOUNDMENT DIKE WAS REMOVED AND CLEAN FILL WAS BROUGHT IN.    AN INVESTIGATION DETERMINED THE MIXER SEAL FAILED DUE TO A MIXER BEARING FAILURE.    THE FAILED SEAL AND TANK MIXER WILL BE REPLACED AND THE ORIGINAL MIXER WILL BE SENT TO THE MANUFACTURER (PHILADELPHIA) FOR FAILURE ANALYSIS AND REBUILD. ADDITIONAL PREVENTATIVE MEASURES ARE EXPECTED TO BE DETERMINED FOR THIS MODEL OF MIXER POST ANALYSIS.      SUPPLEMENTAL REPORT WILL BE FILED AFTER ANALYSIS IS COMPLETE.    SUPPLEMENTAL &amp; FINAL REPORT:  UPDATED TOTAL COSTS AND CHANGED FUNCTION OF PIPELINE SYSTEM TO &gt;20% SMYS REGULATED TRANSMISSION.  A REPLACEMENT TANK MIXER WAS INSTALLED AND THE FAILED UNIT IS BEING RECONDITIONED. A REPRESENTATIVE FROM THE MIXER MANUFACTURER MADE A SITE VISIT TO EXAMINE THE FAILED MIXER AND CONFIRMED THE CAUSE OF THE FAILURE WAS A MIXER SEAL FAILURE DUE TO A BEARING FAILURE ON THE MIXER WHICH ALLOWED THE SHAFT TO DROP  LEADING TO THE SEAL FAILURE.</t>
  </si>
  <si>
    <t>KARNACK PUMP STATION</t>
  </si>
  <si>
    <t>LONGVIEW TO MAYERSVILLE 20"</t>
  </si>
  <si>
    <t>KARNACK</t>
  </si>
  <si>
    <t>HARRISON</t>
  </si>
  <si>
    <t>CARBON CERAMIC</t>
  </si>
  <si>
    <t>48V POWER SUPPLY FAILURE RESULTING IN LOSS OF CONTROL POWER REQUIRED TO DISENGAGE EQUIPMENT BREAKERS.</t>
  </si>
  <si>
    <t>48V POWER SUPPLY FAILURE RESULTING IN LOSS OF CONTROL POWER</t>
  </si>
  <si>
    <t>ON 3/23/2023 AT APPROXIMATELY 01:03, THE KARNACK STATION SUCTION AND DISCHARGE VALVES CLOSED CAUSING AN OVERPRESSURE EVENT AND SHUTTING DOWN THE LINE. A TECHNICIAN WAS DISPATCHED AND UPON ARRIVAL CONFIRMED THE STATION VALVES WERE IN FACT CLOSED, BUT MAINLINE UNIT 1 WAS STILL RUNNING AND WOULD NOT SHUT DOWN UNTIL THE STATION VACUUM BREAKER WAS TRIPPED MANUALLY BY THE TECHNICIAN.    APPROXIMATELY 12 GALLONS OF CRUDE OIL SPRAYED OUT INTO THE PUMP ROOM DUE TO PUMP SEAL FAILURE.  ALL PRODUCT WAS CLEANED UP.     INVESTIGATION DISCOVERED THAT A LOSS OF 48V D/C CONTROL POWER OCCURRED AND AS A RESULT THE STATION VALVES CLOSED INITIATING A STATION SHUTDOWN HOWEVER THE VACUUM BREAKER DID NOT TRIP WHICH IS NECESSARY TO SHUTDOWN THE PUMP UNITS AUTOMATICALLY.  THE VACUUM BREAKER ALSO DID NOT TRIP DUE TO THE LOSS OF 48V D/C POWER.     A 120V A/C PROTECTIVE TRIP CIRCUIT HAS BEEN INSTALLED IN PARALLEL TO THE EXISTING 48V D/C CIRCUIT TO PREVENT A FUTURE, SIMILAR OCCURRENCE IN THE EVENT OF A 48V D/C POWER SUPPLY PROBLEM. INSTALLED DUPLICATE CIRCUIT AND LOGIC AS WELL ON UNIT 2 AT KARNACK.      ENGINEERING AND OPERATIONS HAS CONDUCTED ANALYSIS AT SIMILARLY DESIGNED STATIONS TO ENSURE THE SAME CONDITIONS WERE NOT PRESENT AND NO SIMILAR FINDINGS WERE IDENTIFIED.    SUPPLEMENTAL REPORT:  CHANGED ACCIDENT SUB-CAUSE TO MALFUNCTION OF CONTROL/RELIEF EQUIPMENT.</t>
  </si>
  <si>
    <t>GOODRICH STATION</t>
  </si>
  <si>
    <t>LIVINGSTON</t>
  </si>
  <si>
    <t>OTHER BUTT WELD</t>
  </si>
  <si>
    <t>MECHANICAL VIBRATION</t>
  </si>
  <si>
    <t>ON 2/18/23 AT APPROXIMATELY 07:18, A COMPANY EMPLOYEE DISCOVERED CRUDE OIL ON THE GROUND AT GOODRICH STATION AROUND THE TANK BOOSTER PUMP AREA. LINE WAS SHUTDOWN AND VALVES WERE CLOSED TO ISOLATE THE AREA. IT WAS DETERMINED THAT THE RELEASE WAS COMING FROM TANK 300 TRANSFER LINE.  THE TANK LINE WAS ISOLATED AND STATION WAS CONFIGURED TO ALLOW RESTART OF THE MAINLINE AT 9:54 ON THE SAME DAY.    APPROXIMATELY 30 BARRELS OF CRUDE OIL WERE RELEASED. ALL FREE PRODUCT WAS RECOVERED AND CONTAMINATED SOIL WAS REMOVED.     UPON EXCAVATION IT WAS DISCOVERED THAT THERE WAS A LACK OF SUBSURFACE SUPPORT AT A BUTT WELD ON THE BOOSTER PUMP PIPING.  IT IS BELIEVED THAT THIS LACK OF SUPPORT ALLOWED VIBRATION OVER TIME THAT CAUSED THE WELD TO FAIL.  THE PIPING TO THE BOOSTER PUMP WAS NO LONGER NECESSARY IN CURRENT OPERATING FORMAT SO THE PIPING WAS REMOVED.  ONE END WAS BLINDED OFF AT AN ABOVEGROUND VALVE AND THE OTHER END WAS CONNECTED TO A T FITTING.  THE T FITTING WAS REMOVED AND REPLACED WITH A 90 DEGREE FITTING TO FACILITATE CONTINUED OPERATION OF THE TANK 300 LINE TO A STILL OPERATIONAL SEPARATE BOOSTER PUMP.</t>
  </si>
  <si>
    <t>FLOW DIVERTED TO LSX I</t>
  </si>
  <si>
    <t>LSX II</t>
  </si>
  <si>
    <t>S541 LONE STAR EXPRESS II 24-INCH</t>
  </si>
  <si>
    <t>EASTLAND</t>
  </si>
  <si>
    <t>593+20</t>
  </si>
  <si>
    <t>1/2-INCH BODY BLEED VALVE</t>
  </si>
  <si>
    <t>1/2-INCH BODY BLEED VALVE LEAKING FROM THE VALVE STEM.</t>
  </si>
  <si>
    <t>NORMAL WEAR AND TEAR.</t>
  </si>
  <si>
    <t>ANGELA MORGAN</t>
  </si>
  <si>
    <t>LEAD SPECIALIST - REGULATORY COMPLIANCE</t>
  </si>
  <si>
    <t>angela.morgan@energytransfer.com</t>
  </si>
  <si>
    <t>903-243-6541</t>
  </si>
  <si>
    <t>CHRIS KRESTA</t>
  </si>
  <si>
    <t>713-989-7077</t>
  </si>
  <si>
    <t>MANAGER - REGULATORY COMPLIANCE</t>
  </si>
  <si>
    <t>chris.kresta@energytransfer.com</t>
  </si>
  <si>
    <t>ON 2/4/2023 AT APPROXIMATELY 07:47, A LANDOWNER NOTIFIED OPERATIONS PERSONNEL ABOUT A POTENTIAL PIPELINE RELEASE. LANDOWNER COULD HEAR HISSING AT THE MAINLINE VALVE LOCATED NEAR HWY 1027 SOUTH OF CARBON, TEXAS IN EASTLAND COUNTY.  OPERATIONS PERSONNEL ARRIVED AT 09:30 AND DISCOVERED A 1/2-INCH BODY BLEED VALVE LOCATED ON THE LONE STAR EXPRESS II MV #17 MAINLINE VALVE LEAKING NGL PRODUCT TO ATMOSPHERE.  OPERATIONS PERSONNEL CONTACTED THE CONTROL CENTER AND PREPARATIONS WERE MADE TO DIVERT THE NGL FLOW TO THE ADJACENT PIPELINE SO THAT THE MAINLINE VALVE ON LONE STAR EXPRESS II PIPELINE COULD BE CLOSED AT THAT LOCATION TO REPLACE THE 1/2-INCH BODY BLEED VALVE. A REPLACEMENT 1/2-INCH BODY BLEED VALVE WAS LOCATED AND AT 10:30 THE MAINLINE VALVE WAS CLOSED TO DIVERT FLOW TO THE ADJACENT PIPELINE.  THE 1/2-INCH BODY BLEED VALVE WAS REPLACED, THE MAINLINE VALVE WAS RE-OPENED AT 11:30 AND NORMAL OPERATION WAS RESTORED AT THAT TIME.     ESTIMATED QUANTITY RELEASED WAS 3.6 BBLS. NGL AND THE PRODUCT DID NOT MAKE CONTACT WITH THE SOIL, SO NO SOIL CONTAMINATION WAS NOTED AND NO REMEDIATION WAS REQUIRED.  MEASURES TAKEN TO PREVENT RECURRENCE WILL INCLUDE VISUAL INSPECTION ON THE BODY BLEED VALVE DURING VALVE INSPECTIONS.</t>
  </si>
  <si>
    <t>TANK 8 SUCTION FILL LINE</t>
  </si>
  <si>
    <t>A.O. SMITH FLASHWELDED X52</t>
  </si>
  <si>
    <t>A.O. SMITH</t>
  </si>
  <si>
    <t>ON 1/25/23 AT APPROXIMATELY 07:00, A PIPELINE TECH DISCOVERED OIL ON RAINWATER IN THE TANK LINE ALLEY WAY AT MAYERSVILLE STATION. ONCE THE RELEASE WAS DISCOVERED, THE STATION ALONG WITH ALL THE TANK LINES WERE ISOLATED AND LOCKED OUT. DUE TO SCHEDULING, THE STATION WAS ALREADY DOWN; NO MOVEMENT IN OR OUT OF THE STATION PRIOR TO THE LEAK BEING FOUND.     APPROXIMATELY 3 BARRELS OF CRUDE OIL WAS RELEASED. CLEANUP CREWS USED A VAC TRUCK TO REMOVE PRODUCT FROM TOP OF POOLED RAINWATER.    AT APPROXIMATELY 15:00, THE POINT OF RELEASE WAS FOUND ON TANK 8 SUCTION FILL LINE, AN ESTIMATED 40 FT. WEST OF THE MANIFOLD, DOWN THE TANK LINE ALLEY WAY. THERE WAS A SMALL PIN HOLE THAT DEVELOPED ON THE PIPE AT THE 6 0'CLOCK POSITION ON THE PIPE.    LINE WAS REPAIRED AT 15:20 AND THE STATION WAS PUT BACK INTO NORMAL SERVICE AT 15:45.    THE PIN HOLE WAS CAUSED BY INTERNAL CORROSION.    TANK LINE HAS BEEN DISCONNECTED, PURGED OF HYDROCARBONS AND WILL REMAIN OUT OF SERVICE.</t>
  </si>
  <si>
    <t>LINE WAS ALREADY SHUTDOWN.</t>
  </si>
  <si>
    <t>ON 12/29/2022 AT APPROXIMATELY 10:00, COMPANY PERSONNEL WERE CONDUCTING A ROUTINE PATROL AT TEXOMA STATION AND DISCOVERED AN OIL RELEASE FROM TANK 30001 LINE. THE LINE WAS ALREADY SHUTDOWN AND EXPOSED DUE TO ONGOING REMEDIATION AND INVESTIGATION INTO PRIOR FAILURE THAT OCCURRED ON THIS LINE ON 12/18/2022    APPROXIMATELY 2 BARRELS OF CRUDE OIL WAS RELEASED TO THE GROUND AND CONTAINED TO THE EXCAVATION SITE. ALL CONTAMINATED SOIL WAS REMOVED.    CAUSE OF THE RELEASE WAS DETERMINED TO BE DUE TO INTERNAL CORROSION.    THE LINE WAS CUT OUT ON 01/03/2023 AND REPLACED ON 01/05/2023. BELOWGROUND PIPING WAS RELOCATED ABOVEGROUND TO AID IN PREVENTING LINE FROM HOLDING WATER AND RECURRENCE OF INTERNAL CORROSION.     THE LINE WAS RESTARTED ON 01/05/2023.</t>
  </si>
  <si>
    <t>1355769, 1355868</t>
  </si>
  <si>
    <t>CYGNET PUMP STATION</t>
  </si>
  <si>
    <t>28003.01 LIMA TO CYGNET 22-INCH</t>
  </si>
  <si>
    <t>2444+94.6</t>
  </si>
  <si>
    <t>PRE-EXISTING HYDROGEN-ASSISTED COLD CRACK OF WELD</t>
  </si>
  <si>
    <t>ON 12/23/22 AT 8:01 AM, LOCAL OPERATIONS REPORTED A CRUDE OIL RELEASE AT CYGNET PUMP STATION. THE CONTROL CENTER WAS IMMEDIATELY NOTIFIED TO ISOLATE THE STATION AND CLOSE BLOCK VALVES.     APPROXIMATELY1,974 BARRELS OF CRUDE OIL WAS RELEASED.  ADJACENT LOCAL ROAD WAS TEMPORARILY CLOSED.   COMPANY PERSONNEL AND OIL SPILL RESPONSE CONTRACTORS WERE MOBILIZED TO CONTAIN AND RECOVER RELEASED PRODUCT. COMPANY SET UP AN INCIDENT RESPONSE TEAM THAT WORKED WITH ALL FEDERAL AND STATE AGENCIES TO ENSURE RESPONSE, RECOVERY EFFORTS AND PIPELINE REPAIR AND RESTART WERE COMPLETED APPROPRIATELY.    THE REPAIR WAS COMPLETED ON 12/28/22 BY INSTALLING A NEW 22-INCH X 16-INCH TEE. THE LINE WAS RESTARTED ON 12/28/22 AT 20:15.    VISUAL INSPECTIONS OF OTHER LIKE/SIMILAR BRANCHED CONNECTIONS AT CYGNET WERE PERFORMED.     THE CAUSE OF THE FAILURE IS UNDER INVESTIGATION AND PENDING 3RD PARTY LABORATORY ANALYSIS. WHEN THE INVESTIGATION IS COMPLETE, A SUPPLEMENTAL 7000-1 REPORT WILL BE FILED.    SUPPLEMENTAL &amp; FINAL REPORT  CAUSE OF THE FAILURE WAS DETERMINED BY METALLURGICAL ANALYSIS WHICH INDICATED THAT THE FAILURE OF THE WELD BETWEEN THE WELD-O-LET AND CARRIER PIPE OCCURRED AS A RESULT OF OVERLOAD AT A PRE-EXISTING HYDROGEN-ASSISTED COLD CRACK.  THERE WAS NO EVIDENCE OF FATIGUE INDICATING THAT THE HYDROGEN-ASSISTED COLD CRACK DID NOT GROW OVER TIME.</t>
  </si>
  <si>
    <t>API 5LX42</t>
  </si>
  <si>
    <t>ON 12/18/2022 AT APPROXIMATELY 09:25, COMPANY PERSONNEL WERE CONDUCTING A ROUTINE PATROL AT TEXOMA STATION AND DISCOVERED AN OIL RELEASE FROM TANK 30001 LINE. THE LINE WAS ISOLATED AND CLEAN-UP EFFORTS BEGAN.     APPROXIMATELY 75 BARRELS OF CRUDE OIL WAS RELEASED TO THE GROUND. ALL CONTAMINATED SOIL WAS REMOVED.    CAUSE OF THE RELEASE WAS DETERMINED TO BE DUE TO INTERNAL CORROSION.     PLIDCO CLAMP INSTALLED ON 12/19/22 AND LINE WAS RESTARTED ON 12/20/22.    BELOWGROUND PIPING WAS RELOCATED ABOVEGROUND PREVENTING LINE FROM HOLDING WATER AND PREVENTING RECURRENCE.</t>
  </si>
  <si>
    <t>MONTELLO FACILITY</t>
  </si>
  <si>
    <t>12" SOUTH LINE</t>
  </si>
  <si>
    <t>GARRETT A. RAY</t>
  </si>
  <si>
    <t>REGULATORY COMPLIANCE MANAGER</t>
  </si>
  <si>
    <t>garrett.ray@energytransfer.com</t>
  </si>
  <si>
    <t>713-989-7225</t>
  </si>
  <si>
    <t>ON DECEMBER 16, 2022 AT APPROXIMATELY 07:20 LOCAL TIME AT THE MONTELLO FACILITY, A COMPANY EMPLOYEE NOTICED AN ODOR OF GASOLINE ALONG THE RIGHT OF WAY WITHIN THE FACILITY FENCE LINE.  UPON INVESTIGATION, PRODUCT WAS NOTICED ALONG THE GROUND ON THE 600 TANK FARM SIDE OF THE FENCE LINE NEAR THE RAILROAD TRACKS.  ONCE THE RELEASE WAS IDENTIFIED, THE COMPANY SHUT DOWN ALL FACILITY PIPELINES GOING THROUGH THE AREA AND ISOLATED ALL SECTIONS OF PIPE.  REMEDIATION EFFORTS COMMENCED USING VACUUM TRUCKS AND EXCAVATORS TO CAPTURE ALL FREE PRODUCT AND CONTAMINATED SOIL. INVESTIGATION INTO THE CAUSE OF THE RELEASE IS STILL IN PROGRESS.    SUPPLEMENTAL  CAUSE OF THE RELEASE IS PRESUMED TO BE AND EXTERNAL CORROSION PINHOLE.  THE FAILED LINE SECTION IS UNABLE TO BE ASSESSED FURTHER AS IT IS CASED AND IS NOT ABLE TO BE REMOVED WITHOUT POTENTIALLY IMPARTING DAMAGE TO OTHER FACILITY PIPING INSIDE THE SAME CASING.  THE FAILED LINE SECTION HAS BEEN PURGED OF HYDROCARBONS WITH N2, CUT AND CAPPED ON BOTH ENDS AND ABANDONED IN PLACE.</t>
  </si>
  <si>
    <t>SMT GATHERING INLET MANIFOLD</t>
  </si>
  <si>
    <t>TANK 1001 LINE 14"</t>
  </si>
  <si>
    <t>ASTM/ASME SA-53E/B</t>
  </si>
  <si>
    <t>SEAH STEEL CORP, TEXAS PIPE AND SUPPLY</t>
  </si>
  <si>
    <t>TEMPORARY CLAMP</t>
  </si>
  <si>
    <t>GARRETT RAY</t>
  </si>
  <si>
    <t>ON 12/9/2022 AT APPROXIMATELY 08:20, AN EMPLOYEE SHOWED UP ON LOCATION TO HYDRO-EXCAVATE A BURIED BLIND FOR A PROJECT. WHEN THE EMPLOYEE ARRIVED ON SITE HE FOUND OIL SURFACING IN THE SAME AREA. TANK 1001 IS OOS SERVICE FOR 653 INSPECTIONS SO NOTHING WAS SHUT DOWN WHEN THE LEAK WAS IDENTIFIED.    APPROXIMATELY 10.2 GALLONS OF CRUDE OIL WAS RELEASED. HYDRO EXCAVATION BEGAN, AND SOON AFTER, OPERATIONS DETERMINED THAT THE LEAK ORIGINATED FROM THE 14-INCH LINE ON TANK 1001.    THE LINE WAS REPAIRED WITH TEMPORARY CLAMP. PLAN IS TO REPLACE LINE BEFORE PUTTING BACK IN SERVICE.    CORROSION INHIBITORS WILL BE USED TO HELP PREVENT INTERNAL CORROSION.</t>
  </si>
  <si>
    <t>MOV VALVES CLOSED TO ISOLATE PIG TRAP</t>
  </si>
  <si>
    <t>O-RING FAILURE</t>
  </si>
  <si>
    <t>O-RING</t>
  </si>
  <si>
    <t>ON 12/02/2022 AT 05:20, DURING A STATION INSPECTION, OPERATIONS PERSONNEL DISCOVERED CRUDE OIL COMING OUT OF A LOCKING NUT ON THE PIG TRAP DOOR ON THE 23023 DELAWARE BASIN 16-INCH LINE AT ANDREWS STATION. OPERATIONS IMMEDIATELY CLOSED MOV VALVES TO ISOLATE PIG TRAP.    APPROXIMATELY 2.4 BARRELS OF CRUDE OIL WAS RELEASED. CLEANUP CONTRACTORS WERE MOBILIZED TO RECOVER ALL FREE PRODUCT AND BEGIN REMEDIATION OF CONTAMINATED SOIL.    RELEASE DUE TO O-RING FAILURE ON THE WARNING LOCK SCREW. NEW WARNING LOCK SCREW HAS BEEN ORDERED AND A NEW O-RING WILL BE INSTALLED EVERY TIME THE DOOR IS OPENED.</t>
  </si>
  <si>
    <t>LINE NOT OPERATING AT THE TIME OF DISCOVERY</t>
  </si>
  <si>
    <t>ROTATION MANIFOLD</t>
  </si>
  <si>
    <t>ROLLED PIPE</t>
  </si>
  <si>
    <t>AUT SCAN COMPLETED WHICH SHOWED INTERNAL METAL LOSS.</t>
  </si>
  <si>
    <t>TETHERED</t>
  </si>
  <si>
    <t>ON 11/30/2022 AT 03:00, THE OPERATOR DISCOVERED A PINHOLE LEAK ON A 10-INCH LINE INSIDE THE ROTATION MANIFOLD. THE LINE WAS NOT OPERATING AT THE TIME BUT WAS ISOLATED WHILE CLEANUP AND REPAIRS TOOK PLACE.       APPROXIMATELY 5 GALLONS OF CRUDE OIL WAS RELEASED DUE TO AN INTERNAL CORROSION PINHOLE AND WAS CLEANED UP USING SORBENT PADS AND BOOM.    THE FAILURE WAS REPAIRED WITH A MECHANICAL CLAMP.  UAT SCANS CONTINUE OF THE OTHER MANIFOLD PIPING AND A REVIEW WILL BE CONDUCTED TO IDENTIFY MITIGATIVE MEASURES.</t>
  </si>
  <si>
    <t>JOHNSON'S CORNER PUMP STATION</t>
  </si>
  <si>
    <t>PUMP UNIT 3</t>
  </si>
  <si>
    <t>WATFORD CITY</t>
  </si>
  <si>
    <t>ON 11/21/2022 AT 10:21, OPERATIONS PERSONNEL DISCOVERED A CRUDE OIL LEAK AT THE JOHNSONS CORNER PUMP STATION BUILDING ON THE UNIT 3 SUCTION PIPING. STATION WAS SHUTDOWN TO IDENTIFY WHERE LEAK WAS ORIGINATING. ONCE FOUND, UNIT 3 WAS ISOLATED AND LOCKED OUT, AND UNITS 1 AND 2 WERE RESTARTED.     APPROXIMATELY 92 GALLONS OF CRUDE OIL WAS RELEASED TO A CONCRETE FLOOR INSIDE AN ENGINE ROOM. THE RELEASED MATERIAL WAS COLLECTED USING A VACUUM TRUCK. ANY RESIDUAL OIL LEFT ON THE CONCRETE SURFACE WAS REMOVED WITH ABSORBENT PADS.    A VISUAL EXAMINATION DETERMINED THE PIPING CRACKED JUST ABOVE THE WELD WHERE THE 2-INCH DRAIN LINE TIES INTO THE SUCTION PIPING AT THE 6 OCLOCK POSITION. OPERATIONS PERFORMED SEGMENTED CUTOUT AND INSTALLED A 24-INCH PUP OF PRE-TESTED X-70 PIPE. DUE TO INITIAL ASSESSMENT, OPERATIONS WENT AHEAD AND PERFORMED, LIKE/KIND, REPLACEMENT OF THE OTHER TWO SYSTEMS DUE TO SUSCEPTIBILITY OF SIMILAR EVENTS.     THE FAILED SECTION OF PIPE WAS SENT OUT FOR METALLURGICAL ANALYSIS TO DETERMINE FAILURE MECHANISM. UPON RECEIPT OF LABORATORY REPORT A SUPPLEMENTAL 7000.1 REPORT WILL BE FILED.    SUPPLEMENTAL  THE RESULTS OF THE ANALYSIS INDICATE THAT THE PIPE LEAKED AS A RESULT OF FATIGUE CRACK INITIATION AND GROWTH AT THE FILLET WELD OF THE REINFORCEMENT SADDLE.  THE FATIGUE CRACK INITIATED AT THE PIPE SIDE WELD TOE OF THE FILLET WELD THAT JOINED THE REINFORCEMENT SADDLE TO THE SUCTION PIPE.  THE CRACK PROPAGATED THROUGH-WALL, PRODUCING THE LEAK.  THERE WAS NO EVIDENCE THAT METALLURGICAL DEFECTS PLAYED A ROLE IN THE FAILURE.    OTHER PUMP STATIONS ON THE PIPELINE SYSTEM WERE INSPECTED FOR LIKE AND KIND DRAIN LINE INSTALLATIONS AND NONE WERE FOUND.</t>
  </si>
  <si>
    <t>ALREADY SHUT IN DUE TO NO NOMINATIONS FOR THE DAY.</t>
  </si>
  <si>
    <t>ISOLATED SINCE LAST MOVEMENT COMPLETED.</t>
  </si>
  <si>
    <t>CUSHING LITTLE TANK FARM</t>
  </si>
  <si>
    <t>24012 - 30" CUSHING TO LITTLE TANK FARM</t>
  </si>
  <si>
    <t>CUSHING</t>
  </si>
  <si>
    <t>CARBON FIBER</t>
  </si>
  <si>
    <t>AGE RELATED DETERIORATION OF GASKET MATERIAL.</t>
  </si>
  <si>
    <t>ON 10/26/2022 AT APPROXIMATELY 07:00, ET OPERATIONS DISCOVERED CRUDE ON THE GROUND WHILE CONDUCTING STATION CHECK. APPROXIMATELY 6 GALLONS OF CRUDE OIL WAS RELEASED.     CLEANUP CONTRACTORS WERE CALLED TO THE SITE TO HYDRO VAC THE BURIED VALVE. ONCE THE VALVE WAS EXPOSED, OPERATIONS DISCOVERED THE INSULATING GASKET WAS LEAKING. THE REMAINING PRODUCT WAS PULLED FROM THE LINE. THE FAILED GASKET WAS REMOVED AND REPLACED WITH A FLEX GSCI GASKET.     THE REPAIR WAS VERIFIED DURING THE NEXT SCHEDULED MOVEMENT. THE LINE WAS BACKFILLED AFTER NO LEAKS OBSERVED.</t>
  </si>
  <si>
    <t>DOE MANIFOLD</t>
  </si>
  <si>
    <t>FURNACE BUTT WELDED</t>
  </si>
  <si>
    <t>ON 10/24/2022 AT 09:30, A LEAK WAS DISCOVERED AT THE DOE MANIFOLD. AN ESTIMATED 2-3 BARRELS OF CRUDE OIL WAS RELEASED BASED ON SITE CONDITIONS AT INITIAL DISCOVERY. A CONTRACTOR AND LOCAL OPERATIONS PERSONNEL WERE SUMMONED TO THE SITE TO BEGIN CLEANUP AND INVESTIGATION.   ON 10/25, THE INVESTIGATION AND EXCAVATION CONTINUED WITHOUT LOCATING THE LEAK LOCATION.  ON 10/26, A WIDER AREA WAS EXCAVATED AND AN ADDITIONAL RELEASED PRODUCT VOLUME (50 BBLS) WAS IDENTIFIED. BASED ON THE DISCOVERY OF INCREASED VOLUME OF PRODUCT AND REQUIRED SOIL REMEDIATION IT WAS DETERMINED THAT COSTS WOULD EXCEED $50K AND THE NRC WAS NOTIFIED IMMEDIATELY FOLLOWING DETERMINATION.   ON 10/27, EXCAVATION AND CLEANUP CONTINUED. LEAK SITE WAS IDENTIFIED.  VISUAL EXAMINATION DETERMINED THAT THE RELEASE WAS CAUSED BY INTERNAL CORROSION.  A PLIDCO MECHANICAL REPAIR CLAMP WAS INSTALLED.  ON 10/28, 48 HR. NRC NOTIFICATION MADE.  THE LINE WAS RETURNED TO SERVICE ON 11/1/22.</t>
  </si>
  <si>
    <t>RELIEF LINE BLOCKED IN UNTIL REPAIR COMPLETED.</t>
  </si>
  <si>
    <t>RELIEF VALVE</t>
  </si>
  <si>
    <t>PLUG MISSING &amp; VALVE OPEN</t>
  </si>
  <si>
    <t>VALVE LEFT OR PLACED IN WRONG POSITION, BUT NOT RESULTING IN A TANK, VESSEL, OR SUMP/SEPARATOR OVERFLOW OR FACILITY OVERPRESSURE</t>
  </si>
  <si>
    <t>ON 10/23/2022 AT APPROXIMATELY 07:50, OIL WAS DISCOVERED COMING OUT OF A DRAIN VALVE LOCATED ON PRESSURE RELIEF PIPING ASSOCIATED WITH THE MARSHLAND MANIFOLD. IT WAS NOTED THAT THE VALVE PLUG WAS NOT PROPERLY IN PLACE AND THE VALVE WAS SLIGHTLY OPEN ALLOWING THE RELEASE TO OCCUR. APPROXIMATELY 20 GALLONS WAS RELEASED TO CONTAINMENT. UPON DISCOVERY THE VALVE WAS SHUT OFF IMMEDIATELY AND A CLEANUP CREW WAS CALLED TO THE AREA. THE REPAIR WAS MADE BY INSTALLING THE MISSING PLUG AND ENSURING THE VALVE WAS FULLY CLOSED.</t>
  </si>
  <si>
    <t>CORSICANA TO TYLER</t>
  </si>
  <si>
    <t>26007 - 12-INCH CORSICANA TO TYLER JUNCTION</t>
  </si>
  <si>
    <t>GRADE A</t>
  </si>
  <si>
    <t>N/A Bare/Ineffectively Coated Pipe</t>
  </si>
  <si>
    <t>ON 10/10/2022 AT 18:00, A FARMER CALLED IN AN APPROXIMATE 20'X20' STAIN ON THE SURFACE OF THE ROW. THE CONTROL CENTER SHUTDOWN THE PIPELINE AND OPERATIONS LOCAL OPERATIONS TEAM WAS DISPATCHED TO THE AREA AND CONDUCTED A ROW INSPECTION.  THE CREW DISCOVERED A LEAK ON THE 12-INCH CORSICANA TO TYLER LINE. APPROXIMATELY 400 BARRELS OF CRUDE OIL WAS RELEASED.     THE SEGMENT WAS ISOLATED BY CLOSING MANUAL BLOCK VALVES.  THE AREA WAS EXCAVATED AND THE LEAK SOURCE IDENTIFIED AND EXAMINED IT WAS DETERMINED THE FAILURE WAS CAUSED FROM AN EXTERNAL CORROSION PINHOLE.  A MECHANICAL PLIDCO CLAMP WAS INSTALLED AT 21:35.     ON 10/13, THE TORQUE ON CLAMP WAS RE-VERIFIED AND THE LINE WAS RESTARTED AT 20:30.  CATHODIC PROTECTION POTENTIALS IN THE AREA WERE ABOVE REQUIRED CRITERIA.  THE MOST RECENT IN LINE ASSESSMENT IDENTIFIED EXTERNAL METAL LOSS AT THE FAILURE POINT BELOW ACTIONABLE LEVELS.  UPDATED INFORMATION WAS SUPPLIED TO THE TOOL VENDOR AND THE RUN WAS REGRADED AND IS CURRENTLY BEING REVALIDATED.  THE PIPELINE IS CURRENTLY ON A SHORTENED INTEGRITY ASSESSMENT FREQUENCY IN ORDER TO MORE CLOSELY MONITOR CORROSION GROWTH RATES.  THE FAILED SECTION OF PIPE HAS BEEN CUT OUT AND REPLACED.</t>
  </si>
  <si>
    <t>NOTIFICATION FROM THE 2ND PARTY CONTRACTOR</t>
  </si>
  <si>
    <t>ATHENS</t>
  </si>
  <si>
    <t>HENDERSON</t>
  </si>
  <si>
    <t>312+627</t>
  </si>
  <si>
    <t>IN OR SPANNING AN OPEN DITCH</t>
  </si>
  <si>
    <t>UNNAMED MARSH</t>
  </si>
  <si>
    <t>CONTROLLER ACTIONS WERE PROMPT AND APPROPRIATE FOR THE SITUATION.</t>
  </si>
  <si>
    <t>ON 9/16/22 AT 09:57, A 2ND PARTY ROW MOWING CONTRACTOR STRUCK THE 12-INCH CORSICANA TO TYLER PIPELINE WITH A BRUSH HOG AT A DESIGNED ABOVE GRADE DITCH CROSSING. AT 09:58, THE CONTROL ROOM RESPONDED BY SHUTTING DOWN THE UPSTREAM PUMP AND FIELD PERSONNEL BLOCKED IN THE LINE WITH MAINLINE VALVES UPSTREAM AT CORSICANA PUMP STATION AND DOWNSTREAM AT TYLER METER STATION.     APPROXIMATELY 200 BARRELS OF CRUDE OIL WAS RELEASED AND A NEARBY STREAM WAS IMPACTED. COMPANY PERSONNEL AND OIL SPILL RESPONSE CONTRACTORS WERE MOBILIZED TO CONTAIN AND RECOVER RELEASED PRODUCT.  TXRRC WAS NOTIFIED AND NRC WAS NOTIFIED.    ON 9/17/22 AT 18:54, REPAIR WORK WAS COMPLETED, AND THE PIPELINE WAS RESTARTED.    SUPPLEMENTAL REPORT:    PART G UPDATED TO OTHER OUTSIDE FORCE DAMAGE - IF DAMAGE BY CAR, TRUCK, OR OTHER MOTORIZED VEHICLE/EQUIPMENT NOT ENGAGED IN EXCAVATION. THE TYPE OF VEHICLE INVOLVED IN THE ACCIDENT WAS A JOHN DEERE 5075E TRACTOR WITH A 7 FT. MOWER. SINCE TYPE OF VEHICLE CANNOT BE LEFT BLANK FOR QUESTION 8, MOTORCYCLE/ATV WAS SELECTED AS THE BEST OPTION.  5MPH, MOTORCYCLE/ATV, OFF ROAD, 0 AND "NO" SELECTED FOR QUESTIONS 7 THROUGH 11 RESPECTIVELY AT THE RECOMMENDATION OF PHMSA AID TO MORE CLEARLY EXPLAIN ACCIDENTS OF THIS NATURE CAUSED BY ROW MOWING ACTIVITIES.</t>
  </si>
  <si>
    <t>OTHER HVL</t>
  </si>
  <si>
    <t>MIXTURE PROPANE, BUTANE, PENTANE, HEXANE</t>
  </si>
  <si>
    <t>TWIN OAKS METER STATION</t>
  </si>
  <si>
    <t>12127 20-INCH BECKERSVILLE TO TWIN OAKS</t>
  </si>
  <si>
    <t>319+16</t>
  </si>
  <si>
    <t>DUST/DIRT IN SEALING AREA OF THE O-RING</t>
  </si>
  <si>
    <t>ON 9/16/22 AT 00:37 AM, THE CONTROL CENTER CONFIRMED DISCOVERY REGARDING A PIPELINE HIGH DIFFERENTIAL PRESSURE AT 00:14 AND ITINERANT LEL ALARM AT 00:37 THE TWIN OAKS METER STATION. THE CONTROL CENTER SHUT DOWN THE PIPELINE AND ISOLATED THE STATION. ON-SITE COMPANY PERSONNEL FURTHER ISOLATED THE FILTER VESSEL USING MANUAL VALVES. STATION PIPING WAS ROUTED TO THE MAINTENANCE FLARE/KNOCKOUT VESSEL TO REDUCE PRESSURE ON THE FILTER AND REDUCE THE LEAK FROM A SLIGHT STREAM TO A DRIP. APPROXIMATELY 7.5 GALLONS OF HVL RELEASED.    FILTER VESSEL DOOR WAS IDENTIFIED AS THE POINT-SOURCE OF THE LEAK. THE FILTER ELEMENTS AND CLOSURE O-RING WERE REPLACED. THE SYSTEM IS EQUIPPED WITH DUAL / PARALLEL FILTERS. ONE FILTER IS NORMALLY ON LINE AND THE OTHER CAN BE USED WHEN NEEDED TO ALLOW FOR MAINTENANCE.     THE LINE WAS RESTARTED AT 03:29 AM WITH THE ALTERNATE FILTER.     SUPPLEMENTAL &amp; FINAL UPDATE:  AN INVESTIGATION DETERMINED DUST/DIRT IN THE SEAL AREA WHICH LED TO THE O-RING TO FAIL CAUSING THE ACCIDENT.     OPERATIONS IS REPLACING THE DOORS ON THESE FILTER UNITS WITH BLIND STYLE CLOSURES THAT WILL USE A GASKET RATHER THAN O-RINGS, WHICH ARE USED ON THIS STYLE DOOR CLOSURE TO PREVENT RECURRENCE.</t>
  </si>
  <si>
    <t>GATEWAY PUMP STATION 1</t>
  </si>
  <si>
    <t>S505 TX NGL W TX GATEWAY PEGASUS TO JACKSON</t>
  </si>
  <si>
    <t>MIDKIFF</t>
  </si>
  <si>
    <t>FILTER DOOR OPENED UNDER PRESSURE CAUSING DAMAGE TO THE FILTER VESSEL AND ASSOCIATED PIPING</t>
  </si>
  <si>
    <t>DAMAGE BY OPERATOR OR OPERATOR'S CONTRACTOR NOT RELATED TO EXCAVATION AND NOT DUE TO MOTORIZED VEHICLE/EQUIPMENT DAMAGE</t>
  </si>
  <si>
    <t>CHRISTOPHER PALAFOX</t>
  </si>
  <si>
    <t>SPECIALIST REGULATORY COMPLIANCE</t>
  </si>
  <si>
    <t>christopher.palafox@energytransfer.com</t>
  </si>
  <si>
    <t>713-989-4464</t>
  </si>
  <si>
    <t>ON AUGUST 25, 2022 AT APPROXIMATELY 11:14 A RELEASE OF NATURAL GAS LIQUIDS (NGL) OCCURRED AT THE GATEWAY PUMP STATION 1 FROM THE METER SKID FILTER THAT FEEDS THE S505 TX NGL W TX GATEWAY PEGASUS TO JACKSON, LOCATED 17 MILES WEST OF MIDKIFF, TX.    MEASUREMENT TECHS WERE ON SITE DOING A POINT-TO-POINT CHECK ON THE METER STATION.  WHEN VALVE MOV-0201 MOVED TO THE OPEN POSITION, THE NGL HIT THE FILTERS CAUSING AN ABRUPT PRESSURE CHANGE ON THE FILTER VESSEL DOOR WHICH THEN CAUSED THE DOOR TO RELEASE AND DAMAGE THE FILTER VESSEL AND IT'S ASSOCIATED PIPING.  THIS CAUSED THE RELEASE OF 1600 BARRELS OF NGL BEFORE THE METER COULD BE ISOLATED.    THE FILTER VESSEL WAS NEVER COMMISSIONED AND USED THUS THE REASON THAT THE DOOR WAS NOT LOCKED AND PINNED PROPERLY.    THE FILTER VESSEL WAS REMOVED AND ON SEPTEMBER 1, 2022 AT APPROXIMATELY 13:30, THE METER STATION WAS PUT BACK INTO SERVICE.    TO PREVENT THIS FROM OCCURRING IN THE FUTURE, OPERATIONS WILL BLIND FLANGE ANY VESSELS THAT HAS NOT BEEN PUT INTO SERVICE AND USE PROPER LOCK OUT/TAG OUT PRACTICES AND PROCEDURES.</t>
  </si>
  <si>
    <t>CENTRAL MANIFOLD 30-INCH</t>
  </si>
  <si>
    <t>RELIEF VALVE SETPOINT SET BELOW MOP.  RELIEF ACTIVATED AND OVERFILLED SUMP.</t>
  </si>
  <si>
    <t>ON 8/8/2022 AT APPROXIMATELY 19:55, AFTER OPERATIONS RECEIVED A HIGH HIGH SUMP ALARM A LOCAL OPERATIONS PERSONNEL RESPONDED TO THE CENTRAL MANIFOLD TO FIND THE SUMP OVERFLOWING. APPROXIMATELY, 10 BARRELS OF CRUDE OIL FLOWED INTO THE CENTRAL MANIFOLD CONTAINMENT AREA, WHICH WAS ALREADY HOLDING WATER. THE PUMP WAS SHUT DOWN AND VACUUM TRUCKS WERE DISPATCHED TO REMOVE THE WATER AND OIL AS THE RESPONDERS WASHED THE OIL TO A COLLECTION POINT.    A NEWLY INSTALLED PUMP AT CENTRAL MANIFOLD WAS BEING UTILIZED TO TRANSFER OIL PRIOR TO THE SUMP OVERFILL.  TRANSFER LINE MOP IS 285.  PUMP DISCHARGE OVERPRESSURE SWITCH WAS SET TO 305 AND RELIEF ON TRANSFER LINE WAS SET AT 150.  THE TRANSFER LINE RELIEF ACTIVATED AT 150 AND DRAINED LINE PRESSURE AND PRODUCT TO THE SUMP CAUSING THE OVERFILL.     THE TRANSFER LINE PRESSURE RELIEF VALVE WAS ADJUSTED TO ACCOMMODATE THE LINE MOP AND PREVENT REOCCURRENCE.</t>
  </si>
  <si>
    <t>LEAK AREA WAS ISOLATED AND NORMAL OPERATION WAS ABLE TO CONTINUE</t>
  </si>
  <si>
    <t>GASKET MATERIAL</t>
  </si>
  <si>
    <t>ON 7/31/22 AT APPROXIMATELY 07:45, DURING A TANK SWITCH INVOLVING A CRUDE OIL RECEIPT LOCAL OPERATOR OPENED WRONG VALVE CAUSING A PRESSURE SPIKE (&lt;110% OF MOP) AT THE TEXOMA MANIFOLD, A-BANK CAUSING OIL LEAKAGE FROM A BOLTED FLANGE GASKET. THE PRESSURE WAS RELIEVED AND CONTROLLED AND THE FLANGE WAS CHECKED AND RETORQUED BY A MECHANIC.  THE LINE WAS STATIC PRESSURE TESTED AND CHECKED FOR LEAKS.  SUBSEQUENT TO THE SUCCESSFUL STATIC CHECK THE LINE WAS PUT BACK INTO SERVICE. A VACUUM TRUCK COLLECTED THE OIL/WATER MIXTURE AND DISPOSED OF IT IN THE WATER RECYCLING FACILITY.</t>
  </si>
  <si>
    <t>ALANREED TO MCCLELLEN</t>
  </si>
  <si>
    <t>23002.08 - 8" FARM RD 2477 TRAP TO MCCLELLAN</t>
  </si>
  <si>
    <t>NOT WITHIN MUNICIPALITY</t>
  </si>
  <si>
    <t>API 5L GRADE A</t>
  </si>
  <si>
    <t>ACTIVITY IS EXEMPT AND DID NOT EXCEED THE LIMITS OF THE EXEMPTION</t>
  </si>
  <si>
    <t>TEXAS UNDERGROUND FACILITY NOTIFICATION CORPORATION</t>
  </si>
  <si>
    <t>DEPTH EXEMPTION 16-INCH</t>
  </si>
  <si>
    <t>MISCELLANEOUS ROOT CAUSES</t>
  </si>
  <si>
    <t>ROOT CAUSE NOT LISTED (COMMENT REQUIRED)</t>
  </si>
  <si>
    <t>SHALLOW PIPELINE</t>
  </si>
  <si>
    <t>ON 07/19/22 AT 18:08, THE CONTROL CENTER RECEIVED AN INITIAL LINE IMBALANCE ALARM. CONTROLLER MADE DOWNSTREAM ADJUSTMENTS TO PUMPS BELIEVING THAT THE ALARM MAY BE DUE TO DOWNSTREAM SUCTION. CONTROLLER THEN CONTACTED ALARM TEAM WHICH BELIEVED THERE COULD POTENTIALLY BE METER ISSUES ON THE SYSTEM. AT 20:03, THE CONTROLLER SHUT DOWN THE LINE DOWN AND CONTACTED FIELD OPERATIONS. AT 20:40, THE CONTROL CENTER RECEIVED A CALL FROM THE LANDOWNER REPORTING A POSSIBLE LEAK AND THE CONTROLLER AGAIN CONTACTED FIELD OPERATIONS TO DISPATCH SOMEONE TO THE AREA TO INVESTIGATE.      AT 22:46, LOCAL OPERATIONS PERSONNEL ARRIVED ONSITE AND CONFIRMED A LEAK BETWEEN ALANREED AND MCCLELLAN PUMP STATIONS AND THEN PROCEEDED TO CLOSE VALVES TO ISOLATE THE LEAK AREA. AT 00:08 CT NRC WAS NOTIFIED (REPORT NO. 1341998) DUE TO ANTICIPATED TOTAL COSTS EXCEEDING $50,000.    APPROXIMATELY 83 BARRELS OF CRUDE OIL WAS RELEASED. CLEANUP AND REPAIR CREWS WERE MOBILIZED TO BEGIN REMEDIATION AND REPAIR EFFORTS. IT WAS DETERMINED THAT THE LANDOWNER WAS CULTIVATING THE FIELD EARLIER THAT DAY ON 7/19/22 USING A TRACTOR WITH DISCS AND STRUCK THE LINE CAUSING THE RELEASE. MEASURED DEPTH AT THE STRIKE WAS APPROXIMATELY 6-INCHES DUE TO EROSION.     A PLIDCO CLAMP WAS APPLIED TO CONTROL THE RELEASE OF CRUDE OIL WHILE CLEANUP EFFORTS CONTINUED.    AS A PERMANENT REPAIR AND TO ADDRESS THE SHALLOW COVER IN THIS AREA TO PREVENT A RECURRENCE, APPROXIMATELY 120 FEET OF PIPE WAS CUT OUT AND REPLACED AND APPROXIMATELY 900 FEET OF THE PIPELINE WAS LOWERED ACHIEVING APPROXIMATELY 36-40 INCHES OF COVER. THE EXPOSED PIPELINE IS ALSO BEING RECOATED.    ON 7/22/22 AT APPROXIMATELY 12:30, THE LINE WAS RESTARTED.    SUPPLEMENTAL REPORT:   PART G ACCIDENT CAUSE UPDATED TO EXCAVATION DAMAGE BY THIRD PARTY.</t>
  </si>
  <si>
    <t>TANK 2551 FILL LINE</t>
  </si>
  <si>
    <t>ON 7/18/22 AT APPROXIMATELY 08:30, OPERATIONS WAS NOTIFIED OF A RELEASE AT SMT GATHERING INLET MANIFOLD. ALL LINES GOING INTO SMT TANKS WERE SHUT IN AND INVESTIGATION BEGAN TO DETERMINE THE SOURCE OF THE RELEASE. AT 16:36, THE LEAK WAS LOCATED ON TANK 2551 LINE BETWEEN THE DELAWARE BASIN HEADER AND BROOKE HEADER RESULTING IN A RELEASE OF 4.86 BARRELS OF CRUDE OIL. CLEANUP CONTRACTORS WERE MOBILIZED TO RECOVER ALL FREE PRODUCT AND BEGIN REMEDIATION OF CONTAMINATED SOIL.  ALL CONTAMINATED SOIL WAS REMEDIATED ONSITE.    UPON VISUAL EXAMINATION IT WAS DETERMINED THAT THE RELEASE WAS CAUSED BY AN INTERNAL CORROSION PINHOLE. A 16-INCH PLIDCO CLAMP WAS INSTALLED TO THE FAILURE POINT.  TANK 2551 WILL REMAIN LOCKED OUT UNTIL FURTHER DECISION ON REPAIRS CAN BE DETERMINED.    SUPPLEMENTAL/FINAL UPDATE - THE TANK 2551 LINE THAT EXPERIENCED THE FAILURE WAS RECEIVING SOME INDIRECT CORROSION INHIBITOR FROM THE PRODUCT STREAMS ON INBOUND PIPELINES TO THE MIDLAND TERMINAL BUT NOT IN SUFFICIENT QUANTITY AND FREQUENCY TO PREVENT INTERNAL CORROSION GROWTH DUE TO INFREQUENT FLOW ON THIS TANK LINE. TANK 2551 LINE WAS REPLACED WITH NEW PIPING AND IS NOW BEING DIRECTLY BATCH TREATED WITH CORROSION INHIBITOR TO PREVENT INTERNAL CORROSION GROWTH AND PREVENT RECURRENCE.</t>
  </si>
  <si>
    <t>TX NGL COYANOSA TO PEGASUS JUNCTION</t>
  </si>
  <si>
    <t>S131</t>
  </si>
  <si>
    <t>CRANE</t>
  </si>
  <si>
    <t>155+232</t>
  </si>
  <si>
    <t>GATE</t>
  </si>
  <si>
    <t>713 -989-4464</t>
  </si>
  <si>
    <t>MANAGER REGULATORY COMPLIANCE</t>
  </si>
  <si>
    <t>ON JUNE 30, 2022, AT APPROXIMATELY 09:15 THERE WAS A RELEASE OF NATURAL GAS LIQUIDS (NGL) FOR THE S131 NGL COYANOSA TO PEGASUS JUNCTION LINE, A REGULATED INTRASTATE TRANSMISSION LINE LOCATED 14.6 MILES WEST OF CRANE, TX IN CRANE COUNTY.    CREWS EXCAVATED AND WERE ATTEMPTING TO REPLACE A 4 INCH CHECK VALVE CLAPPER AND CLOSED THE DOWNSTREAM 4 INCH GATE VALVE TO BLOCK OFF THE CHECK VALVE.  WHEN THE CREW BEGAN REMOVING THE CHECK VALVE TOP MAINTENANCE PLATE, NGL BEGAN TO ESCAPE FROM THE PLATE. CREW EVACUATED THE WORK AREA.  THE RELEASE OF NGL WAS DUE TO A LEAKING GATE VALVE DOWNSTREAM OF THE CHECK VALVE.    A NEW 4 INCH GATE VALVE AND 4 INCH CHECK VALVE WAS INSTALLED AND ON JULY 2 AT APPROXIMATELY 13:00 THE PIPELINE WAS PUT BACK IN SERVICE.    ON JULY 11, 2022 AT APPROXIMATELY 09:00, IT WAS DETERMINED THAT THE DAMAGE AND REPAIR ESTIMATE WAS GOING TO GO OVER THE $50,000.00 REPORTING CRITERIA.    TO PREVENT THIS RELEASE FROM OCCURRING IN THE FUTURE, OPERATIONS BOXED IN THE CHECK VALVE AND INSTALLED A 0.5 INCH NIPPLE AND VALVE ON THE CHECK VALVE MAINTENANCE PLATE TO ENSURE NO PRODUCT IS IN THE LINE.</t>
  </si>
  <si>
    <t>ABBEVILLE TO DENVER</t>
  </si>
  <si>
    <t>27001.02 ABBEVILLE TO DENVER 22-INCH</t>
  </si>
  <si>
    <t>TN</t>
  </si>
  <si>
    <t>CHESTER</t>
  </si>
  <si>
    <t>HORSE CREEK</t>
  </si>
  <si>
    <t>ON 6/29/22 AT 12:34, OPERATIONS RECEIVED A CALL INFORMING THAT A 2ND PARTY ROW MOWING CONTRACTOR HAD STRUCK THE 22-INCH ABBEVILLE TO DENVER PIPELINE WITH A SKID STEER WITH MOWER.  THE STRIKE CAUSED GOUGING DAMAGE AND A THROUGH WALL PENETRATION OF IN THE PIPE.  AT 12:35, THE CONTROL ROOM RESPONDED BY SHUTTING DOWN THE UPSTREAM PUMP AND BLOCKING IN THE LINE WITH MAINLINE VALVES UPSTREAM AT HORNSBY STATION AND DOWNSTREAM DENVER STATION.  AT 13:35 MAINLINE VALVE AT DENVER WAS OPENED AND DOWNSTREAM PUMPS WERE STARTED TO PULL PRODUCT AWAY FROM THE LEAK SITE.  AT 13:59 MAINLINE VALVE AT DENVER WAS CLOSED AGAIN.     APPROXIMATELY, 4800 BARRELS OF CRUDE OIL WAS RELEASED AND NEARBY HORSE CREEK WAS IMPACTED. COMPANY PERSONNEL AND OIL SPILL RESPONSE CONTRACTORS WERE MOBILIZED TO CONTAIN AND RECOVER RELEASED PRODUCT. COMPANY SET UP AN INCIDENT RESPONSE TEAM THAT WORKED WITH ALL FEDERAL AND STATE AGENCIES TO ENSURE RESPONSE, RECOVERY EFFORTS AND PIPELINE REPAIR AND RESTART WERE COMPLETED APPROPRIATELY.      ON 6/30/22 AT APPROXIMATELY 12:45, A PLIDCO MECHANICAL CLAMP WAS INSTALLED AND ON 7/1/22 AT 19:02, THE LINE WAS RESTARTED.    SUPPLEMENTAL REPORT:    PART G UPDATED TO OTHER OUTSIDE FORCE DAMAGE - IF DAMAGE BY CAR, TRUCK, OR OTHER MOTORIZED VEHICLE/EQUIPMENT NOT ENGAGED IN EXCAVATION. THE TYPE OF VEHICLE INVOLVED IN THE ACCIDENT WAS A CAT BRUSH CUTTER, MODEL BRX418 INDUSTRIAL. SINCE TYPE OF VEHICLE CANNOT BE LEFT BLANK, MOTORCYCLE/ATV WAS SELECTED AS THE BEST OPTION. 5MPH, MOTORCYCLE/ATV, OFF ROAD, 0 AND "NO" SELECTED FOR QUESTIONS 7 THROUGH 11 RESPECTIVELY AT THE RECOMMENDATION OF PHMSA AID TO MORE CLEARLY EXPLAIN ACCIDENTS OF THIS NATURE CAUSED BY ROW MOWING ACTIVITIES.</t>
  </si>
  <si>
    <t>ADVANTAGE DELIVERY LACT UNIT</t>
  </si>
  <si>
    <t>12-INCH PECOS CROSSING 1</t>
  </si>
  <si>
    <t>REEVES</t>
  </si>
  <si>
    <t>BUNA DIAPHRAGM</t>
  </si>
  <si>
    <t>HOLE IN DIAPHRAGM MATERIAL</t>
  </si>
  <si>
    <t>DIAPHRAGM</t>
  </si>
  <si>
    <t>DIAPHRAGM FAILED DUE TO NORMAL WEAR DURING OPERATIONS.</t>
  </si>
  <si>
    <t>ON 6/26/22 AT 07:21, HOUSTON CONTROL CENTER NOTIFIED AN OPERATION TECH ABOUT A RELEASE AT ADVANTAGE LACT UNIT DELIVERY. THE SYSTEM WAS SHUTDOWN AND OPERATIONS PERSONNEL DISPATCHED TO THE STATION.  AT 08:20, OPERATION TECH ARRIVED ON SITE AND CONFIRMED A RELEASE OF 3.8 BBLS ONTO THE GROUND FROM A SUMP OVERFILL.    THE CAUSE OF RELEASE WAS DETERMINED TO BE A FAILED DIAPHRAGM ON THE BACK PRESSURE VALVE AT THE LACT UNIT.  WHEN THE DIAPHRAGM FAILED IT CAUSED THE RELIEF SYSTEM TO ACTIVATE WHICH IS PIPED TO THE SUMP.  THE SUMP COULD NOT KEEP UP WITH THE VOLUME BEING RELIVED WHICH LED TO THE SUMP TO OVERFILL.      THE LACT UNIT WAS ISOLATED AND THE RUPTURED DIAPHRAGM ON THE BACK PRESSURE VALVE WAS REPLACED.  THE SUMP LEVEL ALARM WAS ALSO PROGRAMMED TO ALARM IN THE REMOTE CONTROL CENTER WHICH WILL ALLOW THE CONTROLLER TO TAKE APPROPRIATE ACTIONS TO EMPTY SUMP AND/OR SHUT DOWN INCOMING LACT UNITS IN ORDER TO PREVENT A REOCCURRENCE OF THE SAME OR SIMILAR EVENT TO THAT WHICH OCCURRED ON 6/26/22.       .</t>
  </si>
  <si>
    <t>PUMP AT EOLA WAS SHUTDOWN UPON INDICATION OF THE LEAK.</t>
  </si>
  <si>
    <t>KEPT PATH OPEN TO LET THE LINE DRAIN FROM THE LEAK SITE.</t>
  </si>
  <si>
    <t>EOLA TO MAYSVILLE 10-INCH</t>
  </si>
  <si>
    <t>25003 10-INCH EOLA TO MAYSVILLE</t>
  </si>
  <si>
    <t>API-5L</t>
  </si>
  <si>
    <t>CONTROLLER ACTIONS DID NOT CONTRIBUTE TO THIS EVENT.</t>
  </si>
  <si>
    <t>ON 6/24/22, THE CONTROL CENTER NOTED A OVER/SHORT LINE IMBALANCE ON THE EOLA-MAYSVILLE 10-INCH LINE. THE LINE WAS SHUT DOWN AND FIELD OPERATIONS ALERTED. AT 13:15, OPERATIONS PERSONNEL CONFIRMED A LEAK WITH A 20 FT. DIAMETER STAIN DIRECTLY OVER THE PIPELINE ROW. APPROXIMATELY 15 BARRELS OF CRUDE HAD BEEN RELEASED ONTO THE GROUND. CREWS WERE CALLED OUT FOR CLEANUP AND EXCAVATION. UPON EXCAVATION A VISUAL EXAMINATION REVEALED A PINHOLE. AT 19:40, A PLIDCO CLAMP WAS PLACED ON THE LEAK POINT. ALL FREE PRODUCT WAS PICKED UP AND ALL CONTAMINATED SOIL WAS REMOVED FOR OFF-SITE REMEDIATION.    A VOLUNTARY 20% PRESSURE REDUCTION WAS IMPLEMENTED AND THE LINE RETURNED TO SERVICE. SUBSEQUENTLY, THE LINE WAS IDLED WHILE ADDITIONAL VERIFICATION DIGS WERE COMPLETED.    THE FAILED SECTION OF PIPE ALONG WITH THE PLIDCO MECHANICAL CLAMP WAS CUT OUT ON JULY 29-30TH AND THE PIPE WAS THEN CUT OPEN TO IDENTIFY THE LEAK CAUSE.  UPON INVESTIGATION IT WAS DETERMINED THAT INTERNAL CORROSION WAS THE CAUSE FOR THE LEAK. A NEW SECTION OF PIPE WAS WELDED INTO PLACE.</t>
  </si>
  <si>
    <t>13212 SL10 10" LIMA TO COLUMBUS</t>
  </si>
  <si>
    <t>PAPER GASKET</t>
  </si>
  <si>
    <t>AGE RELATED DETERIORATION OF PAPER GASKET AT UNDERGROUND FLANGED CONNECTION.</t>
  </si>
  <si>
    <t>ON 6/14/2022 AT APPROXIMATELY 15:20, STATION OPERATOR REPORTED AN APPEARANCE OF GASOLINE THROUGHOUT THE YARD. THIS CORRESPONDED WITH A SHUTDOWN AS WELL AS A PRODUCT CHANGE. OPERATOR SHUTDOWN AND ISOLATED THE STATION. OSROS WERE DISPATCHED TO SUPPORT THE CLEAN-UP AND REPAIR EFFORTS.    AFTER EXCAVATION OF THE AREA AN UNDERGROUND FLANGED CONNECT WAS FOUND TO BE LEAKING DUE TO AN AGED PAPER GASKET FAILURE.  REPLACED PAPER GASKET WITH STANDARD GASKET.  THE LINE WAS STATIC PRESSURE TESTED TO ENSURE NO ADDITIONAL LEAKS WERE PRESENT AND ULTIMATELY RETURNED TO SERVICE.  CLEAN UP OF THE AFFECTED SOIL AND GRAVEL CONTINUED BY REMOVING ALL FROM THE STATION FOR PROPER DISPOSAL.  CLEAN SOIL AND GRAVEL WERE BROUGHT IN.</t>
  </si>
  <si>
    <t>LINE ISOLATED FROM MANIFOLD ALLOWING OPERATION WHILE REPAIR WAS ACCOMPLISHED.</t>
  </si>
  <si>
    <t>CENTRAL MANIFOLD</t>
  </si>
  <si>
    <t>COPPER</t>
  </si>
  <si>
    <t>COPPER RELIEF TUBING FROM THE UPPER PART OF THE VALVE UTILIZED TO MAINTAIN PRESSURE OFF OF VALVE BONNET.</t>
  </si>
  <si>
    <t>COPPER RELIEF TUBING FAILED DUE TO NORMAL WEAR DURING OPERATIONS.</t>
  </si>
  <si>
    <t>AT APPROXIMATELY 16:45 ON 6/5/22, A 1/4-INCH COPPER PRESSURE RELIEF LINE OFF OF A VALVE CRACKED RELEASING 4 BARRELS OF CRUDE OIL TO THE CENTRAL MANIFOLD AREA. THE LINE WAS ISOLATED AND THE ONSITE CLEANUP CREW WAS CALLED TO THE AREA. VACUUM TRUCKS WERE USED TO REMOVE ALL FREE PRODUCT.    THE COPPER PRESSURE RELIEF LINE FAILED AS A RESULT OF NORMAL WEAR FROM OPERATIONS. THE COPPER TUBING WAS REPLACED WITH STAINLESS STEEL TUBING. TO AID IN PREVENTION OF SIMILAR FUTURE OCCURRENCE, COPPER TUBING IN SIMILAR SERVICE WILL BE SYSTEMATICALLY REPLACED WITH STAINLESS STEEL TUBING.</t>
  </si>
  <si>
    <t>FACILITY TRANSFER LINE ISOLATED.</t>
  </si>
  <si>
    <t>STATION PIPING - 6-INCH TRANSFER LINE</t>
  </si>
  <si>
    <t>ON 6/2/2022, PIPELINE TECH WAS PERFORMING PM STATION CHECKS AND DISCOVERED A LEAK ON THE TRANSFER LINE NEAR TANK 14 SUCTION/FILL LINE. OPERATIONS PERSONNEL WERE ABLE TO ISOLATE THE LINE, STOPPING THE RELEASE AND TRANSFER THE PRODUCT OUT OF THE LINE. APPROXIMATELY 2 BARRELS OF CRUDE OIL WAS RELEASED AND ALL RELEASED MATERIAL WAS CONTAINED INSIDE THE CONCRETE CONTAINMENT AROUND THE TRANSFER HEADER.    A TEMPORARY CLAMP WAS INSTALLED TO CONTAIN THE RELEASE AND FOLLOWING THAT THE FAILED SECTION OF PIPE WAS REMOVED AND BLINDED OFF UNTIL REPAIRS CAN BE PERFORMED.     ALL PRODUCT HAS BEEN REMOVED FROM THE SURFACE OF THE CONCRETE CONTAINMENT VIA PRESSURE WASHING.</t>
  </si>
  <si>
    <t>HAYNESVILLE TO MAGNOLIA</t>
  </si>
  <si>
    <t>26002 - 8" HAYNESVILLE TO MAGNOLIA</t>
  </si>
  <si>
    <t>EMERSON</t>
  </si>
  <si>
    <t>COLUMBIA</t>
  </si>
  <si>
    <t>856+83</t>
  </si>
  <si>
    <t>FLASH WELDED</t>
  </si>
  <si>
    <t>COUNTY ROAD</t>
  </si>
  <si>
    <t>CONTRACTOR</t>
  </si>
  <si>
    <t>GRADER/SCRAPER</t>
  </si>
  <si>
    <t>ROAD WORK</t>
  </si>
  <si>
    <t>ON 6/1/2022 AT APPROXIMATELY 12:30, THIRD PARTY WAS DRESSING OUT DITCHES ON LOCATION ROAD AND STRUCK THE HAYNESVILLE TO MAGNOLIA 8-INCH PIPELINE. OPERATIONS SUPERVISOR NOTIFIED THE CONTROL CENTER TO IMMEDIATELY SHUT DOWN THE LINE. PIPE DAMAGE INCLUDES INWARD DENT 6-INCHES LONG AND 4-INCHES WIDE, ALONG WITH A 1-INCH DIAMETER PUNCTURED HOLE THAT ALLOWED APPROXIMATELY 8 BARRELS OF CRUDE WAS RELEASED. THE LINE WAS REPAIRED AND RETURNED TO SERVICE ON 6/4/2022 BY 18:58.     THIRD PARTY PERFORMING WORK WITHOUT PLACING A ONE CALL TICKET AND WITHOUT HAVING A REPRESENTATIVE ON SITE. SENDING FAILURE TO COMPLY LETTER.</t>
  </si>
  <si>
    <t>21066.02 - 24" JENNINGS TO ST MARTINVILLE</t>
  </si>
  <si>
    <t>BUNA-N</t>
  </si>
  <si>
    <t>ON 5/31/22 AT APPROXIMATELY 08:50, AN OPERATOR ARRIVED ONSITE TO DISCOVER 2 BARRELS OF CRUDE RELEASED FROM THE SCRAPER TRAP DOOR. THE TRAP WAS IMMEDIATELY ISOLATED AND CLEANUP CONTRACTORS WERE DISPATCHED TO REMOVE FREE PRODUCT AND CONTAMINATED SOIL. OPERATIONS ASSESSED THE TRAP DOOR AND THE INVESTIGATION DETERMINED THE RELEASE WAS CAUSED BY AN O-RING FAILURE. THE O-RING WAS REPLACED AND CLEANUP COMPLETED.</t>
  </si>
  <si>
    <t>TANK LINE SHUT DOWN.</t>
  </si>
  <si>
    <t>CENTRAL MANIFOLD TANK 1558 LINE</t>
  </si>
  <si>
    <t>GARLOCK GASKET</t>
  </si>
  <si>
    <t>FAILED GASKET DUE TO AGE AND YEARS OF SERVICE.</t>
  </si>
  <si>
    <t>AT APPROXIMATELY 20:35 ON 5/27/22, A CRUDE OIL RELEASE WAS IDENTIFIED AT THE CENTRAL MANIFOLD AREA INVOLVING THE 20-INCH TANK 1558 LINE. LOCAL CONTROL WAS IMMEDIATELY CONTACTED TO SHUT DOWN THE LINE.   APPROXIMATELY 2 BBLS OF CRUDE OIL WAS RELEASED. MANAGEMENT WAS THEN NOTIFIED, AND A VACUUM TRUCK AND A HYDRO-EXCAVATOR WERE DISPATCHED TO PICK UP ALL FREE PRODUCT AND CONTAMINATED SOIL.  NRC WAS NOTIFIED OUT OF AN ABUNDANCE OF CAUTION AND REPORT NO. 1337204 WAS ASSIGNED.  LATER IT WAS DETERMINED THAT IMMEDIATE NOTIFICATION FOR THIS ACCIDENT WAS NOT REQUIRED BY THE CRITERIA OF 195.52.    UPON EXCAVATION OF THE AREA A FLANGED PIPE CONNECTION WAS FOUND TO BE LEAKING DUE TO A GASKET FAILURE.  THE FAILED GASKET WAS REPLACED AND THE FLANGED CONNECTION RETORQUED.  THE PIPE SEGMENT WAS STATIC PRESSURE TESTED WITH THE AREA STILL EXCAVATED TO ENSURE NO FURTHER LEAKING WAS PRESENT.  AFTER THE STATIC TEST WAS COMPLETE THE AREA WAS BACKFILLED AND THE TANK LINE WAS RETURNED TO SERVICE.</t>
  </si>
  <si>
    <t>BAYOU BRIDGE PIPELINE</t>
  </si>
  <si>
    <t>21062 - 30" NEDERLAND TO LAKE CHARLES</t>
  </si>
  <si>
    <t>ORANGE</t>
  </si>
  <si>
    <t>SPIRAL WELDED</t>
  </si>
  <si>
    <t>STUPP</t>
  </si>
  <si>
    <t>BESSIE HEIGHTS MARSH</t>
  </si>
  <si>
    <t>PRESSURE-RELATED</t>
  </si>
  <si>
    <t>DELAYED HYDROGEN CRACKING FROM CONSTRUCTION WELDING PROCESS</t>
  </si>
  <si>
    <t>ON 5/3/22 AT 12:00 LOCAL OPERATIONS PERSONNEL WERE NOTIFIED BY A 3RD PARTY OF A CRUDE OIL ODOR IN THE BESSIE HEIGHTS MARSH AREA ALONG THE 30-INCH BAYOU BRIDGE PIPELINE.  LOCAL OPERATIONS MANAGEMENT WAS NOTIFIED ALONG WITH THE CONTROL CENTER AND THE LINE WAS SHUTDOWN AND PERSONNEL WERE DISPATCHED TO THE AREA TO INVESTIGATE.  AERIAL PATROL WAS ALSO CONTACTED AND REROUTED TO THE AREA.  PRESENCE OF CRUDE OIL WAS CONFIRMED IN THE AREA HOWEVER THE SOURCE WAS UNABLE TO BE DETERMINED AT THE TIME.  THE COMPANY NOTIFIED NRC AT 13:42 AND REPORT NO. 1335046.  OSROS WERE ALSO NOTIFIED AND DISPATCHED TO ASSIST WITH CLEANUP.  OVER THE FOLLOWING TWO DAYS ADDITIONAL RESOURCES WERE DISPATCHED TO THE LOCATION TO ASSIST WITH IDENTIFYING THE LEAK LOCATION AND PERFORM EXCAVATION.  THE PIPELINE WAS PURGED AND FILLED WITH NITROGEN BETWEEN PT. NECHES AND MLV 1 TO ASSIST IN DETERMINING LEAK LOCATION.  FAILURE LOCATION WAS POSITIVELY IDENTIFIED AT APPROXIMATELY 14:50 ON 5/5/22.  A TOTAL OF 11BBLS OF CRUDE OIL WAS RELEASED AND RECOVERED.  AT 15:01 ON 5/5/22 A 48HR NRC UPDATE REPORT WAS FILED (NO. 1335246).  THE FAILED SECTION OF PIPE WAS EXCAVATED, CUT OUT AND REPLACED AND THE PIPELINE WAS RETURNED TO SERVICE ON 5/11/22.  THE FAILED SECTION OF PIPE WAS PRESERVED AND SENT TO A 3RD PARTY LABORATORY FOR ANALYSIS TO DETERMINE FAILURE MECHANISM.  UPON RECEIPT OF LABORATORY REPORT A SUPPLEMENTAL 7000.1 REPORT WILL BE FILED.    SUPPLEMENTAL -  METALLURGICAL ANALYSIS DETERMINED THAT THE FAILURE COINCIDED WITH A CRACK-LIKE INDICATION ACROSS THE GIRTH WELD COINCIDING WITH AN AREA OF REDUCED WELD REINFORCEMENT (SUCH AS A START/STOP).  AN EXTERNAL SURFACE BREAKING ORIGIN FEATURE WAS IDENTIFIED WHICH THEN GREW THROUGH WALL AND INTO THE ADJACENT UPSTREAM AND DOWNSTREAM PIPE VIA FATIGUE.  THE PRESENCE OF STEPWISE CRACKING ADJACENT TO THE EXTERNAL BREAKING INDICATION AND HIGHER HARDNESS AT THE EXTERNAL SURFACE SUPPORT THE LIKELIHOOD THAT THE ORIGIN FEATURE WAS THE RESULT OF HYDROGEN CRACKING.       CIRCUMFERENTIAL ULTRASONIC CRACK ILI TOOL WAS RUN POST FAILURE TO ENSURE THE CRACKING ASSOCIATED WITH THE FAILURE WAS NOT A SYSTEMIC ISSUE.  NO ADDITIONAL SIMILAR FEATURES WERE DISCOVERED.    SUPPLEMENTAL REPORT:  UPDATED LOCAL TIME OPERATOR IDENTIFIED FAILURE.</t>
  </si>
  <si>
    <t>TANK LINE BLEEDER VALVE WAS CLOSED</t>
  </si>
  <si>
    <t>CENTRAL MANIFOLD TANK 1587 LINE</t>
  </si>
  <si>
    <t>TANK LINE BLEEDER VALVE LEFT IN OPEN POSITION.</t>
  </si>
  <si>
    <t>COMMISSIONING</t>
  </si>
  <si>
    <t>AT APPROXIMATELY 1430 ON 4/27/22, A CRUDE OIL RELEASE WAS IDENTIFIED AT THE CENTRAL MANIFOLD SUMP AS A RESULT OF TANK 1587 LINE BLEEDER VALVE BEING LEFT IN THE OPEN POSITION WHICH ALLOWED CRUDE OIL TO OVERFLOW A SUMP TANK DURING COMMISSIONING ACTIVITIES FOR A NEW PUMP. THE PROCESS WAS IMMEDIATELY SHUT DOWN AND THE BLEEDER VALVE CLOSED. APPROXIMATELY 100 BBLS OF CRUDE OIL WAS RELEASED. MANAGEMENT WAS NOTIFIED AND VACUUM TRUCKS WERE DISPATCHED TO PICKUP ALL FREE PRODUCT. ALL CONTAMINATED SOIL AND WATER USED FOR CLEANING WAS COLLECTED AND DISPOSED OF PROPERLY. THE EMPLOYEE FOUND RESPONSIBLE FOR LEAVING THE VALVE OPEN WAS SENT FOR DRUG AND ALCOHOL TESTING WITH BOTH TESTS NEGATIVE.  NRC WAS NOTIFIED AS A PRECAUTION IN CASE TOTAL COSTS WERE TO EXCEED $50,000.</t>
  </si>
  <si>
    <t>ALLOW LINE TO DRAIN INTO THE DELIVERY AT A LOWER ELEVATION AND AWAY FROM LEAK POINT.</t>
  </si>
  <si>
    <t>ERIKA PERRY</t>
  </si>
  <si>
    <t>SPECIALIST - REGULATORY COMPLIANCE</t>
  </si>
  <si>
    <t>erika.perry@energytransfer.com</t>
  </si>
  <si>
    <t>713-989-4339</t>
  </si>
  <si>
    <t>ON 4/22/22 AT APPROXIMATELY 07:28, THE CONTROL CENTER NOTIFIED FIELD OPERATIONS OF A POTENTIAL ISSUE ON THE EOLA TO MAYSVILLE 10-INCH PIPELINE DUE TO A SHORTAGE DISCOVERED BY LINE BALANCE CALCULATIONS. THE LINE WAS SHUT DOWN AND ISOLATED. THE LEAK WAS LOCATED AND CONFIRMED BY AERIAL AND GROUND PATROL AT APPROXIMATELY 08:41. APPROXIMATELY 15 BBLS OF CRUDE OIL WAS RELEASED. ALL FREE PRODUCT WAS RECOVERED, AND CONTAMINATED SOIL WAS REMOVED FOR REMEDIATION.    UPON EXCAVATION A VISUAL EXAMINATION REVEALED A PINHOLE LEAK AT THE 6 O'CLOCK POSITION. A PLIDCO MECHANICAL CLAMP WAS INSTALLED AND THE LINE WAS RESTARTED.    THE FAILED SECTION OF PIPE ALONG WITH THE PLIDCO MECHANICAL CLAMP WAS CUT OUT ON JULY 29-30TH AND THE PIPE WAS THEN CUT OPEN TO IDENTIFY THE LEAK CAUSE. UPON INVESTIGATION IT WAS DETERMINED THAT INTERNAL CORROSION WAS THE CAUSE FOR THE LEAK. A NEW SECTION OF PIPE WAS WELDED INTO PLACE.</t>
  </si>
  <si>
    <t>LEAK WAS DUE TO A TANK MIXER SEAL. PRODUCT IN TANK TRANSFERRED TO ANOTHER TANK.</t>
  </si>
  <si>
    <t>TANK 1562</t>
  </si>
  <si>
    <t>THE LEAK FOR THIS RELEASE DID NOT INVOLVE CONTROL CENTER OPERATIONS</t>
  </si>
  <si>
    <t>TANK MIXER SHAFT SEAL</t>
  </si>
  <si>
    <t>GARRET RAY</t>
  </si>
  <si>
    <t>WHILE PERFORMING ROUTINE SITE INSPECTIONS AT APPROXIMATELY 06:00 PERSONNEL HEARD A SQUEALING NOISE COMING FROM THE "A" MIXER ON TANK 1562. BEFORE THE MIXER COULD BE TURNED OFF, THE SQUEALING STOPPED, AND THE MIXER SHAFT SEAL FAILED ALLOWING CRUDE OIL TO BE RELEASED TO THE GROUND.  APPROXIMATELY 0.5 BBLS OF CRUDE OIL WAS RELEASED. SUPERVISION WAS NOTIFIED. OPERATIONS BEGAN TRANSFERRING THE CRUDE OIL IN TANK 1562 TO ANOTHER TANK.  A VACUUM TRUCK WAS DISPATCHED TO COLLECT THE OIL FROM THE CONTAINMENT AREA AND CONTAMINATED SOIL WAS REMOVED FOR ON-SITE REMEDIATION. INVESTIGATION REVEALED POSSIBLE SLIGHT MIXER SHAFT MISALIGNMENT CAUSED THE SEAL FAILURE.  IT WAS DETERMINED HOWEVER THAT THE "A" MIXER WAS REDUNDANT AND NO LONGER NEEDED AND WAS REMOVED FROM THE TANK.  THE SEAL WAS REPLACED AND MIXER PORT BLINDED OFF.</t>
  </si>
  <si>
    <t>13201 CEDAR POINT TO FOSTORIA (TR-10)</t>
  </si>
  <si>
    <t>PERRYSBURG</t>
  </si>
  <si>
    <t>X 46</t>
  </si>
  <si>
    <t>JONES &amp; LAUGHLIN</t>
  </si>
  <si>
    <t>34-A-FLOYD BROUGH DITCH</t>
  </si>
  <si>
    <t>ON THE AFTERNOON OF 4/12/2022, WHILE MAKING A CHANGE OF PRODUCT FROM GASOLINE TO DIESEL ON THE 13201 CEDAR POINT TO FOSTORIA (TR-10) PIPELINE, THE PIPELINE CONTROLLER EXPERIENCED A PUMP/PRESSURE IMBALANCE BELIEVED TO BE DUE TO THE CHANGE OF PRODUCT.  UPON FURTHER REVIEW, A LEAK DETECTION SYSTEM ALERT ALSO REGISTERED. THE PIPELINE CONTROLLER TOOK ACTIONS TO SHUT DOWN THE PIPELINE AND NOTIFIED LOCAL EMERGENCY RESPONDERS.  INITIAL ISOLATION OF THE SEGMENT WAS MADE BY CONTROL CENTER CLOSING REMOTELY CONTROLLED VALVES AT CEDAR POINT AND FOSTORIA IMMEDIATELY FOLLOWING SHUTDOWN.   NOTIFICATIONS WERE MADE TO INTERNAL CONTROL CENTER AND FIELD OPERATIONS PERSONNEL.  FIELD PERSONNEL FURTHER ISOLATED THE SEGMENT BY CLOSING UPSTREAM AND DOWNSTREAM MANUAL VALVES AT COLLIN AND RECKER ROADS AT 15:45 AND 16:18 RESPECTIVELY.  CONFIRMED FIELD DISCOVERY OF A GASOLINE RELEASE WAS VERIFIED BY OPERATIONS PERSONNEL AT 17:10 EASTERN TIME. CONTROL CENTER PERSONNEL  FIELD OPERATIONS ACTIVATED OSRO, AND DETAILS WERE COMPILED FOR NRC, PHMSA AND OHIO EPA NOTIFICATIONS WHICH WERE MADE PROMPTLY AFTER THE INITIAL CONFIRMED DISCOVERY. FIELD PERSONNEL AND OSROS WORKED TO RECOVER PRODUCT RELEASED.    PHMSA, OHIO EPA AND FEDERAL EPA MADE SITE VISITS TO ASSESS THE RELEASE AND RESPONSE. A REPAIR PLAN WAS DEVELOPED, REVIEWED WITH PHMSA AND IMPLEMENTED TO REPAIR THE DAMAGED SECTION. A RETURN TO SERVICE/RESTART PLAN WAS DEVELOPED, REVIEWED WITH PHMSA AND IMPLEMENTED. THE LINE WAS RETURNED TO SERVICE ON 4/17/2022.      FAILED SECTION OF PIPE WAS CUT OUT AND REPLACED.  THE FAILED SECTION WAS PRESERVED AND SHIPPED TO A 3RD PARTY LABORATORY FOR ANALYSIS TO DETERMINE FAILURE MECHANISM.  SUPPLEMENTAL REPORT WILL BE FILED WHEN ANALYSIS HAS BEEN COMPLETED.    SUPPLEMENTAL/FINAL UPDATE - RESULTS OF THE METALLURGICAL ANALYSIS INDICATED THAT THE RUPTURE INITIATED AT AN AREA OF EXTERNAL CORROSION APPROXIMATELY 12 INCHES LONG LOCATED BETWEEN THE 3 O'CLOCK AND 6 O'CLOCK ORIENTATION.  THE DEEPEST PORTION APPEARED TO BE LOCATED IN AN AREA APPROXIMATELY 1 INCH LONG WITH A REMAINING THICKNESS OF 0.017 INCHES.  THE WALLS OF THE EXTERNAL CORROSION WERE MAINLY GRADUALLY SLOPED BUT STEEPER AT THE ORIGIN WITH EVIDENCE OF UNDERCUTTING, INDICATING A LOCALIZED AGGRESSIVE ENVIRONMENT.  THERE WAS NO EVIDENCE OF PRE EXISTING MILL FLAWS OR CRACKING THAT CONTRIBUTED TO THE FAILURE.</t>
  </si>
  <si>
    <t>LINE V-6</t>
  </si>
  <si>
    <t>V-3 TO TUTTLE TERMINAL</t>
  </si>
  <si>
    <t>TUTTLE</t>
  </si>
  <si>
    <t>TATA</t>
  </si>
  <si>
    <t>ON APRIL 8TH, 2022 AT 18:35 ENABLE GAS GATHERING LINE V-6 EXPERIENCED A LEAK IN GRADY COUNTY OKLAHOMA. THE LEAKING CRUDE OIL MIGRATED TO A NEARBY DRAINAGE DITCH WHICH LEADS TO A POND WHERE IT WAS DISCOVERED BY THIRD PARTY FLAGGING CREW. OPS PERSONNEL WERE ABLE TO CONFIRM THE LEAK WAS ON LINE V-6. THE UPSTREAM AND DOWNSTREAM VALVES WERE CLOSED AND THE SECTION OF LINE WAS ISOLATED. ALL OIL WAS CONTAINED AND SPILL CONTRACTORS WERE CONTACTED AND ASSEMBLED ONSITE TO BEGIN REMEDIATION.     THE NRC WAS NOTIFIED ON 4/8/2022 (NRC # 1333087). A 48-HR FOLLOW UP CALL WAS PROVIDED TO THE NRC ON 4/10/2022 (NRC # 1333199).    THE PIPELINE WAS RESTARTED ON 05/11/2022 08:10 WITH A 20% PRESSURE REDUCTION. THE PIPE WAS CUT OUT AND REPLACED.  EXAMINATION CONFIRMED THE FAILURE WAS CONFIRMED TO BE DUE TO INTERNAL CORROSION. THE COMPANY HAS IMPLEMENTED ADDITIONAL CLEANING PIG TOOL RUNS AND TREATMENT OF THE LINE WITH A CORROSION INHIBITOR AND BIOCIDE.</t>
  </si>
  <si>
    <t>PUMP SHUTDOWN</t>
  </si>
  <si>
    <t>BROOKE 12-INCH MAIN LINE VALVE #1</t>
  </si>
  <si>
    <t>S506 HALLEY TO PEGASUS 12</t>
  </si>
  <si>
    <t>828+82.9</t>
  </si>
  <si>
    <t>BALL</t>
  </si>
  <si>
    <t>CAMERON</t>
  </si>
  <si>
    <t>DEBRIS IN THE VALVE BODY</t>
  </si>
  <si>
    <t>ON APRIL 6TH AT APPROXIMATELY 15:00, A PIPELINE TECHNICIAN WAS PERFORMING ROUTINE SITE INSPECTION AND NOTED A RELEASE COMING FROM THE VALVE BODY DRAIN PORT ON 12-INCH MAINLINE VALVE #1. THE CONTROL CENTER WAS IMMEDIATELY NOTIFIED AND SUBSEQUENTLY SHUT DOWN THE UPSTREAM PUMP AT BROOKE STATION AND CLOSED MLV #1 WHICH STOPPED THE RELEASE.  APPROXIMATELY 29 GALLONS OF CRUDE WAS RELEASED TO THE GROUND INSIDE THE VALVE SITE AREA.  ALL FREE PRODUCT WAS RECOVERED AND CONTAMINATED SOIL REMOVED.    UPON INVESTIGATION IT WAS DETERMINED THAT THE VALVE BODY BLEED PORT SEAL HAD FAILED DUE TO DEBRIS IN THE SEAL.  THE DRAIN PORT WAS REPLACED WITH A PIPE NIPPLE AND A VALVE.  THE VALVE IS PLUGGED WHEN NOT IN USE.  SIMILAR APPURTENANCES ARE BEING INSPECTED AND REPLACED AS NEEDED.</t>
  </si>
  <si>
    <t>WEST TEXAS GULF - COLORADO CITY TO WORTHAM 23010</t>
  </si>
  <si>
    <t>BLUM</t>
  </si>
  <si>
    <t>STAINLESS STEEL TUBING</t>
  </si>
  <si>
    <t>THIRD PARTY CONTRACTOR HYDRO VACUUM BOOM OPERATOR STRUCK AND DAMAGED STAINLESS STEEL TUBING WHILE WORKING INSIDE THE FACILITY.  THE VACUUM RIG WAS STATIONARY AND ONLY THE BOOM CONTACTED THE PIPELINE SYSTEM.</t>
  </si>
  <si>
    <t>AT APPROXIMATELY 11;30 ON MARCH 3, 2022, A HYDRO VACUUM SUB-CONTRACTORS SUCTION BOOM STRUCK STAINLESS STEEL TUBING ON THE THERMAL RELIEF APPURTENANCE TO THE WTG SURGE RELIEF VALVE AT BLUM STATION CAUSING THE APPURTENANCE TO RELEASE PRODUCT.  THE HYDRO VACUUM RIG WAS STATIONARY AT THE TIME OF CONTACT.  THE VACUUM BOOM ONLY STRUCK THE STAINLESS STEEL TUBING.  THE SUB-CONTRACTOR AND PRIMARY CONTRACTOR IMMEDIATELY CLEARED THE AREA AND NOTIFIED COMPANY PERSONNEL. THE LINE WAS SHUTDOWN AT APPROXIMATELY 11:42 AND THE RELIEF LINE ISOLATED. COMPANY PERSONNEL THEN MADE ADDITIONAL SUPERVISOR AND REGULATORY NOTIFICATIONS AND ENSURED THE WORK AREA TO BE SAFE. ADDITIONAL PERSONNEL WERE DEPLOYED TO MAKE REPAIRS WHILE CLEANUP/REMEDIATION ACTIVITIES COMMENCED.  THE TUBING WAS REPAIRED AND THE PIPELINE WAS RESTARTED AT 14:33 ON MARCH 3, 2022.    A SAFETY STAND-DOWN WAS CONDUCTED AS SOON AS PRACTICABLE WITH ALL PERSONNEL ONSITE PRIOR TO WORK RESUMING.</t>
  </si>
  <si>
    <t>PIPE NIPPLE</t>
  </si>
  <si>
    <t>AT APPROXIMATELY 07:00 ON 3/2/22, COMPANY PERSONNEL ARRIVED AT THE WTG BLUM STATION.  UPON CONDUCTING THE INITIAL STATION CHECK THE PERSONNEL NOTED THAT THE 10-INCH VALVE ON THE SURGE RELIEF SYSTEM WAS LEAKING FROM THE NIPPLE ON THE BODY DRAIN VALVE.  IMMEDIATE NOTIFICATION WAS MADE TO THE CONTROL CENTER AND THE PIPELINE WAS SHUT DOWN AT APPROXIMATELY 0723.    MANAGEMENT NOTIFICATIONS WERE ALSO MADE AND A VACUUM TRUCK WAS DISPATCHED TO THE FACILITY ALONG WITH ADDITIONAL PERSONNEL TO ASSIST IN THE CLEANUP AND REPAIR.    ONCE THE PIPELINE WAS CONFIRMED TO BE SHUTDOWN, THE VALVES AT THE BLUM STATION FACILITY WERE CLOSED. A COMPANY MECHANICAL TECHNICIAN ARRIVED AND REPLACED THE 1/2-INCH NIPPLE ON THE BODY DRAIN VALVE.  IT WAS IDENTIFIED THAT THE DAMAGED NIPPLE HAD A CRACK IN THE THREADED AREA.  AFTER THE NIPPLE WAS REPAIRED, THE VALVES WERE RETURNED TO NORMAL OPERATING CONFIGURATION AND THE PIPELINE WAS RESTARTED AT 10:02 ON 3/2/22.</t>
  </si>
  <si>
    <t>WEST TEXAS GULF PIPELINE</t>
  </si>
  <si>
    <t>21002.02 TRINITY TO WORTHAM 26-INCH</t>
  </si>
  <si>
    <t>CENTERVILLE</t>
  </si>
  <si>
    <t>LEON</t>
  </si>
  <si>
    <t>7742+89</t>
  </si>
  <si>
    <t>5.5" EXT. CORROSION SEPARATION</t>
  </si>
  <si>
    <t>PINE CREEK</t>
  </si>
  <si>
    <t>ON 2/27/22 AT 13:44 A LANDOWNER CALLED THE WEST TEXAS GULF PIPELINE EMERGENCY NUMBER TO NOTIFY THE COMPANY OF A SUSPECTED RELEASE OF CRUDE OIL IN THE CENTERVILLE, TX AREA.  THE CONTROL CENTER RECEIVED THE CALL, BEGAN THE SHUTDOWN PROCESS OF THE PIPELINE AND NOTIFIED LOCAL OPERATIONS MANAGEMENT.  OPERATIONS PERSONNEL WERE DISPATCHED TO THE LOCATION AND CONFIRMED THE RELEASE AT APPROXIMATELY 15:55.  ON SITE PERSONNEL DISCOVERED THE CRUDE OIL HAD MIGRATED INTO PINE CREEK.  BOOM WAS PLACED AT THE CROSSING OF HIGHWAY 7 AND PINE CREEK TO PREVENT FURTHER MIGRATION AND AN OSRO AND REPAIR CONTRACT CREWS WERE DISPATCHED TO THE SITE.  PIPELINE CONTROL INITIALLY CLOSED THE REMOTELY CONTROLLED DOWNSTREAM VALVE AT TRINITY STATION BUT AFTER THE MANUAL VALVE UPSTREAM WAS CLOSED THE CONTROL CENTER OPENED THE VALVE AT TRINITY STATION TO PULL PRODUCT AWAY FROM THE AFFECTED SEGMENT.      NRC WAS NOTIFIED AND A FOLLOW UP CALL TO PHMSA AID WAS ALSO MADE.  ONCE RELEASE POINT WAS ACCESSED BY EQUIPMENT THE AREA WAS EXCAVATED.  INITIAL VISUAL OBSERVATION OF THE FAILURE DETERMINED EXTERNAL CORROSION TO BE THE PRELIMINARY CAUSE.  A PLIDCO MECHANICAL CLAMP WAS APPLIED TO THE FAILURE.  CLEAN UP AND OTHER REMEDIAL MEASURES CONTINUED.  THE PIPELINE WAS RESTARTED ON MARCH 2, 2022.      THE COMPANY IS CURRENTLY PLANNING A NEAR TERM ILI ASSESSMENT OF THE WORTHAM TO TRINITY SEGMENT.  THE FAILED SECTION WILL BE CUT OUT AND REPLACED DURING THE ILI ASSESSMENT RESPONSE AND SENT TO A 3RD PARTY LABORATORY FOR METALLURGICAL ANALYSIS TO CONFIRM CAUSE OF FAILURE.  A SUPPLEMENTAL ACCIDENT REPORT WILL BE FILED.    SUPPLEMENTAL - THE FAILED SECTION OF PIPE WAS CUT OUT AND REPLACED.  THE FAILED SECTION WAS SENT TO A 3RD PARTY LABORATORY FOR METALLURGICAL ANALYSIS.  THE ANALYSIS DETERMINED THAT THE FAILURE OCCURRED IN A REGION OF EXTERNAL CORROSION WITH THE LEAK PRESENT ALONG THE DEEPEST PORTION OF THE CORROSION AND MEASURING APPROXIMATELY 5.5 INCHES LONG.  THE FAILURE WAS DUE TO DUCTILE OVERLOAD WITHIN THE REGION OF EXTERNAL CORROSION.  SUBSEQUENT TO THE FAILURE AN MFL-C ILI WAS COMPLETED IN 2022.</t>
  </si>
  <si>
    <t>349+62</t>
  </si>
  <si>
    <t>ON FEBRUARY 20TH, 2022 AT 15:45 ENABLE GAS GATHERING  LINE V-6 EXPERIENCED A LEAK IN GRADY COUNTY OKLAHOMA. THE LEAKING CRUDE OIL MIGRATED TO A NEARBY POND WHERE IT WAS DISCOVERED BY THE LANDOWNER. THE LANDOWNER NOTIFIED EGG SYSTEM CONTROL AND OPERATIONS PERSONNEL WERE DISPATCHED. OPS PERSONNEL WERE ABLE TO CONFIRM THE LEAK WAS ON LINE V-6. THE UPSTREAM AND DOWNSTREAM VALVES WERE CLOSED AND THE SECTION OF LINE WAS ISOLATED. ALL OIL WAS CONTAINED AND SPILL CONTRACTORS WERE CONTACTED AND ASSEMBLED ONSITE TO BEGIN REMEDIATION.     THE PIPELINE WAS REPAIRED WITH A PLIDCO CLAMP ON 2/21/22 AND PLACED BACK INTO SERVICE ON 2/22/22.     THE NRC WAS NOTIFIED ON 2/20/2022 (NRC # 1329326). A 48-HR FOLLOW UP CALL WAS PROVIDED TO THE NRC ON 2/22/2022 (NRC # 1329476).    THE PIPE WAS CUT OUT AND REPLACED.  EXAMINATION CONFIRMED THE FAILURE WAS DUE TO INTERNAL CORROSION. THE COMPANY HAS IMPLEMENTED ADDITIONAL CLEANING PIG TOOL RUNS AND WILL BEGIN TREATING THE LINE WITH A CORROSION INHIBITOR AND BIOCIDE.</t>
  </si>
  <si>
    <t>ROSE ROCK MIDSTREAM OPERATING, LLC</t>
  </si>
  <si>
    <t>TANK WAS IDLE AT THE TIME OF THE RELEASE AND THEN ISOLATED FROM THE SYSTEM.</t>
  </si>
  <si>
    <t>CUSHING TERMINAL</t>
  </si>
  <si>
    <t>TANK 3501</t>
  </si>
  <si>
    <t>LUBRICANT APPLIED TO GASKET CAUSED DETERIORATED OVER TIME.</t>
  </si>
  <si>
    <t>ON SATURDAY FEBRUARY 12TH AT 05:45, A PIPELINE TECHNICIAN PERFORMING ROUTINE STATION CHECK NOTICED A STRONG SMELL OF CRUDE OIL NEAR TANK 3501. THE TECHNICIAN IMMEDIATELY INVESTIGATED AND NOTICED A CRUDE OIL AND WATER MIX FLOWING FROM THE ROOF DRAIN. THE TECHNICIAN IMMEDIATELY CLOSED THE ROOF DRAIN VALVE WHICH STOPPED THE FLOW OF OIL AND WATER MIXTURE.  THE ENTIRE RELEASE WAS CONTAINED TO THE DIKE AREA.  THE TECHNICIAN MADE APPROPRIATE NOTIFICATIONS AND INITIATED REMEDIAL ACTIVITIES.  ALL FREE PRODUCT WAS COLLECTED, DECANTED AND RETURNED TO TANKAGE; THE DIKE AREA SOIL WAS COLLECTED AND IS BEING REMEDIATED.  CLEAN FILL WAS BROUGHT IN.    FOLLOWING RELEASE CONTAINMENT AND REMEDIAL ACTIVITIES THE REMAINING PRODUCT IN TANK 3501 WAS PUMPED TO ANOTHER TANK SO TANK 3501 COULD BE FULLY ISOLATED AND AN INVESTIGATION INTO THE CAUSE CAN BE PERFORMED.    THE CAUSE OF THE ROOF DRAIN FAILURE WAS ATTRIBUTED TO A PAPER GASKET FAILURE IN THE FLANGED CONNECTION OF THE ROOF DRAIN SYSTEM. THE INVESTIGATION OF THE INCIDENT CONCLUDED THAT A LUBRICANT APPLIED DIRECTLY TO THE PAPER GASKET CAUSED DETERIORATION OVER TIME AND THUS CAUSE THE LEAK. A CHANGE TO FLEX METALLIC GASKET WAS MADE TO PREVENT THIS TYPE OF FAILURE FROM OCCURRING AGAIN.</t>
  </si>
  <si>
    <t>PROPANE</t>
  </si>
  <si>
    <t>MOUNT UNION FACILITY</t>
  </si>
  <si>
    <t>SHIRLEYSBURG</t>
  </si>
  <si>
    <t>HUNTINGDON</t>
  </si>
  <si>
    <t>8081+49.7</t>
  </si>
  <si>
    <t>BOTH CIRCUMFERENTIAL AND LONGITUDINAL</t>
  </si>
  <si>
    <t>3RD PARTY  FAILURE ANALYSIS, LAB SERVICES, ON-SITE NDE</t>
  </si>
  <si>
    <t>ALBERT KRAVATZ</t>
  </si>
  <si>
    <t>ENGINEERING PROFESSIONAL</t>
  </si>
  <si>
    <t>albert.kravatz@energytransfer.com</t>
  </si>
  <si>
    <t>610-859-5755</t>
  </si>
  <si>
    <t>ON THE AFTERNOON ON 2/11/2022 THE CONTROL CENTER RECEIVED A CALL FROM A 3RD PARTY REPORTING AN EVENT AT THE MOUNT UNION FACILITY. THE LINE WAS NOT OPERATING AT THE TIME AND WAS UNDER STATIC CONDITION. ALTHOUGH THERE WAS NO INDICATION OF A PRODUCT RELEASE ON THE LEAK DETECTION OR SCADA SYSTEMS, CONTROL CENTER PERSONNEL TOOK IMMEDIATE STEPS TO ISOLATE THE STATION AND THEN DRAW PRESSURE AWAY FROM THE DOWNSTREAM SIDE OF THE MOUNT UNION FACILITY. INTERNAL NOTIFICATIONS WERE MADE TO DISPATCH COMPANY AND OSRO PERSONNEL TO THE SITE.    WHEN COMPANY PERSONNEL ARRIVED ON SITE IT WAS DISCOVERED THAT THE LAUNCHER ASSOCIATED WITH THE 20-INCH HVL LINE HAD RUPTURED AND HAD RELEASED AN ESTIMATED 13.8 BARRELS OF PROPANE TO ATMOSPHERE. NRC REPORT NO. 1328740 WAS MADE AFTER CONFIRMED DISCOVERY WAS ESTABLISHED.    THE FAILED LAUNCHER BARREL WAS ISOLATED FROM THE MAIN LINE AND THE FACILITY PIPING WAS FULLY ISOLATED AND MADE SAFE FOR FURTHER INVESTIGATION AND WORK TO ASSESS THE SITE AND INVESTIGATE THE FAILURE.  AFTER ALL PIPING HAD BEEN INSPECTED AND IN CONJUNCTION WITH RESPONDING REGULATORY AGENCIES (PHMSA AND PA PUC) THE PIPELINE SYSTEM WAS RESTARTED ON 2/13/2022 AT 13:32.     NOTE: THE SCADA SYSTEM SHOWED THE LINE PRESSURE AS 658PSI. AND THE LEAK DETECTION SYSTEM DID NOT INDICATE A LEAK ON THE MAIN LINE. THE LAUNCHER ASSEMBLY WHICH FAILED WAS ISOLATED FROM THE MAIN LINE AND WAS NOT CONFIGURED WITH A PRESSURE INDICATING DEVICE. ENGINEERING CALCULATED AN ESTIMATED PRESSURE OF 2136 PSI COULD HAVE OCCURRED BASED ON ASSUMPTIONS THE LAUNCHER WAS LIQUID FULL WITH PROPANE AND TAKING INTO ACCOUNT THE TEMPERATURE RISE. THE LAUNCHER WAS EQUIPPED WITH A THERMAL RELIEF VALVE.        ROOT CAUSE INVESTIGATION DETERMINED THAT DURING PRIOR MAINTENANCE, PRODUCT WAS INTRODUCED TO THE LAUNCHER AND NOT PURGED AFTER THE MAINTENANCE ACTIVITY.  ADDITIONALLY, THE ISOLATION VALVE FOR THE PRESSURE SAFETY VALVE (PSV) ON THE LAUNCHER WAS LEFT IN THE CLOSED POSITION AFTER PRIOR MAINTENANCE THEREBY NOT ALLOWING THE PSV TO FUNCTION CORRECTLY AND LEADING TO THE OVERPRESSURE AND FAILURE OF THE LAUNCHER.  THIRD PARTY EXAMINATION OF THE PSV DETERMINED THAT IT WAS FUNCTIONING PROPERLY.  THIRD PARTY METALLURGICAL EXAMINATION OF THE FAILED PIPING DETERMINED THAT ALL MATERIAL PROPERTIES WERE COMPLIANT WITH API 5L SPECIFICATIONS AND THAT THERE WERE NO FEATURES THAT WOULD HAVE LED TO A FAILURE PRESSURE LOWER THAN DESIGN.</t>
  </si>
  <si>
    <t>LYONS STATION</t>
  </si>
  <si>
    <t>STATION PIPING</t>
  </si>
  <si>
    <t>LYONS</t>
  </si>
  <si>
    <t>RICE</t>
  </si>
  <si>
    <t>RUBBER SEAL</t>
  </si>
  <si>
    <t>A REVIEW OF THE EVENT DETERMINED THERE WERE NO CONTROL ROOM ACTIONS THAT CONTRIBUTED TO THE ACCIDENT.</t>
  </si>
  <si>
    <t>DETERIORATION</t>
  </si>
  <si>
    <t>AT 8AM ON THURSDAY, FEBRUARY 10TH, THE STATION OPERATOR ARRIVED AT THE LYONS STATION AND AS HE ENTERED THE FACILITY, HE NOTICED CRUDE OIL ON THE GROUND BY THE METER SAMPLER. THE STATION OPERATOR CALLED THE CONTROL CENTER TO SHUT DOWN THE STATION PUMPS. UPON INVESTIGATING THE SCENE, THE STATION OPERATOR WAS ABLE TO CLOSE A 1/2-INCH BALL VALVE GOING TO THE SAMPLE SOLENOID, WHICH STOPPED THE LEAK. AFTER THE LEAK WAS ISOLATED AND CONTAINED, REMEDIATION EFFORTS SOON COMMENCED WITH ALL CRUDE OIL CONTAMINATED SOIL COLLECTED IN 55GAL DRUMS AND SENT FOR DISPOSAL.     DURING THE INVESTIGATION OF THE SAMPLER UNIT, IT WAS DETERMINED THAT AN O-RING HAD FAILED CAUSING CRUDE OIL TO ESCAPE FROM THE UNIT. THE O-RING WAS REPLACED, AND THE FAILURE WAS MITIGATED.</t>
  </si>
  <si>
    <t>VALVES ON RECEIVER WERE CLOSED, PIPELINE OPERATING WITHOUT INTERRUPTION</t>
  </si>
  <si>
    <t>JC NOLAN / DELEON STATION</t>
  </si>
  <si>
    <t>S109 JC NOLAN -  DELEON TO MERTENS</t>
  </si>
  <si>
    <t>DELEON</t>
  </si>
  <si>
    <t>COMANCHE</t>
  </si>
  <si>
    <t>WATER FROZE IN VALVE BODY, SEPARATED AT O-RING</t>
  </si>
  <si>
    <t>LEAD SPECIALIST</t>
  </si>
  <si>
    <t>AT APPROXIMATELY 15:50 ON 2/9/2022, EMPLOYEE FROM ANOTHER OPERATOR CONTACTED ENERGY TRANSFER COMPANY (ETC) PIPELINE TECHNICIAN TO REPORT A LEAK ON THE JC NOLAN RECEIVER LOCATED AT THE DELEON STATION (~MP212).  THIS IS A SHARED STATION BETWEEN THE TWO OPERATORS.  THE EMPLOYEE FROM THE OTHER OPERATOR PLACED A TROUGH UNDER THE VALVE TO PREVENT FURTHER RELEASE AND THE ETC PIPELINE TECHNICIAN ADVISED HE WAS ON HIS WAY TO THE SITE.  ETC PIPELINE TECHNICIAN ARRIVED AT THE DELEON STATION AT APPROXIMATELY 17:20 AND DETERMINED THAT A 4-INCH DRAIN VALVE LOCATED ON THE JC NOLAN RECEIVER AT DELEON STATION WAS LEAKING DIESEL FROM THE VALVE BODY SEAL / GASKET.  ETC PIPELINE TECHNICIAN CLOSED THE VALVES ON THE RECEIVER TO ISOLATE THE LEAKING VALVE.  THE PIPELINE SYSTEM WAS NOT SHUTDOWN BECAUSE THE LEAKING VALVE WAS ISOLATED ON THE RECEIVER AND DID NOT AFFECT THE OPERATIONAL CAPABILITY OF THE STATION OR PIPELINE.    INITIAL ASSESSMENT WAS A RELEASE OF APPROXIMATELY 1000 GALLONS (23.809 BBLS) OF DIESEL WHICH WAS CONTAINED ON COMPANY PROPERTY.  THE BALON VALVE WAS REMOVED AND SENT TO BE ANALYZED FOR THE CAUSE OF FAILURE.  A BLIND FLANGE WAS INSTALLED AS A TEMPORARY REPAIR.  REMEDIATION BEGAN AS SOON AS POSSIBLE ON 2/10/22 AND IS STILL IN PROGRESS, WITH ENVIRONMENTAL TESTING BEING AN ONGOING PROCESS.      THE MANUFACTURERS ANALYSIS OF THE VALVE INVOLVED IN THE FAILURE INDICATES THAT THE BODY O-RING HAD BEEN EXTRUDED.  WATER DROPOUT IN THE DRAIN LINE VALVE FROZE IN THE VALVE BODY JOINT AND SEPARATED THE VALVE AT THE O-RING.  WHEN THE WATER FROZE THE VALVE WAS OVER PRESSURED AND STUDS WERE STRETCHED.  THE SEATS WERE SCRATCHED AND ABRAIDED, SEAT POCKET SHOWED SIGNS OF CORROSION WHICH INDICATES THE PRESENCE OF WATER.     ON 2/10/2022 IT WAS DETERMINED THE COST OF REMEDIATION WOULD EXCEED THE $50,000 THRESHOLD FOR IMMEDIATE NOTIFICATION AND NRC NOTIFICATION WAS MADE AT 13:14 ON 2/10/2022 (NRC# INITIAL1328614, 48 HOUR FOLLOW-UP 1328793).  SOIL IS BEING REMOVED VIA COMPRESSED AIR EXCAVATION AND DISPOSED OF AT AN APPROVED FACILITY, AS REMEDIATION IS ONGOING.</t>
  </si>
  <si>
    <t>ALDINE STATION</t>
  </si>
  <si>
    <t>21025 - 8 INCH ALDINE TO HULL</t>
  </si>
  <si>
    <t>DRAIN LINES</t>
  </si>
  <si>
    <t>THE LINE HAS BEEN IDLE SINCE 2006 AND IS NOT OPERATED BY THE CONTROL CENTER.</t>
  </si>
  <si>
    <t>AT 08:30 ON 2/9/222, A COMPANY PIPELINE TECHNICIAN IDENTIFIED CRUDE OIL COMING FROM A BURIED 2" TRAP DRAIN LINE AT THE ALDINE STATION WHILE A NITROGEN PURGE WAS BEING PERFORMED.  APPROXIMATELY 2BBLS OF CRUDE OIL WERE RELEASED AND MITIGATED. THE DRAIN LINE WAS CUT AT BOTH ENDS, PURGED AND CAPPED. ALL FREE PRODUCT WAS RECOVERED AND CONTAMINATED SOIL HAS BEEN COLLECTED AND PROPERLY DISPOSED OF OFF-SITE.</t>
  </si>
  <si>
    <t>PATOKA TANK FARM NORTH FACILITY</t>
  </si>
  <si>
    <t>2-INCH SUMP RETURN LINE</t>
  </si>
  <si>
    <t>VERNON</t>
  </si>
  <si>
    <t>00+00</t>
  </si>
  <si>
    <t>NICKLAS PAVLOVSKY</t>
  </si>
  <si>
    <t>DOT COMPLIANCE SPECIALIST</t>
  </si>
  <si>
    <t>nicklas.pavlovsky@energytransfer.com</t>
  </si>
  <si>
    <t>713-989-4527</t>
  </si>
  <si>
    <t>AT APPROXIMATELY 14:53 ON 1/3/22 OIL WAS DISCOVERED AROUND THE PEP PATOKA NORTH TANK FARM MANIFOLD. LOCAL PIPELINE TECH NOTIFIED THE MANAGER OF LEAK AND A 2-INCH VALVE WAS CLOSED ON THE END OF TANK 349 HEADER PIPING TO ISOLATE THE LEAK.  INITIAL INVESTIGATION FOUND THE THREADS ON A 2-INCH THREADED UNION WERE PULLED WHICH ALLOWED THE UNION TO COME APART. APPROXIMATELY 140 BARRELS OF CRUDE WAS RELEASE ONTO THE GROUND.  IT WAS LATER DETERMINED THAT THE $50K THRESHOLD FOR IMMEDIATE NOTIFICATION WOULD BE EXCEEDED DUE TO ESTIMATED CLEAN UP COSTS AND A CALL WAS PLACED TO THE NRC AT 16:41 ON 1/3/22 (NRC # 1325820.) ALL FREE-STANDING OIL WAS RECOVERED VIA VAC TRUCKS AND REINJECTED INTO TANK 2685. A 48HR UPDATE TO THE NRC WAS PLACED ON 1/05/22 AT 12:21 TO UPDATE VOLUME OF PRODUCT RELEASED. (NRC # 1325938). ALL CONTAMINATED ROCK AND SOIL WERE REMOVED FOR REMEDIATION. A NEW 2-INCH THREADED PIPE CONNECTION WAS INSTALLED ON THE SUMP LINE.</t>
  </si>
  <si>
    <t>LIMA STATION MVPL</t>
  </si>
  <si>
    <t>30-INCH SUCTION LINE INTO EAST TANK FARM</t>
  </si>
  <si>
    <t>FORT SHAWNEE</t>
  </si>
  <si>
    <t>ON 12/28/21 AT APPROXIMATELY 9AM WHILE CONDUCTING ROUTINE STATION CHECK LOCAL OPERATIONS PERSONNEL NOTED A CRUDE OIL RELEASE. THE RELEASE OCCURRED ON A 30-INCH TANK SUCTION LINE THAT WAS IDLE AT THE TIME OF DISCOVERY. AFTER EXCAVATION OF THE LINE, IT WAS DETERMINED THAT APPROXIMATELY 5 BARRELS OF CRUDE WAS RELEASED DUE TO INTERNAL CORROSION. A CLAMP WAS INSTALLED OVER THE FAILURE AND ALL FREE PRODUCT WAS REMOVED AND ALL CONTAMINATED SOIL WAS REMOVED FOR OFFSITE REMEDIATION. AT A LATER DATE THE TANK SUCTION LINE WAS DRAINED AND THE FAILED SECTION OF PIPE WAS CUT OUT AND REPLACED.</t>
  </si>
  <si>
    <t>MONTELLO TO TAMAQUA 6INCH</t>
  </si>
  <si>
    <t>12113 6-INCH BERNE JCT - TAMAQUA</t>
  </si>
  <si>
    <t>WALKER</t>
  </si>
  <si>
    <t>SCHUYKILL</t>
  </si>
  <si>
    <t>ON 12/15/21 AT APPROXIMATELY 11:12AM, A CONTRACTOR CREW WAS PERFORMING ILI ANOMALY VALIDATION DIG WORK.  AS THE CREW PREPARED THE PIPELINE FOR ASSESSMENT, LIGHTLY SANDBLASTING THE PIPE, A LEAK DEVELOPED ON THE PIPELINE.  THE CREW MADE NOTIFICATIONS TO SHUT DOWN THE PIPELINE.  THE SEGMENT WAS ISOLATED WITH REMOTE VALVES AND PRESSURE ALLOWED TO BLEED OFF TO THE DOWNSTREAM FACILITY.  THE PIPELINE WAS THEN FURTHER ISOLATED WITH REMOTE OPERATED AND MANUAL VALVES.  IMMEDIATELY AFTER THE LEAK OCCURRED, CONTRACTOR CREW PLACED ABSORBENT PADS IN THE DITCH TO ASSIST WITH PRODUCT COLLECTION.  OSRO WAS DISPATCHED TO ASSIST WITH THE PRODUCT CLEAN UP AND RECOVERY.  IT WAS DETERMINED THAT IMMEDIATE NOTIFICATION THRESHOLD WOULD BE MET, AND A CALL WAS PLACED TO THE NRC AT 12:18PM (NRC # 1324588). APPROXIMATELY 9.5 BARRELS OF GASOLINE WAS RELEASED ONTO THE GROUND. THE PIPELINE WAS IN A LOCATION OF AN AGRICULTURAL FIELD WITH SHALLOW COVER.  CONSIDERATION FOR THIS LED TO A DECISION TO REMOVE AND REPLACE A 323-FOOT-LONG SECTION OF PIPELINE ACROSS THE AGRICULTURAL FIELD TO RESTORE PROPER DEPTH OF COVER.</t>
  </si>
  <si>
    <t>MIXTURE OF REFINED PRODUCTS (TRANSMIX OR OTHER MIXTURE)</t>
  </si>
  <si>
    <t>CITGO EAST CHICAGO</t>
  </si>
  <si>
    <t>CS-KA</t>
  </si>
  <si>
    <t>EAST CHICAGO</t>
  </si>
  <si>
    <t>SCHEDULE 80 PIPE NIPPLE USED, ENGINEERING CALLED FOR SCHEDULE 160</t>
  </si>
  <si>
    <t>ON 12/15/21 AT APPROXIMATELY 12:15 AM, WOLVERINE'S (WPLCO) OPERATIONS CONTROL CENTER WAS CONTACTED BY A CITGO TECHNICIAN TO INFORM WPLCO THAT THEY HAD A LEAK ON THEIR (CITGO'S) SITE; THEY LATER INFORMED WPLCO THAT IT COULD BE COMING FROM WPLCO PIPING. CITGO PERSONNEL HAD A VACUUM TRUCK ON SITE AND COMMENCED CLEAN UP EFFORTS IMMEDIATELY. WPLCO WAS PROVIDED A PHOTO OF THE LEAK SITE BY THE LOCAL CITGO RESPONDERS AND CONFIRMED DISCOVERY WITH THE PHOTO AT 12:49 AM LOCAL TIME. SH&amp;E CONTACTED A LOCAL OSRO TO RESPOND WITH EQUIPMENT, AND NRC, IDEM, AND PHMSA WERE NOTIFIED. AT THE TIME, THE SPILL VOLUME WAS ESTIMATED AT 80 BARRELS. LOCAL PERSONNEL ARRIVED ON SITE AND STARTED A SITE ASSESSMENT. IDENTIFIED THE SOURCE OF THE LEAK WAS A BROKEN PIPE NIPPLE ON 1" EQUALIZER PIPING AROUND VALVE CS11. A WPLCO ELECTRO-MECHANIC REMOVED THE BROKEN NIPPLE FROM THREADOLET AND REMOVED EQUALIZING PIPING. NEW PIPE NIPPLE WAS INSTALLED, AND VALVE AND PIPE PLUG WERE REINSTALLED. PIPE PLUG INSTALLED IN BALL VALVE WHERE EQUALIZER PIPING WAS REMOVED. CLEAN UP EFFORTS WERE CONTINUED WITH VACUUM EXCAVATION TRUCK AND SUPPORTING EQUIPMENT. RECOVERED 950 GALLONS OF PRODUCT IN VAC TRUCK, AS WELL AS 653 GALLONS IN SOIL AND ABSORBENT PADS, FOR A TOTAL VOLUME OF 38.15 BARRELS.</t>
  </si>
  <si>
    <t>NOTIFICATION FROM OTHER PIPELINE OPERATOR</t>
  </si>
  <si>
    <t>LINE WAS ALREADY DOWN ON SCHEDULE</t>
  </si>
  <si>
    <t>BARNSDALL PIPELINE</t>
  </si>
  <si>
    <t>24017 8INCH BARNSDALL TO TULSA</t>
  </si>
  <si>
    <t>BARNSDALL</t>
  </si>
  <si>
    <t>OSAGE</t>
  </si>
  <si>
    <t>ON 12/05/21, COMPANY PERSONNEL WERE NOTIFIED BY ANOTHER COMPANY'S OPERATOR OF CRUDE OIL ON THE GROUND NEAR THE BARNSDALL PIPELINE AT APPROXIMATELY 1700. THE LEAK WAS THEN VERIFIED BY A COMPANY EMPLOYEE AT 1805 AFTER HE ARRIVED ON SITE. APPROXIMATELY 115 BARRELS OF CRUDE HAD BEEN RELEASED ONTO THE GROUND. THE LINE WAS DOWN ON SCHEDULE AND WITH PRESSURE, BUT BLOCK VALVES WERE CLOSED UPSTREAM AND DOWNSTREAM OF THE LEAK. CREWS WERE CALLED OUT FOR CLEANUP AND EXCAVATION. ONCE THE LINE WAS EXCAVATED A CLAMP WAS PLACED ON THE LEAK POINT. ALL FREE PRODUCT WAS PICKED UP AND ALL CONTAMINATED SOIL WAS REMOVED FOR OFF-SITE REMEDIATION.    ON MAY 12TH, 2022, THE CLAMP WAS REMOVED TO FURTHER EXAMINE THE LEAK LOCATION. UPON FURTHER INVESTIGATION BY THE CORROSION TECHNICIAN, THE LEAK WAS DETERMINED TO HAVE BEEN CAUSED BY EXTERNAL CORROSION. THE CLAMP WAS THEN REINSTALLED AND THE PIPELINE HAS REMAINED SHUTDOWN WITH A NITROGEN BLANKET.</t>
  </si>
  <si>
    <t>TANK SUCTION LINE WAS DOWN AND STATIC</t>
  </si>
  <si>
    <t>30INCH SUCTION LINE INTO EAST TANK FARM</t>
  </si>
  <si>
    <t>MILEPOST/VALVE STATION</t>
  </si>
  <si>
    <t>REPAIR SLEEVE OR CLAMP</t>
  </si>
  <si>
    <t>SPLIT CLAMP BECAME LOOSE</t>
  </si>
  <si>
    <t>CLAMP BOLTS BECAME LOOSE.</t>
  </si>
  <si>
    <t>ON 11/19/21 AT APPROXIMATELY 2:00PM WHILE CONDUCTING ROUTINE STATION CHECKS CRUDE WAS DISCOVERED ON THE GROUND ADJACENT TO THE 30" TANK SUCTION LINE AT THE LIMA STATION TANK FARM.  APPROXIMATELY 1 BARREL HAD BEEN RELEASED ONTO THE GROUND. CREWS WERE CALLED IN TO EXCAVATE THE AREA AND LOCATE THE RELEASE POINT. IT WAS DETERMINED THAT A SPLIT CLAMP ON THE 30" TANK SUCTION LINE HAD BECOME LOOSE RELEASING PRODUCT INTO THE GROUND. OPERATIONS TIGHTENED THE CLAMP TO STOP THE LEAK.  ALL CONTAMINATED SOIL WAS REMOVED FOR OFFSITE REMEDIATION.</t>
  </si>
  <si>
    <t>TANK 44 SUCTION LINE WAS IDLE AT TIME OF RELEASE</t>
  </si>
  <si>
    <t>WORTHAM STATION</t>
  </si>
  <si>
    <t>TANK 44 SUCTION FILL LINE</t>
  </si>
  <si>
    <t>WORTHAM</t>
  </si>
  <si>
    <t>FREESTONE</t>
  </si>
  <si>
    <t>WHITCO</t>
  </si>
  <si>
    <t>ON 11/01/21 AT APPROXIMATELY 11:03AM WHILE CONDUCTING A STATION CHECK, A TECH NOTICED A POOL OF CRUDE OIL ON THE GROUND ALONG THE TANK 44 SUCTION LINE. THIS LINE WAS IDLE AT THE TIME THE RELEASE WAS FOUND.  UPON EXCAVATION OF THE LINE IT WAS DISCOVERED THAT THERE WAS PIN HOLE ON THE PIPE AT THE 3 O'CLOCK POSITION. APPROXIMATELY 2 BARRELS OF CRUDE HAD LEAKED INTO THE SURROUNDING SOIL.  A CLAMP WAS INSTALLED TO STOP THE LEAK.  A CREW WAS CALLED TO REMOVE ALL FREE PRODUCT AND SOIL FOR REMEDIATION.   PERMANENT REPAIR OF THE LINE WILL OCCUR WHEN SCHEDULING WILL ALLOW SOME DOWN TIME FOR THIS SYSTEM.</t>
  </si>
  <si>
    <t>SUNOCO PARTNERS MARKETING &amp; TERMINALS LP</t>
  </si>
  <si>
    <t>LINE WAS ALREADY DOWN FOR MAINTENANCE AND WAS BEING RESTARTED</t>
  </si>
  <si>
    <t>MISCOMMUNICATION BETWEEN MAINTENANCE AND OPERATIONS.</t>
  </si>
  <si>
    <t>ON 10/21/21 AT 4 AM DURING STATION CHECKS AND AFTER A 30' VALVE (V190) WAS REPLACED IN THE MARSHLAND MANIFOLD, THE FLANGES ON THE VALVE WERE FOUND TO BE LEAKING UPON THE STARTUP OF BAYOU BRIDGE PIPELINE.  APPROXIMATELY 10 BARRELS OF CRUDE WAS RELEASED ONTO THE GROUND. THE CONNECTION THAT LEAKED HAD AN ELECTRICAL INSULATION KIT INSTALLED DURING THE VALVE INSTALLATION.  AFTER THE INSTALLATION, THE FLANGE BOLTS WERE SCHEDULED TO BE TORQUED ON THE MORNING OF 10/21/21, BUT THERE WAS MISCOMMUNICATION BETWEEN OPERATIONS AND MAINTENANCE AND TRANSFER OF CRUDE DOWN THE PIPELINE BEGAN BEFORE THE FLANGE BOLTS WERE TORQUED.    AS A RESULT, THE FLANGE LEAKED CRUDE INTO A CONTAINMENT AREA.  THE TRANSFER WAS STOPPED, AND THE BOLTS WERE TORQUED.  A CREW WAS CALLED TO CLEAN UP ALL FREE PRODUCT AND REMOVE THE CONTAMINATED SOIL AND ROCK FOR REMEDIATION.  THE NEXT MORNING THE SYSTEM WAS RESTARTED AND RETURNED TO NORMAL SERVICE.  MAINTENANCE AND OPERATION CREWS WERE INSTRUCTED TO MAKE SURE COMMUNICATION IS CLEAR BETWEEN THEM.</t>
  </si>
  <si>
    <t>LINE WAS ALREADY DOWN ON NORMAL SCHEDULE</t>
  </si>
  <si>
    <t>UTICA PUMP STATION</t>
  </si>
  <si>
    <t>13002-16INCH MARYSVILLE TO TOLEDO</t>
  </si>
  <si>
    <t>STERLING HEIGHTS</t>
  </si>
  <si>
    <t>AUXILIARY PIPING (E.G. DRAIN LINES)</t>
  </si>
  <si>
    <t>ON 10/06/21 AT 08:15 ET THE CONTROL CENTER RECEIVED A CALL FROM LOCAL RESIDENT COMPLAINING OF AN ASPHALT ODOR.  THE CONTROL CENTER IMMEDIATELY CONTACTED LOCAL OPERATING PERSONNEL TO INVESTIGATE.  AT APPROXIMATELY 09:18 OPERATING PERSONNEL ARRIVE AT UTICA STATION AND DISCOVERED CRUDE OIL RELEASED TO THE PUMP BUILDING CONCRETE FLOOR.  ADDITIONAL PERSONNEL WERE DISPATCHED TO REMOVE ALL FREE PRODUCT AND CLEAN THE PUMP BUILDING CONCRETE FLOOR. UPON INVESTIGATION IT WAS DETERMINED THAT THE THREADS ON A 2-INCH DRAIN CONNECTION ON THE MAINLINE PUMP HAD CORRODED AND CRACKED. A NEW THREADED CONNECTION WAS INSTALLED AND PAINTED.</t>
  </si>
  <si>
    <t>BOOSTER AND LINE ARE OOS AND NOT CONNECTED.</t>
  </si>
  <si>
    <t>DISCHARGE FOR BOOSTER 4320</t>
  </si>
  <si>
    <t>ON 9/29/21, AT APPROXIMATELY 2:30PM MOWERS WORKING IN THE AREA DISCOVERED CRUDE OIL ON THE GROUND NEAR THE PIPE TO SOIL INTERFACE OF THIS PIPELINE. THE MOWERS CONTACTED THE STATION OPERATORS. AFTER CREWS ARRIVED ON SITE AND STARTED TO EXCAVATE AROUND THE PIPE, IT WAS DETERMINED THAT APPROXIMATELY 1.5 BARRELS OF CRUDE HAD LEAKED FROM A PINHOLE LEAK. THE RELEASE OCCURRED ON A BOOSTER LINE THAT IS NO LONGER IN USE. THE LINE WAS FLUSHED, AND A CLAMP WAS INSTALLED ON THE LEAK POINT. ALL FREE PRODUCT WAS REMOVED AND CONTAMINATED SOIL WAS REMOVED FOR OFF SITE REMEDIATION.</t>
  </si>
  <si>
    <t>PUMP UNIT 2 WAS SHUTDOWN AND ISOLATED</t>
  </si>
  <si>
    <t>JOHNSONS CORNER STATION</t>
  </si>
  <si>
    <t>29004.01 30INCH WATFORD CITY - ND L/R 1</t>
  </si>
  <si>
    <t>ON 9/28/21 AT 8:15AM DURING DAILY VISUAL INSPECTIONS IT WAS DISCOVERED THAT THE NIPPLE ON THE PUMP UNIT 2 SUCTION TRANSMITTER WAS LEAKING OIL. APPROXIMATELY 9 GALLONS OF CRUDE OIL WAS RELEASED ONTO THE BUILDING FLOOR. PUMP UNIT 2 WAS SHUT DOWN, OIL RECOVERY AND CLEAN UP WAS PERFORMED. INSPECTION OF THE NIPPLE IDENTIFIED A CRACK IN THE THREADS DUE TO VIBRATION AND THE WEIGHT OF THE TRANSMITTER VALVE. THE CRACKED NIPPLE WAS REPLACED WITH A SHORTER NIPPLE AND A LIGHTWEIGHT VALVE WAS INSTALLED. ALL OTHER SIMILAR CONFIGURATIONS ON UNIT SUCTION PIPING AT JOHNSONS CORNER ARE BEING MODIFIED IN THE SAME MANNER AS DESCRIBED ABOVE.  A CHECK OF ALL OTHER STATIONS REVEALED THAT NO OTHER SIMILAR CONFIGURATIONS EXIST.</t>
  </si>
  <si>
    <t>TANK MIXER WAS SHUT DOWN</t>
  </si>
  <si>
    <t>PLATTEVILLE STATION</t>
  </si>
  <si>
    <t>WHITE CLIFFS 2 PIPELINE</t>
  </si>
  <si>
    <t>CO</t>
  </si>
  <si>
    <t>PLATTEVILLE</t>
  </si>
  <si>
    <t>WELD</t>
  </si>
  <si>
    <t>PARAFFIN BUILDUP DISLODGED MECHANICAL SEAL ON TANK MIXER ASSEMBLY</t>
  </si>
  <si>
    <t>ON 9/23/21 AT 9:04AM WHILE CONDUCTING NORMAL STATION CHECKS IT WAS OBSERVED THAT CRUDE OIL WAS ON THE GROUND AROUND THE TANK 1014 MIXER. APPROXIMATELY 9 GALLONS OF CRUDE HAD LEAKED ONTO THE GROUND. THE TANK MIXER WAS SHUT DOWN AND CREWS WERE CALLED INTO REMOVE ALL FREE PRODUCT AND CONTAMINATED SOIL FOR OFFSITE REMEDIATION.  IT WAS DETERMINED THAT A PARAFFIN BUILDUP DISLODGED MECHANICAL SEAL ON TANK MIXER ASSEMBLY AND CAUSED IT TO LEAK.   THE PARAFFIN WAS CLEANED OUT OF THE MIXER AND THE SEAL WAS REPLACED. ONCE THIS WAS COMPLETED THE TANK MIXER WAS RESTARTED TO NORMAL OPERATIONS.</t>
  </si>
  <si>
    <t>RELIEF LINE WAS ISOLATED AND REPAIRED</t>
  </si>
  <si>
    <t>WEST TEXAS GULF TANK SR2</t>
  </si>
  <si>
    <t>21002.01 TRINITY TO NEDERLAND 26INCH</t>
  </si>
  <si>
    <t>ON 9/23/21, AT APPROXIMATELY 7:00AM, WHILE CONDUCTING NORMAL STATION CHECKS OIL WAS DISCOVERED ON THE GROUND AROUND TANK SR2. AFTER FURTHER INVESTIGATION, THE PRODUCT WAS FOUND TO BE COMING FROM A 2IN. TO 1/2IN. REDUCER PIPING ON A PRV LINE.  APPROXIMATELY 2 BARRELS OF CRUDE WAS RELEASED. IT WAS DETERMINED THAT THE RELEASE OCCURRED AT A THREADED FITTING DUE TO VIBRATION AND STRESS. CREWS WERE CALLED IN TO REMOVE ALL FREE PRODUCT AND CONTAMINATED SOIL FOR OFFSITE REMEDIATION. TO PREVENT THIS FROM HAPPENING AGAIN, THE EXISTING TAPPED FLANGE AND RIGID STAINLESS STEEL TUBING WAS REPLACED WITH A NEW TAPPED FLANGE AND FLEXIBLE TUBING THAT WILL BETTER COMPENSATE FOR THE INHERENT VIBRATIONS ON THE EXISTING SYSTEM CONFIGURATION.</t>
  </si>
  <si>
    <t>RELEASE WAS ON A DISCONNECTED, ABANDONED PIPE</t>
  </si>
  <si>
    <t>LIMA STATION METER SKID AND SUMP</t>
  </si>
  <si>
    <t>ON 9/20/21 AT APPROXIMATELY 7:30AM WHILE CONDUCTING ROUTINE STATION CHECKS CRUDE WAS DISCOVERED ON THE GROUND. APPROXIMATELY 15 GALLONS HAD BEEN RELEASED FROM A DISCONNECTED BURIED ABANDONED LINE. CREWS WERE CALLED IN TO EXCAVATE THE AREA AND LOCATE THE RELEASE POINT. ALL CONTAMINATED SOIL WAS REMOVED FOR OFFSITE REMEDIATION. CREWS EXPOSED MORE OF THE LINE TO VERIFY DISCONNECTION AND TO COLD CUT THE LINE FOR DRAINING OF ANY REMAINING PRODUCT. AFTER REMOVAL OF THE REMAINING PRODUCT, THE PIPE WAS REMOVED FROM THE GROUND.</t>
  </si>
  <si>
    <t>TANK 1542 TEXOMA MANIFOLD</t>
  </si>
  <si>
    <t>SLIP BLIND FLANGE</t>
  </si>
  <si>
    <t>REMOVAL OF SLIP BLIND FLANGE RESULTING IN RESIDUAL PRODUCT FLOWING OUT</t>
  </si>
  <si>
    <t>OPERATIONS DRAINED THE LINE, FILLED WITH WATER, CALCULATED OIL/WATER RATIO, HYDRO TESTED, AND DE-PRESSURED THE LINE.  WHEN BLIND FLANGE WAS REMOVED THE RELEASE OCCURRED.  IT IS BELIEVED THAT THE SLUG OF MATERIAL INSIDE THE PIPE HELD PRODUCT BACK UNTIL GIVING WAY WHEN BLIND FLANGE WAS REMOVED.  THE CREW COULD NOT HAVE ANTICIPATED THE SLUG OF MATERIAL INSIDE THE PIPE.</t>
  </si>
  <si>
    <t>APPLICABLE PROCEDURES AND PROCESSES FOLLOWED TO PREPARE FOR AND EXECUTE THE PRESSURE TEST.  THE PIPING BEING TESTED WAS FACILITY (NON-MAINLINE) PIPE AND WAS UNABLE TO BE CLEANED WITH PIGS PRIOR TO PRESSURE TEST WHICH COULD HAVE CONTRIBUTED TO THE SLUG OF MATERIAL BEING PRESENT IN THE PIPE.</t>
  </si>
  <si>
    <t>ON 09/02/21 AT APPROXIMATELY 8:30AM A CREW AS WORKING TO REMOVE A BLIND FLANGE ON THE 1542 TANK LINE WHEN A RELEASE OF APPROXIMATELY 66 BARRELS OF CRUDE OIL OCCURRED. THE BLIND FLANGE HAD BEEN INSTALLED TO ISOLATE THE LINE FOR PRESSURE TESTING.  THE CREW HAD ISOLATED AND DRAINED THE TESTED PORTION OF THE LINE FROM THE TEXOMA MANIFOLD. ONCE THE CREW WAS UNABLE TO PULL ANY MORE LIQUID, THEY BEGAN REMOVING THE BLIND. ONCE THE BLIND WAS REMOVED AND PLACED AWAY FROM THE LINE, A SLUG OF THICK, ROCKY, TAR MATERIAL RAN OUT OF THE LINE AND ALLOWED CRUDE OIL AND WATER TO BE RELEASED ONTO THE GROUND. THE CONTRACTOR WAS ABLE TO BOLT THE FLANGE BACK UP TO THE TANK LINE TO STOP THE LEAK. A VAC TRUCK WAS CALLED IN TO REMOVE ALL FREE PRODUCT AND THE CONTAMINATED SOIL WAS REMOVED FOR REMEDIATION.    SUPPLEMENTAL: CAUSE UPDATED TO INCORRECT OPERATIONS - OPERATIONS DRAINED THE LINE, FILLED WITH WATER, CALCULATED OIL/WATER RATIO, HYDRO TESTED, AND DE-PRESSURED THE LINE.  WHEN BLIND FLANGE WAS REMOVED THE RELEASE OCCURRED.  IT IS BELIEVED THAT THE SLUG OF MATERIAL INSIDE THE PIPE HELD PRODUCT BACK UNTIL GIVING WAY WHEN BLIND FLANGE WAS REMOVED.  THE CREW COULD NOT HAVE ANTICIPATED THE SLUG OF MATERIAL INSIDE THE PIPE.  THE PIPING BEING TESTED WAS FACILITY (NON-MAINLINE) PIPE AND WAS UNABLE TO BE CLEANED WITH PIGS PRIOR TO PRESSURE TEST WHICH COULD HAVE CONTRIBUTED TO THE SLUG OF MATERIAL BEING PRESENT IN THE PIPE.</t>
  </si>
  <si>
    <t>BUTANE</t>
  </si>
  <si>
    <t>SEGMENT WAS DOWN ON SCHEDULE AT TIME OF ACCIDENT</t>
  </si>
  <si>
    <t>13008 6 INCH DSPL</t>
  </si>
  <si>
    <t>MILLARD TO INKSTER</t>
  </si>
  <si>
    <t>ERIE</t>
  </si>
  <si>
    <t>MONROE</t>
  </si>
  <si>
    <t>MLV0412</t>
  </si>
  <si>
    <t>2 INCH TOR FITTING ADJACENT TO MLV-0412 WAS CONTACTED BY AN AUTOMOBILE, DAMAGED AND LEAKED</t>
  </si>
  <si>
    <t>BAY CREEK</t>
  </si>
  <si>
    <t>MAIN LINE VALVE SITE FOR MLV-0412 WAS STRUCK BY AN AUTOMOBILE IN THE EARLY HOURS OF THE MORNING ON 8/18/2021.  THE CONTROL CENTER WAS NOTIFIED OF THE RELEASE AT 3:15 AM BY A THIRD PARTY.  THE PIPELINE WAS DOWN ON NORMAL SCHEDULE BUT SCADA INDICATIONS AROUND THIS SAME TIME WERE INDICATIVE OF AN ISSUE WITH THE LINE.  A 2-VEHICLE ACCIDENT OCCURRED AT THE INTERSECTION OF TELEGRAPH AND ERIE RD. AND AS A RESULT ONE VEHICLE TRAVELLED OUT OF CONTROL THROUGH THE MLV-0412 FENCING AND CAME TO REST ON PIPING AT MOV-0412.  DAMAGE SUSTAINED TO THE MLV SITE INCLUDE FENCING DAMAGE, BROKEN HAND WHEEL ON MLV-0412 AND DAMAGE TO A 2 INCH TOR FITTING WHICH WAS IDENTIFIED THE SOURCE OF THE BUTANE LEAK. LOCAL EMERGENCY RESPONDERS, FIRE DEPARTMENT (FD) AND POLICE DEPARTMENT (PD) ISOLATED THE SURROUNDING ROADS TO TRAFFIC AND STOPPED RAILROAD TRAFFIC ON THE TRACKS RUNNING PARALLEL TO THE PIPELINE ROW. CONTROL CENTER OPERATOR USED REMOTE OPERATED VALVES TO ISOLATE THE PIPELINE AND MADE INTERNAL NOTIFICATIONS TO COMPANY FIELD PERSONNEL WHO FURTHER ISOLATED THE PIPELINE BY CLOSING MANUAL VALVES. COMPANY PERSONNEL ESTABLISHED INCIDENT COMMAND SYSTEM WITH LOCAL FD AND PD RESPONDERS AND DISPATCHED OSRO CONTRACTORS AND ADDITIONAL ENVIRONMENTAL CONTRACTORS TO MONITOR GAS / LEL LEVELS.    THE INCIDENT COMMANDER COORDINATED WITH FD &amp; PD TO REQUEST EVACUATION WITHIN A 0.5 MILE RADIUS OF THE VALVE SITE. FD &amp; PD PERSONNEL WENT DOOR TO DOOR TO NOTIFY RESIDENTS OF THE EVACUATION.  8 INDIVIDUALS EVACUATED AND WERE OFFERED HOTEL ROOMS BY THE COMPANY. OTHER RESIDENTS ELECTED TO SHELTER IN PLACE.    A PORTABLE FLARE WAS SET UP AT THE NEXT VALVE SITE LOCATION DOWNSTREAM TO THE NORTH TO FURTHER TAKE PRESSURE OFF THE PIPELINE. A WATER INJECTION WAS INITIATED DOWNSTREAM OF MLV-0412 TO FLOOD / FLUSH AND PUSH BUTANE REMAINING IN THE PIPELINE DOWNSTREAM TOWARDS THE FLARE. ONCE THE WATER FLOW / FLUSH WAS PAST THE MLV SITE, AND THERE WAS WATER COMING OUT OF THE DAMAGED FITTING, AND THE GAS MONITOR READINGS WERE SAFE TO WORK, A CRANE REMOVED THE VEHICLE FROM WHERE IT RESTED UP ON THE MLV-0412 AND TEMPORARY REPAIRS WERE MADE TO THE DAMAGED EQUIPMENT.    THE MLV-0412 SITE WAS FURTHER EVALUATED BY EXCAVATION ON THE UPSTREAM AND DOWNSTREAM SIDES OF THE VALVE. NDE EVALUATION OF THE PIPING AND WELDS WAS CONDUCTED. NO DAMAGE TO THE UNDERGROUND PIPING OR WELDS WAS IDENTIFIED. THE EXCAVATION WAS BACKFILLED, AND THE LINE RETURNED TO NORMAL SERVICE.</t>
  </si>
  <si>
    <t>THE HEADER INVOLVED WAS ALREADY SHUT IN AND HAD BEEN REMOVED FROM ACTIVE SERVICE</t>
  </si>
  <si>
    <t>CENTRAL MANIFOLD TANK 1573 26INCH LINE</t>
  </si>
  <si>
    <t>MECHANICAL ISOLATION TOOL</t>
  </si>
  <si>
    <t>NATURAL RUBBER</t>
  </si>
  <si>
    <t>IGNITION OF VAPORS WHILE CONTRACTOR WAS PREPPING/GRINDING FOR TIE-IN</t>
  </si>
  <si>
    <t>WRONG EQUIPMENT SPECIFIED OR INSTALLED</t>
  </si>
  <si>
    <t>ON AUGUST 17, A CONTRACT PIPING CREW WAS WORKING ON THE SOUTH END OF THE 26-INCH CRUDE OIL TANK 1573 LINE LOCATED IN THE CENTRAL MANIFOLD AREA. THE CREW WAS REMOVING A SECTION OF PIPING IN ORDER FOR A NEW FLANGED SPOOL SECTION TO BE INSTALLED. THE LINE WAS OPENED; VACUUMED, AND DRAINED TO ALLOW FOR A COLD CUT TO BE MADE. ONCE LINE WAS CUT, THE CREW UNBOLTED THE SOUTH FLANGE AND REMOVED THE SPECTACLE BLIND ALONG WITH THE CUTOUT PIPE SPOOL SECTION. A BLIND FLANGE WAS INSTALLED ON THE SOUTH END. AN INFLATABLE ISOLATION PLUG WAS INSTALLED ON THE NORTH END OF THE PIPING WHERE THE COLD CUT HAD BEEN MADE.  THE SEAL WAS CHECKED WITH A GAS MONITOR TO VERIFY NO VAPORS WERE PRESENT. ONCE A SEAL WAS VERIFIED THE PIPEFITTER BEGAN TO PREP THE WELD AREA FOR INSTALLATION OF A WELDED FLANGE USING AN ELECTRIC PORTABLE ANGLE GRINDER. SHORTLY AFTER STARTING THE PREP WORK, THE ISOLATION PLUG FAILED, AND A FLASH FIRE OCCURRED AT APPROXIMATELY 3:15 PM.      AN NRC NOTIFICATION WAS PLACED ON 8/18/21 AT 17:39 (NRC# 1314098) A 48HR WAS PLACED ON 8/20/21 AT 17:13 (NRC # 1314284).    INVESTIGATION OF THE ACCIDENT FOUND THAT AN INCORRECT ISOLATION TOOL WAS UTILIZED.  THE ISOLATION TOOL FAILED DUE TO IMPROPER INSTALLATION AND MATERIAL INCOMPATIBILITY WITH PETROLEUM.  THE FAILURE ALLOWED FLAMMABLE VAPORS TO ENTER THE HOT WORK AREA LEADING THE IGNITION.</t>
  </si>
  <si>
    <t>CRAWFORD INJECTION STATION</t>
  </si>
  <si>
    <t>23033 10INCH PIONEER CRAWFORD 38H-7JH</t>
  </si>
  <si>
    <t>COSTS FOR SOIL SAMPLING ANALYSIS</t>
  </si>
  <si>
    <t>ON JULY 21, 2021 AT APPROXIMATELY 12:00PM, A CRUDE OIL SPILL OCCURRED AT THE CRAWFORD STATION SOUTH OF MIDLAND.  AT 1:00PM, COMPANY PERSONNEL DROVE UP TO THE FACILITY AND CONFIRMED A CRUDE OIL SPILL FROM A RELIEF VALVE ON THE 10INCH PIONEER CRAWFORD 38H-7JH, CALLED OPERATIONS AND SHUT THE FACILITY DOWN. COMPANY RESOURCES ARRIVED AT THE FACILITY AND CLOSED VALVE BA601 UPSTREAM OF THE LEAK AND VALVE BA603 DOWNSTREAM OF THE LEAK TO ISOLATE THE SPILL POINT. IT WAS DETERMINED THAT THE RELEASE MEET THE REPORTING CRITERIA AND A CALL WAS PLACED TO THE TX RRC ON 7/21/21 AT 1:43PM (RRC INCIDENT # 2453). A THIRD PARTY WAS CALLED TO CLEAN UP ALL FREE PRODUCT AND REMEDIATE THE SOIL.  THE CAUSE OF THE LEAK WAS DUE TO A CRACK IN THE THREADS OF A 2INCH FITTING ON THE RELIEF VALVE BLEAD RING.  THE CRACK WAS DUE TO EXCESSIVE VIBRATION. A NEW FITTING WAS INSTALLED AND BRACING WAS PUT IN PLACE TO MINIMIZE VIBRATIONS AND TO PREVENT FURTHER LEAKS.  AT APPROXIMATELY 3:00PM THE FACILITY WAS RESTARTED.  AN INCREASE OF PATROLS WILL BE CONDUCTED AT THE FACILITY TO MONITOR NEW FITTING THAT WAS INSTALLED.</t>
  </si>
  <si>
    <t>LINE SEGMENT WAS ALREADY DOWN ON ROUTINE SCHEDULE</t>
  </si>
  <si>
    <t>13008 6INCH DSPL</t>
  </si>
  <si>
    <t>MILLARD TO INSKSTER</t>
  </si>
  <si>
    <t>TOLEDO</t>
  </si>
  <si>
    <t>102+35</t>
  </si>
  <si>
    <t>NATIONAL TUBE</t>
  </si>
  <si>
    <t>CSX RAILROAD DEMURRAGE (STOPPED TRAFFIC) FEE</t>
  </si>
  <si>
    <t>POROSITY IN THE GIRTH WELD</t>
  </si>
  <si>
    <t>ON 7/14/21 AT APPROXIMATELY 13:20 PM EST, SUNOCO PIPELINE CONTROL CENTER WAS NOTIFIED BY THE PUBLIC OF A GAS ODOR NEAR THE REAR OF 3442 E. MANHATTAN BLVD, TOLEDO, OH.  THE CONTROL CENTER CONTACTED THE LOCAL OPERATIONS MANAGER AT 13:27 AND A PIPELINER WAS DISPATCHED TO THE LOCATION TO INVESTIGATE. THE PIPELINE WAS ALREADY DOWN ON NORMAL SCHEDULE AT THE TIME.  AFTER LOCAL PERSONNEL ARRIVED THE AREA WAS ASSESSED WITH LEL MONITORS AND PROBING, AND IT WAS DETERMINED THAT A BUTANE LEAK WAS PRESENT. APPROXIMATELY 0.3 BARREL OF BUTANE WAS CALCULATED TO HAVE BEEN RELEASED BASED ON SURFACE OBSERVATION.  ON 7/15/21 AFTER EXCAVATION IT WAS DETERMINED THAT THE RELEASE WAS DUE TO A PINHOLE IN A GIRTH WELD AND THAT THE ESTIMATED COSTS FOR THE RELEASE WOULD EXCEED $50,000 AND THAT NOTIFICATION TO NRC WOULD BE REQUIRED.  THIS NOTIFICATION WAS MADE AT AT 11:11 AM EST ON 7/15/21 (NRC# 1310774). A 48-HR UPDATE TO THE NRC WAS PLACED ON 7/16/21 AT 5:26 PM EST (NRC # 1310967).  A MECHANICAL BOLT ON CLAMP WAS INSTALLED AND THE LINE WAS PLACED BACK INTO SERVICE. DURING A SCHEDULED DOWN TIME ON 7/22/21, THE FAILED SECTION OF PIPE WAS CUT OUT AND SENT TO A METALLURGICAL LAB FOR ANALYSIS AND DETERMINATION OF THE FAILURE CAUSE. A SUPPLEMENTAL UPDATE WILL BE FILED ONCE THE FAILURE ANALYSIS REPORT IS RECEIVED.     UPDATE: THE RESULTS OF THE METALLURGICAL ANALYSIS INDICATE THAT THE LEAK WAS CAUSED BY ELONGATED POROSITY IN THE OXYACETYLENE ORIGINAL CONSTRUCTION GIRTH WELD.  AFTER CONSTRUCTION THE LEAK PATH WAS LIKELY PLUGGED WITH WELD SLAG OR OTHER DEBRIS THAT BROKE DOWN OVER TIME ULTIMATELY LEADING TO THE FAILURE.</t>
  </si>
  <si>
    <t>VALVE TO SUMP WAS SHUT AND SUMP DRAINED</t>
  </si>
  <si>
    <t>NEDERLAND STATION 1</t>
  </si>
  <si>
    <t>21006 10IN SEABREEZE TO NEDERLAND</t>
  </si>
  <si>
    <t>VALVE MISALIGNMENT</t>
  </si>
  <si>
    <t>ON 7/12/21 AT 8:00AM WHILE FILLING THE RECEIVER TRAP FOR AN INCOMING CLEANING PIG, OPERATORS NOTICED THAT THE PIG TRAP SUMP HAD OVERFILLED.  APPROXIMATELY 21 GALLONS OF CRUDE HAD OVERFLOWED ONTO THE GROUND. THE OPERATORS IMMEDIATELY CLOSED THE SUMP VALVE AND DRAINED THE SUMP. ALL FREE PRODUCT WAS PICKED UP AND CONTAMINATED SOIL WAS REMOVED FOR REMEDIATION. AFTER DISCUSSION AND DETERMINATION ON WHETHER THIS WAS MAINTENANCE RELATED OR NOT, A CALL WAS PLACED TO THE TX RRC ON 7/13/21 AT 1:20. IT WAS DETERMINED THAT THE WORK PLAN WAS NOT PROPERLY FOLLOWED, AND THE VALVE WAS LEFT OPEN TO CAUSE THE RELEASE. FIELD PERSONNEL WERE INSTRUCTED AND RETRAINED TO MAKE SURE THEY FOLLOW THE PROCEDURES AND WORK PLAN.</t>
  </si>
  <si>
    <t>PRODUCT WAS TRANSFERRED AND TANK 1542 WAS ISOLATED.</t>
  </si>
  <si>
    <t>NRC NOTIFICATION REQUIRED BUT NOT MADE</t>
  </si>
  <si>
    <t>TANK 1542</t>
  </si>
  <si>
    <t>TANK SHELL</t>
  </si>
  <si>
    <t>ISOLATE, DEGAS, CLEAN, AND INSPECT THE TANK</t>
  </si>
  <si>
    <t>TANK FLOOR PLATE</t>
  </si>
  <si>
    <t>ON 6/21/21 AT APPROXIMATELY 7:30PM, OPERATIONS MANAGEMENT RECEIVED NOTIFICATION FROM PERSONNEL PERFORMING ROUTINE FACILITY PATROLS ADVISING THAT OIL HAD BEEN DISCOVERED ON THE GROUND IN THE TANK 1542 IMPOUNDMENT DIKE. A TANK-TO-TANK TRANSFER WAS INITIATED TO EMPTY TANK 1542.  AS THIS PROCESS WAS TAKING PLACE OIL WAS OBSERVED COMING FROM IN BETWEEN THE TANK SHELL AND THE CONCRETE BASE.     APPROXIMATELY 114 BARRELS OF CRUDE WERE RELEASED INTO THE TANK DIKE IMPOUNDMENT AREA. THE CLEANUP CREW WAS DISPATCHED AND ALL FREE PRODUCT WAS PICKED UP AND ALL CONTAMINATED SOIL WAS REMOVED.  TANK 1542 WAS LATER DEGASSED AND CLEANED IN PREPARATION FOR AN INTERNAL API 653 INSPECTION. DURING THE INSPECTION, CREWS PERFORMED A SCAN OF THE BOTTOM TO ASSESS FOR REPAIRS AND DETERMINE THE CAUSE OF THE FAILURE.     DURING THE 653 INTERNAL INSPECTION A SCAN OF THE FLOOR PLATES DETERMINED THAT THERE WAS A AN INTERNAL CORROSION THROUGH WALL FAILURE ON A FLOOR PLATE DUE TO THE FAILURE OF THE INTERNAL LINER WHICH ALLOWED THE BOTTOM TO CORRODE OVER TIME.     AS A PART OF THE OVERALL REPAIR PLAN WELDED BOTTOM PATCH PLATES AND A NEW INTERNAL LINER WERE INSTALLED TO REPAIR THE FAILED SECTION OF THE TANK BOTTOM.     DUE TO THE EXTENT OF PREPARATION REQUIRED TO AFFECT THE BOTTOM PLATE, TOTAL COSTS DIRECTLY ATTRIBUTABLE TO THE FAILURE EXCEEDED $50K.  IT WAS UNKNOWN AT THE TIME OF FAILURE DISCOVERY WHAT THE EXTENT OF REPAIRS WOULD BE AND THE COSTS ASSOCIATED WITH SUCH.  AN ESTIMATE OF THE COSTS DIRECTLY ATTRIBUTABLE TO THE FAILURE REPAIR ARE INCLUDED IN PART D-8 OF THIS REPORT.  WHEN IT WAS DETERMINED THAT TOTAL COSTS WOULD EXCEED $50K THE NRC WAS NOT NOTIFIED DUE TO THE TIMEFRAME HAVING WELL EXCEEDED THE EMERGENCY RESPONSE PHASE OF THE EVENT.  FURTHER, ALL IMPACTS WERE TOTALLY CONTAINED ON COMPANY PROPERTY WITHIN THE TANK IMPOUNDMENT DIKE.  THERE WAS AT NO TIME ANY SIGNIFICANT RISK TO PERSONS OR PROPERTY DUE TO THIS FAILURE.  WHEN THE SUPPLEMENTAL AND FINAL REPORT WERE FILED, PHMSA AID AND SW REGION WERE MADE AWARE OF THE CIRCUMSTANCES REGARDING THE TOTAL FAILURE COSTS.</t>
  </si>
  <si>
    <t>LINE WAS OOS AND DISCONNECTED FROM ANY SOURCES</t>
  </si>
  <si>
    <t>OOS 20IN</t>
  </si>
  <si>
    <t>ON 6/17/21 AT 7:30AM FIELD PERSONNEL NOTICED STAINING IN THE OPERATOR PARKING AREA. THE STAINING WAS REPORTED TO SUPERVISOR. UPON INVESTIGATION AND EXCAVATION OF THE LOCATION, IT WAS DETERMINED TO BE OLD PRODUCT IN THE SOIL. APPROXIMATELY 3 BARRELS HAD BEEN RELEASED INTO THE SOIL. IT WAS DISCOVERED TO BE A LEAKING WELDED FLANGE ON A CUT AND CAPPED ABANDONED PIPE. THE WELD WAS REPAIRED, AND PIPE WAS VERIFIED TO BE CUT AND CAPPED AND ABANDONED. THE AREA WAS CLEANED, ALL CONTAMINATED SOIL WAS REMOVED FOR OFFSITE REMEDIATION.</t>
  </si>
  <si>
    <t>AREA INVOLVED IN THE ACCIDENT WAS SHUT-IN, DRAINED &amp; REMOVED FROM SERVICE PRIOR.</t>
  </si>
  <si>
    <t>29004.01 30" WATFORD CITY - ND L/R 1</t>
  </si>
  <si>
    <t>ALUMINUM</t>
  </si>
  <si>
    <t>IGNITION OF PRODUCT VAPOR</t>
  </si>
  <si>
    <t>INCORRECT APPLICATION OF MECHANICAL ISOLATION TOOL. THE FOREMAN'S PLUG WAS NOT RATED FOR THE ISOLATION OF VAPORS.</t>
  </si>
  <si>
    <t>A PROJECT WAS UNDERWAY AT THE JOHNSONS CORNER STATION THAT INVOLVED ISOLATION AND DRAIN DOWN OF THE 7100 MANIFOLD AND 36-INCH TANK LINE. THE MANIFOLD AND TANK LINE HAD BEEN TAKEN OUT OF SERVICE, DRAINED OF PRODUCT, AND MECHANICALLY AND ELECTRICALLY LOCKED OUT / TAGGED OUT PRIOR TO CONTRACTORS COMMENCING THE WORK ACTIVITY WHICH WAS UNDERWAY AT THE TIME OF THE ACCIDENT. A MECHANICAL ISOLATION TOOL HAD BEEN INSTALLED IN THE 36-INCH TANK LINE AND A PRODUCT VAPOR IGNITION OCCURRED AS PIPE BEVELING ACTIVITY WAS BEING PERFORMED IN PREPARATION FOR WELDING AND TIE-IN WORK.    AN INVESTIGATION INTO THE ACCIDENT DETERMINED THAT THE MECHANICAL ISOLATION TOOL UTILIZED WAS NOT APPROPRIATE FOR THE WORK BEING PERFORMED AND ALLOWED PRODUCT VAPOR TO PASS BY THE TOOL SEAL. IT WAS LATER IDENTIFIED THAT THE FOREMAN'S PLUG ALONE WAS NOT SUITABLE FOR THE ISOLATION OF VAPORS. AS THE PIPE BEVELING ACTIVITY WAS OCCURRING THE VAPOR IGNITED.</t>
  </si>
  <si>
    <t>NOT RUNNING AT THAT TIME</t>
  </si>
  <si>
    <t>EAST BOSTON TERMINAL</t>
  </si>
  <si>
    <t>8IN EAST BOST TO LOGAN INT.</t>
  </si>
  <si>
    <t>MA</t>
  </si>
  <si>
    <t>BOSTON</t>
  </si>
  <si>
    <t>SUFFOLK</t>
  </si>
  <si>
    <t>FILTER VESSEL GASKET (O-RING)</t>
  </si>
  <si>
    <t>3/8IN BUNA O-RING</t>
  </si>
  <si>
    <t>ON 6/13/21 AT 1:00PM CST THE OPERATOR NOTICED THE FIRE DEPARTMENT ON THE CAMERA AT THE PIPELINE FILTER AREA. A PASSERBY NOTICED WHAT LOOKED LIKE A LEAK AND CALLED 911. THE FIRE DEPARTMENT WAS RESPONDING TO THE 911 CALL. OPERATOR WALKED OUT TO INVESTIGATE THE FIRE DEPARTMENT VISIT AND OBSERVED THE LEAK AT THE FILTER. OPERATOR MADE THE NOTIFICATIONS TO MANAGEMENT. TERMINAL MANAGER ARRIVED ON SITE AND ASSESSED THE SITUATION WITH THE FIRE DEPARTMENT AND THEN THE FIRE DEPARTMENT LEFT THE SCENE. A CALL WAS PLACED TO THE NRC AT 2:42PM (NRC # 1307674). AN OSRO COMPANY WAS CALLED OUT TO START CLEANUP. LOCAL PERSONNEL ISOLATED THE FILTER AND PLACED ABSORBENT MATERIAL TO RECOVER THE PRODUCT IN SECONDARY CONTAINMENT. COMPANY ENGINEERS CALCULATED APPROXIMATELY 17 GALLONS OF REFINED PRODUCT HAD BEEN RELEASED. ON 6/18/21 AN UPDATE CALL WAS PLACED TO THE NRC (NRC # 1308172) TO UPDATE THE VOLUME RELEASED. UPON INVESTIGATION, IT WAS DETERMINED THAT THE FAILURE WAS CAUSED BY MISALIGNMENT AND THERMAL STRESS (EXPANSION) ON THE O-RING. THE FILTER ELEMENTS AND O-RING HAD BEEN REPLACED A FEW MONTHS EARLIER WHILE THE WEATHER WAS COOLER. THE FILTER WAS OPERATED OVER 2 MONTHS WITHOUT ISSUES. UPON DISASSEMBLY THERE WAS NO APPARENT DEFECT OBSERVED WITH THE O-RING. AT THE TIME OF THE RELEASE THE PIPELINE WAS BETWEEN OPERATING CYCLES. THE PIPELINE WAS NOT ACTIVE AT THE TIME OF THE RELEASE. IT IS BELIEVED THAT DUE TO MUCH WARMER WEATHER THAT THE O-RING BECAME MISALIGNED AND LEAKED.  THE O-RING WAS REPLACED, AND THE FILTER WAS PLACED BACK INTO SERVICE.</t>
  </si>
  <si>
    <t>TANK 98 SUCTION LINE</t>
  </si>
  <si>
    <t>ON 6/10/21 AT APPROXIMATELY 12:30PM THE MOWING CONTRACTORS NOTICED OIL ON THE GROUND WHILE MOWING THE STATION. THE CONTRACTOR CALLED FIELD PERSONNEL WHO CALLED TO HAVE THE LINE SHUT DOWN. A CLEAN UP COMPANY WAS CALLED TO CLEAN UP THE FREE PRODUCT AND AN EXCAVATION COMPANY WAS CALLED TO START EXCAVATING THE TANK 98 SUCTION LINE TO FIND THE SOURCE. APPROXIMATELY 16 BARRELS OF CRUDE WAS RELEASED INTO THE SOIL. ON 6/11/21 AT 7:30AM IT WAS DETERMINED THAT THE RELEASE WOULD MEET THE CRITERIA FOR IMMEDIATE NRC NOTIFICATION AND A CALL WAS PLACED TO THE NRC, NRC# 1307493. ONCE THE LINE WAS EXPOSED AND THE PINHOLE LOCATED A CLAMP WAS INSTALLED AND THE LINE WAS PUT BACK INTO SERVICE. A 48HR UPDATE TO THE NRC WAS PLACED ON 6/13/21, NRC# 1307653. ALL CONTAMINATED SOIL WAS REMOVED FOR OFFSITE REMEDIATION.</t>
  </si>
  <si>
    <t>NEDERLAND ACCESS RECEIPT METER</t>
  </si>
  <si>
    <t>ON 06/05/21 AT 1:30AM IT WAS DISCOVERED THAT THERE WAS A LEAK FROM THE SAMPLER PROBE VALVE ON THE RECEIPT METER SKID FOR THE NEDERLAND ACCESS PIPELINE. THE PIPELINE WAS SHUT DOWN AND THE SAMPLER INLET WAS ISOLATED. ONCE THE INLET WAS ISOLATED THE PIPELINE WAS RETURNED TO SERVICE. APPROXIMATELY 4 BARRELS OF CRUDE OIL WAS RELEASED. OSRO WAS CALLED OUT TO PICK UP ALL FREE PRODUCT AND REMOVE CONTAMINATED SOIL. THE RELEASE WAS CAUSED BY A FAILURE OF SMALL DIAMETER TUBING DUE TO VIBRATION.  RELEASE WAS CAUSED BY SAMPLE PROBE FAILING WHICH CAUSED THE VALVE SEAL TO FAIL.  THE SAMPLE PROBE WAS REMOVED AND THE VALVE WAS BLINDED OFF.    THIS RELEASE WAS ORIGINALLY REPORTED ON 6/28/21 (REPORT NO. 20210182-35438) UNDER AN INCORRECT OPID.  PHMSA WAS ALERTED TO THIS ON 11/3/21 AND REPORT NO. 20210182-35438 WAS DELETED BY PHMSA.  THIS REPORT FILED ON 11/4/21 CORRECTS THE OPID.</t>
  </si>
  <si>
    <t>CUSHING LINE 3</t>
  </si>
  <si>
    <t>PROVING LOOP E750 CUSHING SOUTH DELIVERY</t>
  </si>
  <si>
    <t>LINCOLN</t>
  </si>
  <si>
    <t>RUBBER</t>
  </si>
  <si>
    <t>ON 6/4/21 AT 10:39AM WHILE RUNNING A DELIVERY TO ANOTHER OPERATOR A LEAK WAS DISCOVERED BELOW THE STATIONARY PROVER DOOR. FIELD PERSONNEL CALLED THE CONTROL CENTER AND THE LINE WAS SHUT DOWN AND THE PROVER WAS ISOLATED. APPROXIMATELY 20 GALLONS OF CRUDE HAD LEAKED FROM THE DOOR. IT WAS DETERMINED THAT THERMAL RELIEF VALVES FAILED TO OPEN AS DESIGNED RESULTING IN OVERPRESSURE OF THE PROVER DOOR AND THE O-RING SEAL. A CLEAN UP COMPANY WAS CALLED, AND THE CONTAMINATED SOIL WAS REMOVED FOR REMEDIATION.  ADDITIONAL INVESTIGATION IS UNDERWAY TO DETERMINE THE CAUSE OF THE THERMAL RELIEF VALVE FAILURE.    7/22/21 THE INVESTIGATION DETERMINED THAT THE THERMAL RELIEF VALVE INSTALLED DURING CONSTRUCTION ON THE PROVER WAS NOT A GOOD FIT FOR THE APPLICATION AND WAS REPLACED WITH A DIFFERENT BRAND. THE VALVES AT COUNTY RD E750 WERE REPLACED WITH A SINGLE NEW VALVE WITH A THERMAL RELIEF CASCADING SYSTEM TO THE VALVE ON THE PROVER.    SUPPLEMENTAL REPORT:  CHANGED COUNTY FROM PAYNE COUNTY TO LINCOLN COUNTY, OK</t>
  </si>
  <si>
    <t>CPM LEAK DETECTION SYSTEM OR SCADA-BASED INFORMATION (SUCH AS ALARM(S), ALERT(S), EVENT(S), AND/OR VOLUME CALCULATIONS)</t>
  </si>
  <si>
    <t>BOOT PUMP STATION</t>
  </si>
  <si>
    <t>11001.2 (GRE)</t>
  </si>
  <si>
    <t>WEST CHESTER</t>
  </si>
  <si>
    <t>1405+14.5</t>
  </si>
  <si>
    <t>ON 5/31/21 AT APPROXIMATELY 20:45 CST, HYDROCARBON ALARMS ALERTED PIPELINE CONTROLLER (PC) OF A POTENTIAL HVL LEAK AT THE BOOT PUMP STATION (UNIT BOO3) INSIDE THE PUMP HOUSE.  THE  PC MADE INTERNAL NOTIFICATIONS, ISOLATED THE PIPELINE FROM THE STATION AND SHUT DOWN THE PUMP.  THE PC NOTIFIED THE COUNTY EMS / PSAP TO ADVISE OF AN ALARM INSIDE THE PUMP HOUSE AND THAT COMPANY PERSONNEL WERE RESPONDING.    COMPANY PERSONNEL INVESTIGATED THE ALARM.   LEAK WAS CONFIRMED AS BOO3 PUMP SEAL LEAK.  EQUIPMENT INSIDE THE PUMP HOUSE WAS FURTHER ISOLATED. HVL PRODUCT WAS ROUTED TO THE MAINTENANCE FLARE.      NOTE: THE PC NOTIFICATION TO COUNTY EMS / PSAP RESULTED IN EMERGENCY RESPONSE PERSONNEL  LOCAL FIRE DEPARTMENT AND COUNTY HAZMAT TEAM RESPONDING TO THE LOCATION TO ASSIST AS NECESSARY.  NO OUTSIDE EMERGENCY RESPONSE ASSISTANCE WAS REQUIRED.    INVESTIGATION DETERMINED THAT THE SEAL FAILED DUE TO THE INBOARD SEAL SET SCREWS LOOSENING WHICH ALLOWED THE ROTATING SEAL TO AXIALLY SHIFT CAUSING THE SEAL FACES TO CONTACT RESULTING IN DAMAGE TO THE FACES AND O-RING SEAL.    THE FAILED SEAL WAS REPLACED AND THE PUMP UNIT WAS INSPECTED FOR ANY OTHER ITEMS THAT COULD LEAD TO SIMILAR REOCCURRENCE.  UPON COMPLETION OF INSPECTION THE PUMP UNIT WAS RETURNED TO SERVICE ON 6/3/21.</t>
  </si>
  <si>
    <t>ROOF DRAIN CLOSED</t>
  </si>
  <si>
    <t>TANK 1531</t>
  </si>
  <si>
    <t>DUE TO HEAVY RAINS, CRUDE GOT ONTO THE TANK ROOF AND CAME OUT THE ROOF DRAIN.</t>
  </si>
  <si>
    <t>HEAVY RAIN STORM</t>
  </si>
  <si>
    <t>CONTINUOUS HEAVY RAINS</t>
  </si>
  <si>
    <t>christopher.kresta@energytransfer.com</t>
  </si>
  <si>
    <t>ON 05/19/21 AT APPROXIMATELY 9:30AM IT WAS DISCOVERED THAT 20 GALLONS OF CRUDE HAD FLOWED OUT OF THE TANK 1531 ROOF DRAIN INTO THE CONTAINMENT AREA. DURING CONTINUOUS HEAVY RAINS, TANK 1531 RECEIVED EXCESSIVE RAIN AND THE ROOF DRAINS COULD NOT KEEP UP. AS THE WEIGHT OF THE WATER INCREASED, OIL WAS ABLE TO COME UP THROUGH THE ROOF SOCKS. DURING THE MORNING ROUNDS THE RELEASE WAS DISCOVERED, THE ROOF DRAIN WAS CLOSED AND INTERNAL COMPANY NOTIFICATIONS WERE MADE.  A REMEDIATION COMPANY WAS CONTACTED TO REMOVE THE OIL FROM CONTAINMENT AND PERFORM THE CLEANUP.  ALL CONTAMINATED SOIL HAS BEEN REMOVED AND TAKEN OFF SITE FOR DISPOSAL.</t>
  </si>
  <si>
    <t>RELIEF WAS LINE WAS ISOLATED AND FLOW ON MAINLINE WAS REDUCED</t>
  </si>
  <si>
    <t>23018.01 24INCH COLORADO CITY TO EASTLAND PE2</t>
  </si>
  <si>
    <t>000+00</t>
  </si>
  <si>
    <t>ON 5/03/21 AT APPROXIMATELY 7:40AM, STATION PERSONNEL FOUND OIL INSIDE TANK 9 BERM ON A STATION RELIEF LINE INSIDE A DITCH THAT WAS PREVIOUSLY EXCAVATED FOR INTEGRITY SCANS.  APPROXIMATELY 4 BARRELS OF CRUDE WAS RELEASED.  THE LINE WAS ALREADY SHUT DOWN FOR MONTHLY GAUGING OPERATIONS.  A CLEANUP CREW ARRIVED TO CLEAN UP ALL FREE PRODUCT FROM THE EXCAVATED DITCH. A CLAMP WAS INSTALLED ON THE STATION PIPING AND THEN THE LINE WAS RETURNED TO NORMAL OPERATIONS ON THE SAME AFTERNOON.  TO PREVENT THIS FROM OCCURRING AGAIN A PIPE REPLACEMENT PROJECT HAS BEEN APPROVED AND IS BEING BUDGETED FOR THIS SECTION OF PIPING.</t>
  </si>
  <si>
    <t>PIPELINE WAS SHUT DOWN FOR FIRST OF THE MONTH GAUGING ACTIVITIES</t>
  </si>
  <si>
    <t>ON 5/01/21 AT APPROXIMATELY 7:40AM, STATION PERSONNEL FOUND OIL INSIDE A DITCH THAT WAS PREVIOUSLY EXCAVATED FOR INTEGRITY SCANS ON STATION PIPING. THE PIPELINE WAS ALREADY SHUTDOWN DUE TO MONTHLY GAUGING OPERATIONS. APPROXIMATELY 2 BARRELS OF CRUDE WAS RELEASED INTO THE OPEN DITCH ADJACENT TO A STATION RELIEF LINE.  A CLEANUP CREW ARRIVED TO CLEAN UP ALL FREE PRODUCT FROM THE EXCAVATED DITCH.  THE RELIEF LINE WAS ISOLATED AND THE PIPELINE WAS RETURNED TO SERVICE UNDER A TEMPORARILY REDUCED THROUGHPUT ON 5/01/21.  A CLAMP WAS INSTALLED AND LINE WAS RETURNED TO NORMAL OPERATION ON 5/02/21. TO PREVENT THIS FROM OCCURRING AGAIN A PIPE REPLACEMENT PROJECT HAS BEEN APPROVED AND IS BEING BUDGETED FOR THIS SECTION OF PIPING.</t>
  </si>
  <si>
    <t>CRUDE WAS REROUTED THROUGH OTHER PIPING IN THE STATION</t>
  </si>
  <si>
    <t>COMMON METER SUMP</t>
  </si>
  <si>
    <t>TRASH STUCK IN CHECK VALVE</t>
  </si>
  <si>
    <t>ON 04/30/21 AT APPROXIMATELY 11:45AM THE STATION OPERATOR NOTICED THE SUMP INDICATOR IN THE HIGH POSITION WHILE PERFORMING NORMAL CHECK. HE IMMEDIATELY PUMPED THE SUMP DOWN MANUALLY, APPROXIMATELY 32 GALLONS HAD OVERFLOWED ONTO THE GROUND.  ALL FREE PRODUCT WAS PICKED UP AND CONTAMINATED SOIL WAS REMOVED FOR OFF SITE REMEDIATION. IT WAS DETERMINED THAT TRASH HAD GOTTEN INTO THE METER SUMP CHECK VALVE AND KEPT THE VALVE FROM CLOSING COMPLETELY. THE VALVE WAS REPLACED WITH A NEW VALVE. STATION CHECKS WILL BE PERFORMED DAILY AND PERIODIC DRAINING OF THE SUMP WILL BE CONDUCTED TO VERIFY CHECK VALVE IS WORKING PROPERLY.</t>
  </si>
  <si>
    <t>BOOSTER 4120 BYPASS PIPING</t>
  </si>
  <si>
    <t>ON 04/23/21 AT APPROXIMATELY 9:30AM AN OPERATOR PREFORMING NORMAL ROUNDS NOTICED PRODUCT SPRAYING UNDER A VALVE ON THE BOOSTER 4120 BYPASS PIPING. THE OPERATOR ISOLATED THE BYPASS LINE AND RELIEVED THE PRESSURE. APPROXIMATELY 10 BARRELS OF CRUDE WAS RELEASED FROM THE BOTTOM OF THE VALVE. THE RELEASE WAS CONTAINED. ALL FREE PRODUCT WAS PICKED UP AND ALL CONTAMINATED SOIL WAS REMOVED FOR OFF SITE REMEDIATION. THE VALVE WAS REPLACED WITH A NEW VALVE. DAILY CHECKS AND FREQUENT FLUSHING OF THE BYPASS LINE WILL OCCUR TO PREVENT THIS FROM OCCURRING AGAIN.</t>
  </si>
  <si>
    <t>PUMP WAS SHUTDOWN AND ISOLATED FROM MAINLINE.</t>
  </si>
  <si>
    <t>21020 12-INCH HEBERT TO HEARNE</t>
  </si>
  <si>
    <t>COLLEGE STATION INJECTION STATION</t>
  </si>
  <si>
    <t>COLLEGE STATION</t>
  </si>
  <si>
    <t>BRAZOS</t>
  </si>
  <si>
    <t>BOOSTER</t>
  </si>
  <si>
    <t>CONFIGURATION OF STATION FLOW THROUGH THE PUMPS CAUSED SEAL TO FAIL</t>
  </si>
  <si>
    <t>ON 4/05/21 AT 3:30PM WHILE DOING STATION CHECKS AT THE COLLEGE STATION STATION AN OPERATIONS TECHNICIAN NOTICED THAT THE SEAL IN THE SMALL BOOSTER PUMP HAD A LEAK. THE TECHNICIAN IMMEDIATELY SHUT DOWN THE PUMP AND CONTAINED THE RELEASE.  APPROXIMATELY 10 GALLONS OF CRUDE WAS RELEASED FROM THE PUMP SEAL. REPORTING CRITERIA WAS MET, AND A CALL WAS PLACED TO THE TX RRC AT 3:59PM.  THE SEAL WAS REPLACED, AND THE CONTAMINATED SOIL WAS REMOVED FOR OFF SITE REMEDIATION. OPERATIONS WILL PERFORM DAILY STATION CHECKS TO INSPECT THE PUMP FOR ANY ISSUES.</t>
  </si>
  <si>
    <t>PIPELINE WAS ALREADY SHUTDOWN</t>
  </si>
  <si>
    <t>21001.09 10" TALPA TO BRONTE</t>
  </si>
  <si>
    <t>1134+74</t>
  </si>
  <si>
    <t>AXIAL LAP WELD - FULL ENCIRCLING SLEEVE</t>
  </si>
  <si>
    <t>MISALIGNMENT OF HALF SHELLS CREATED STRESS RISER AT ROOT OF AXIAL WELD</t>
  </si>
  <si>
    <t>ON 4/3/21 AT 9:30AM A LANDOWNER CONTACTED THE CONTROL CENTER TO REPORT SURFACE STAINING ON THE AMDEL TALPA TO BRONTE SEGMENT ROW CLOSE TO BALLINGER, TX. THE CONTROLLER CONTACTED LOCAL OPERATIONS PERSONNEL TO RESPOND AND INVESTIGATE. AT APPROXIMATELY 10:30AM OPERATIONS PERSONNEL ARRIVED ON SITE AND CONFIRMED CRUDE OIL STAINING ON THE SURFACE OF THE ROW. THE PIPELINE SEGMENT WAS ALREADY IN IDLE STATUS AND WAS SCHEDULED TO BE PURGED AT AT A LATER DATE. CLEAN UP AND REPAIR CREWS WERE MOBILIZED AND ARRIVED ON SITE AT APPROXIMATELY 4:00PM TO EXCAVATE THE AREA AND LOCATE THE FAILURE.  ONCE THE FAILURE POINT WAS LOCATED A MECHANICAL CLAMP WAS APPLIED TO STOP FURTHER LEAKAGE.  SUBSEQUENTLY THE PIPE IN AREA OF THE RELEASE WAS DRAINED DOWN AND THE FAILED SECTION OF PIPE WAS CUT OUT AND REPLACED.   THE FAILURE OCCURRED AT A HISTORIC FULL ENCIRCLEMENT REPAIR SLEEVE.  FURTHER EXAMINATION OF THE FAILED PIPE SECTION AND HISTORIC REPAIR WILL OCCUR AND CAUSE OF FAILURE MAY BE UPDATED VIA A SUPPLEMENTAL REPORT.    ALL FREE PRODUCT WAS PICKED UP AND CONTAMINATED SOIL WAS REMOVED FOR OFF SITE REMEDIATION.  FURTHER REMEDIAL EFFORTS FOUND THAT DUE TO THE NATURE OF THE SOIL/SAND IN THE AREA THE VOLUME RELEASED WAS LARGER THAN INITIALLY ESTIMATED.  ON 4/4/21 AT 2:00PM IT WAS DETERMINED THAT TOTAL COSTS WOULD EXCEED $50K AND THE NRC WAS NOTIFIED AT 2:08PM ON 4/4/21 (NRC # 1301934).     SINCE THE TIME OF THE PERMANENT REPAIR COMPLETION, THE TALPA TO BRONTE SEGMENT OF THE AMDEL PIPELINE HAS BEEN PURGED OF HYDROCARBONS AND IS UNDER A NITROGEN BLANKET.    UPDATE: THE RESULTS OF THE METALLURGICAL ANALYSIS INDICATE THAT THE LEAK OCCURRED AT A FATIGUE CRACK THAT INITIATED AT THE INSIDE DIAMETER SURFACE OF THE FULL ENCIRCLEMENT REPAIR SLEEVE AT THE ROOT OF THE AXIAL LAP WELD BETWEEN THE TWO HALF SHELLS OF THE SLEEVE AND PROPAGATED THROUGH WALL.  A CONTRIBUTING FACTOR WAS MISALIGNMENT BETWEEN THE HALF SHELLS OF THE SLEEVE CREATED BY THE LAP WELD.</t>
  </si>
  <si>
    <t>23002 HAWLEY TO DIXON</t>
  </si>
  <si>
    <t>23002.05 10' CHILDRESS TO GILES</t>
  </si>
  <si>
    <t>ESTELLINE</t>
  </si>
  <si>
    <t>NATIONAL</t>
  </si>
  <si>
    <t>ON 03/31/21 AT APPROXIMATELY 3:40PM THE CONTROL CENTER GOT A CALL FROM A LANDOWNER STATING THAT WHILE HE WAS PLOWING HIS FIELD THAT HE STRUCK OUR PIPELINE AND THE CRUDE OIL WAS COMING OUT. THE PIPELINE WAS SHUT DOWN AND THE SECTION OF PIPE THAT WAS STRUCK WAS ISOLATED BY VALVES UPSTREAM AND DOWNSTREAM. REPORTING CRITERIA OF MORE THAN 5 GALLONS RELEASED WAS MET AND A CALL WAS PLACED TO THE TXRRC AT 4:37PM, INCIDENT #2401. AT 4:50PM IT WAS DETERMINED THAT IMMEDIATE REPORTING CRITERIA WOULD BE MET, AND A CALL WAS PLACED TO THE NRC AT 5:05PM, NRC #1301708. A 48HR UPDATE CALL WAS PLACE TO THE NRC ON 4/1/21 AT 11:36AM NRC #1301751 TO UPDATE GPS COORDINATES AND VOLUME RELEASED. IT WAS DETERMINED THAT SEVERAL JOINTS OF PIPE NEEDED TO REPLACED TO BE ABLE TO LOWER THE PIPE TO A SAFE DEPTH. THE FAILED JOINT ALONG WITH SEVERAL OTHERS WERE REMOVED AND NEW PIPE WAS INSTALLED. THE NEW PIPE WAS HYDROTESTED ON SITE BEFORE INSTALLATION. THE NEW PIPE WAS INSTALLED AT A DEPTH IN ACCORDANCE WITH CFR 195 AND IS SAFE FROM DAMAGE FROM PLOWING. THE LINE WAS PACKED AND RESTARTED SATURDAY 4/3/21 @ 10:40AM. ALL CONTAMINATED SOIL WAS REMOVED FOR OFFSITE REMEDIATION AND NEW SOIL WAS USED FOR BACKFILLING.</t>
  </si>
  <si>
    <t>TANK WAS PULLED DOWN BELOW HI-HI LEVEL AND PUT BACK INTO SERVICE.</t>
  </si>
  <si>
    <t>LONGVIEW STATION MVPL</t>
  </si>
  <si>
    <t>26001 20' LONGVIEW TO HAYNESVILLE</t>
  </si>
  <si>
    <t>INADEQUATE MONITORING</t>
  </si>
  <si>
    <t>THE MORNING OF 03/16/21 THE CONSOLE 3 CONTROLLER HAD LONGVILLE TANKS 14 AND 10 OPEN TO EACH OTHER ACROSS THE A HEADER, AND TANK 14 OPEN TO WTG INBOUND. AT 10:54AM THE SCADA HI LEVEL ALARM CAME IN FOR TANK 14. AT 10:55AM, THE CONSOLE 3 CONTROLLER CLOSED THE VALVE TO TANK 14 ON THE HEADER, HOWEVER TANK 14 WAS STILL OPEN TO WTG INBOUND FLOW. DURING THIS TIMEFRAME, THE CONTROLLER SWEPT HIS SCREENS BUT UNFORTUNATELY OVERLOOKED THAT WTG WAS STILL DELIVERING INTO TANKAGE, AND BY CLOSING OFF T14 FROM T10 ON THE HEADER, THE LEVEL IN T14 BEGAN TO RISE FASTER. AT 11:11 THE INDEPENDENT HI-HI SWITCH ALARM CAME IN ON TANK 14, AND THE CONTROLLER IMMEDIATELY OPENED TANK 13 TO INBOUND WTG FLOW AND ISOLATED TANK 14. THE CONTROLLER THEN SPOKE WITH OPERATOR AT LONGVIEW AND TOLD HIM ABOUT THE HI-HI SWITCH ANNUNCIATION, BUT THAT THE TANK WAS ONLY READING IN THE SCADA HI LEVEL AREA. THE CONTROLLER OPENED TANKS 13 AND 14 ON THE HEADER AT 11:13AM TO HELP DRAW VOLUME OUT OF TANK 14. SHORTLY AFTER THAT AT 11:15AM, THE OPERATOR CALLED THE CONSOLE AND ADVISED THE CONTROLLER THAT THERE WAS A HOLE ON THE TOP SIDE OF THE TANK AND THAT OIL WAS COMING OUT OF THAT HOLE. APPROXIMATELY 25 GALLONS HAD LEAKED DOWN THE SIDE OF THE TANK.  THE OPS MANAGER CALLED THE CONSOLE AND LET THEM KNOW THAT THERE WAS A STREAK OF OIL DOWN THE TANK, AND THAT THE SEALS WERE VISIBLE ABOVE THE SHELL, BUT THAT WE HAD NOT FLOATED THE ROOF AWAY. BY 7:00PM, THE LEVEL IN TANK 14 WAS DRAWN DOWN SLOWLY UNDER THE SUPERVISION OF THE FIELD AND RELEASED BACK INTO NORMAL SERVICE WITH APPROVAL FROM THE OPS MANAGER AND CONTROL ROOM MANAGER, AFTER AN INSPECTION DETERMINED THAT THERE HAD NOT BEEN ANY ROOF SEAL DAMAGE. PER THE CONTROL ROOM MANAGEMENT, NO IMPAIRMENT FROM DRUGS OR ALCOHOL WAS OBSERVED FROM THE CONTROLLER. THE CONTROL ROOM MANAGER WENT OVER THE PROCEDURES WITH THE CONTROLLER TO MAKE SURE THAT HE IS PAYING ATTENTION TO HIS SCREENS AND IS AWARE OF WHAT IS GOING ON.</t>
  </si>
  <si>
    <t>JC NOLAN</t>
  </si>
  <si>
    <t>S109 TX NGL MERTENS TO CORSICANA (JC NOLAN)</t>
  </si>
  <si>
    <t>API 5L X-46</t>
  </si>
  <si>
    <t>MEALS, OVERTIME, &amp; LODGING</t>
  </si>
  <si>
    <t>ON 3/15/21 AT APPROXIMATELY 6:03PM A CONTRACTOR FOR ANOTHER COMPANY HEARD A HISSING SOUND COMING THE PIPELINE ROW.  HE CALLED THE CONTROL CENTER AND THE CONTROL CENTER CLOSED THE VALVE AT CORSICANA STATION. THE CONTROLLER THEN CALLED THE AREA OPS MANAGER AND THE OPS MANAGER SENT OUT A PIPELINER CONFIRM AND TO BEGIN ISOLATING THE SEGMENT. AT 7:48PM IT WAS CONFIRMED THAT THE RELEASE WAS COMING FROM OUR PIPELINE AT 9:37PM IT WAS DETERMINED THAT THE CRITERIA OF $50K FOR IMMEDIATE TELEPHONIC NOTIFICATION WOULD BE MET AND A CALL WAS PLACED TO THE NRC, NRC # 1300387. THE REPORTING CRITERIA WAS MET AND A CALL TO THE TXRRC WAS MADE AT 9:48PM, INCIDENT # 2389. A THIRD-PARTY COMPANY WAS CALLED OUT TO PICK UP THE FREE-STANDING PRODUCT VIA VAC TRUCK. UPON DAY LIGHT IT WAS DETERMINED THAT THE PRODUCT MIGRATED OFF THE ROW. THE PIPE WAS EXCAVATED, AND A CLAMP WAS INSTALLED. THE PIPELINE WAS RESTARTED ON 3/16/21. ON 3/17/21 AT 5:35PM A 48HR UPDATE WAS MADE TO THE NRC, NRC # 1300637. THE SECTION OF PIPE THAT FAILED WILL BE CUT OUT AT THE NEXT SCHEDULED DOWN TIME. A PLAN IS CURRENTLY BEING DEVELOPED TO CORRECT THE ISSUE AND PREVENT THIS OCCURRENCE AGAIN.</t>
  </si>
  <si>
    <t>TANK LINE WAS ISOLATED AND BYPASSED</t>
  </si>
  <si>
    <t>21004.04 10IN GOODRICH TO OTI</t>
  </si>
  <si>
    <t>THROUGH WALL CORROSION FLAW</t>
  </si>
  <si>
    <t>ON FEBRUARY 25 AT 12:21AM THE CONTROL CENTER RECEIVED AN ALARM AT THE GOODRICH STATION. THE CONTROLLER DISPATCHED A PIPELINE TECHNICIAN TO INVESTIGATE. UPON ARRIVAL AT THE GOODRICH STATION AT 2:07AM HE CONFIRMED THAT THERE WAS OIL ON THE GROUND AROUND THE BOOSTERS. THE BOOSTERS WERE SHUT DOWN AND THE MANIFOLD TANK VALVES WERE CLOSED AND ISOLATED FROM THE MAIN PIPELINE. ADDITIONAL CREWS ARRIVED AT 3:00AM. IT WAS DETERMINED THAT WE WOULD MEET THE CRITERIA FOR IMMEDIATE TELEPHONIC NOTIFICATION AND A CALL WAS PLACED TO THE NRC AT 3:02AM (NRC #1298932). THE LEAK ORIGINATED FROM TANK 200 SUCTION LINE AND UPON DAYLIGHT IT WAS DISCOVERED THAT THE CRUDE GOT INTO A LOW AREA IN STATION AND MIGRATED OFF THE STATION PROPERTY ABOUT 25 YARDS. NO WATER WAS IMPACTED. CLEAN UP CREWS ARRIVED TO PICK UP ALL FREE PRODUCT AND REMOVE CONTAMINATED SOIL FOR REMEDIATION.  APPROXIMATELY 174 BARRELS OF CRUDE WAS RELEASE DUE TO INTERNAL CORROSION. TANK 200 SUCTION LINE WAS HYDRO EXCAVATED TO EXPOSE THE LEAK POINT AND A PLIDCO CLAMP INSTALLED. ON FEBRUARY 26 AT 8:00AM A 48HR UPDATE TO THE NRC WAS MADE TO UPDATE THE GPS COORDINATES AND VOLUME RELEASED, (NRC # 1299038). TANK 200 SUCTION LINE IS STILL PURGED AND ISOLATED FROM THE SYSTEM UNTIL PERMANENT REPAIRS CAN BE MADE. THE PIPELINE IS CURRENTLY BEING TREATED AND MONITORED VIA COUPONS. THE RELEASE OCCURRED ON THE 7 O'CLOCK POSITION ON THE PIPE THAT WAS 12 FEET DEEP. THIS WAS A LOW SPOT ON THE PIPE.</t>
  </si>
  <si>
    <t>STATION WAS ISOLATED AND BYPASSED</t>
  </si>
  <si>
    <t>ABBEVILLE STATION MVPL</t>
  </si>
  <si>
    <t>27001.01 22"  MAYERSVILLE TO ABBEVILLE</t>
  </si>
  <si>
    <t>ABBEVILLE</t>
  </si>
  <si>
    <t>LAFAYETTE</t>
  </si>
  <si>
    <t>ON FEBRUARY 22, 2021 AT APPROXIMATELY 8:30AM WHILE CONDUCTING A ROUTINE STATION CHECK AT ABBEVILLE STATION, A PIPELINER DISCOVERED CRUDE ON THE GROUND BENEATH THE 12IN MAINLINE RELIEF LINE RELIEVES INTO THE TANK. APPROXIMATELY 15 BARRELS OF CRUDE HAD BEEN RELEASED FROM A PINHOLE AT THE 6 O'CLOCK POSITION DUE TO INTERNAL CORROSION. THE MANIFOLD WAS CLOSED, THE STATION WAS ISOLATED FROM THE MAINLINE AND THE STATION WAS BYPASSED. A CLEAN UP COMPANY WAS CALLED TO PICK UP ALL FREE PRODUCT AND CONTAMINATED SOIL FOR REMEDIATION OFFSITE. CLEAN SOIL WAS BROUGHT IN. ON MARCH 12, 2021, IT WAS DETERMINED THAT WE WOULD MEET THE CRITERIA FOR IMMEDIATE TELEPHONIC NOTIFICATION AND CALL WAS PLACED TO THE NRC AT 1:29PM (NRC # 1300179). THE SECTION OF PIPE WITH THE PINHOLE WAS CUT OUT AND REPLACED AND THE RELIEF LINE WAS PLACED BACK INTO SERVICE. THE MID VALLEY PIPELINE IS ALREADY BEING TREATED AND MONITORED WITH COUPONS. TO HELP PREVENT THIS FROM OCCURRING IN THE FUTURE THE RELIEF LINE WILL BE FLUSHED TO HELP WITH PRODUCT NOT STAYING STAGNATE IN THE RELIEF LINE.</t>
  </si>
  <si>
    <t>AIR PATROL</t>
  </si>
  <si>
    <t>23002.01 10IN HAWLEY TO RULE</t>
  </si>
  <si>
    <t>ANSON</t>
  </si>
  <si>
    <t>JONES</t>
  </si>
  <si>
    <t>ORIGINAL MANUFACTURING-RELATED (NOT GIRTH WELD OR OTHER WELDS FORMED IN THE FIELD)</t>
  </si>
  <si>
    <t>BRITTLE OVERLOAD AND TENSILE STRESS ON PIPE THREADS</t>
  </si>
  <si>
    <t>ON FEBRUARY 20, 2021 AT APPROXIMATELY 11:30AM WHILE THE AERIAL PATROL WAS FLYING THE PIPELINE; THE PILOT NOTICED OIL ON THE GROUND. THE PILOT IMMEDIATELY NOTIFIED THE OPERATIONS MANGER AND A PIPELINER WAS DISPATCHED TO THE LOCATION TO INVESTIGATE. AT 12:07PM THE PIPELINER ARRIVED ON SITE AND CONFIRMED THE RELEASE WAS COMING FROM THE HAWLEY TO RULE 10 INCH PIPELINE. APPROXIMATELY 195 BARRELS OF CRUDE WAS RELEASED. A CALL WAS PLACED TO THE TX RRC AT 12:25PM (INCIDENT # 2368). AT THE SAME TIME, IT WAS DETERMINED THAT RELEASE WOULD MEET THE TELEPHONIC REPORTING CRITERIA AND CALL WAS PLACED TO THE NRC AT 1:03PM (NRC # 1298505). AN OSRO WAS CONTACTED AND ARRIVED ON SITE TO PICK UP ALL FREE-STANDING PRODUCT AND REMOVE THE CONTAMINATED SOIL. ON FEBRUARY 22,2021 AT 8:18AM A 48HR UPDATE WAS PLACED TO THE NRC (NRC # 1298638). UPON INVESTIGATION, IT WAS DETERMINED THAT THE PIPE IN THIS AREA WAS COLLARED PIPE AND THE THREADS FOR THE COLLAR SEPARATED RESULTING IN THE RELEASE. TO PREVENT RECURRENCE, THE SECTION UP PIPE THAT INCLUDED THE COLLAR WAS CUT OUT AND REPLACED WITH NEW PIPE ON FEBRUARY 22ND AND LOWERED ACROSS THE ROAD WAY TO A DEEPER DEPTH. THE PIPELINE WAS RESTARTED  ON FEBRUARY 23RD.     UPDATE: THE RESULTS OF THE METALLURGICAL ANALYSIS INDICATED THAT THE FAILURE OCCURRED AT THE THREADS AS A RESULT OF BRITTLE OVERLOAD. THE OVERLOAD LIKELY OCCURRED AS A RESULT OF TENSILE STRESSES PRODUCED BY LONGITUDINAL OR BENDING FORCES. THE FAILURE ORIGINS WERE LOCATED AT THE ROOT OF A THREAD AT THE 2:34 ORIENTATION. CONTRIBUTING FACTORS TO THE FAILURE INCLUDE THE GEOMETRY OF THE THREADS AND THE TOUGHNESS PROPERTIES OF THE PIPE. THE GEOMETRY OF THE THREADS CREATED A STRESS CONCENTRATION AT THE ROOT OF THE THREAD, AND THE TAPER OF THE THREADS RESULTED IN A REDUCED WALL THICKNESS, INCREASING THE STRESS STATE IN THE PIPE AT THE FAILURE ORIGIN. THE HIGH TRANSITION TEMPERATURE OF THE STEEL RESULTED IN BRITTLE FRACTURE. FURTHER, THE COLD WORKING ASSOCIATED WITH CREATING THE THREADS DECREASED THE DUCTILITY AT THE THREADS.</t>
  </si>
  <si>
    <t>SYSTEM WAS ALREADY DOWN ON SCHEDULE</t>
  </si>
  <si>
    <t>SWEETWATER PUMP STATION</t>
  </si>
  <si>
    <t>S514-S502 BADEN TO SWEETWATER JC NOLAN</t>
  </si>
  <si>
    <t>SWEETWATER</t>
  </si>
  <si>
    <t>NOLAN</t>
  </si>
  <si>
    <t>VENT</t>
  </si>
  <si>
    <t>ON FEBRUARY 15, 2021 AT APPROXIMATELY 8:20AM A LANDOWNER CALLED THE COMPANY CONTROL ROOM REPORTING A TANK OVERFLOW AT THE PUMP STATION IN SWEETWATER TEXAS.  AT 8:27AM THE CONTROL ROOM CALLED OPERATIONS PERSONNEL TO INVESTIGATE.  AT 9:46AM OPERATIONS PERSONNEL ARRIVED AT THE SWEETWATER PUMP STATION AND CONFIRMED THE TANK OVERFLOW AND SHUT THE TANK SHELL VALVE TO STOP THE OVERFILL.  THE OPERATIONS PERSONNEL DETERMINED THE RELEASE WAS GREATER THAN 5 GALLONS AND TX RRC WAS NOTIFIED (INCIDENT 2355).  AT APPROXIMATELY 10:50 AM IT WAS DETERMINED THAT THE RELEASE WOULD MEET TELEPHONIC REPORTING CRITERIA AND A CALL WAS PLACED TO THE NRC AT 11:32AM (NRC #1298034). UPON FURTHER INVESTIGATION, IT WAS DETERMINED THAT THE PRODUCT HAD MIGRATED OFF THE STATION PROPERTY ONTO A AN ADJACENT PROPERTY. A CLEAN UP COMPANY WAS DISPATCHED AND BEGAN CLEANUP OF FREE PRODUCT AND CONTAMINATED SOIL REMEDIATION. ON FEBRUARY 16TH AT 5:35PM A 48HR UPDATE WAS PLACED TO THE NRC (NRC #1298168).     THE CAUSE OF THE OVERFILL WAS DETERMINED TO BE THE RELIEF VALVE FROM THE PIPELINE FAILING OPEN WHICH ALLOWED THE TANK TO CONTINUOUSLY FILL.  THIS RELIEF VALVE IS ACTIVATED ON PRESSURE AND UNDER NORMAL OPERATION HELD CLOSED BY NITROGEN PRESSURE UNTIL THE RELIEF SETPOINT IS REACHED.  THE AMBIENT TEMPERATURES THAT DAY WERE SUBFREEZING AND THERE WAS A POWER OUTAGE.   THE POWER OUTAGE ALLOWED THE NITROGEN TANK HEATERS TO FAIL WHICH THEN CAUSED THE NITROGEN TO LEAK OUT OF THE RELIEF VALVE ALLOWING IT TO FAIL OPEN.  AT THE TIME, THE PIPELINE WAS NOT IN OPERATION BUT WAS HOLDING APPROXIMATELY 189 PSI OF STATIC PRESSURE.  DUE TO THE RELIEF VALVE FAILING OPEN THE STATIC PRESSURE ON THE PIPELINE BLED OFF THROUGH THE RELIEF VALVE AND CAUSED THE TANK TO OVERFILL.  11/04/2024 - UPDATED BY PHMSA PER OPERATOR APPROVAL.</t>
  </si>
  <si>
    <t>SYSTEM WAS IN STATIC CONDITION AND FILTER WAS ISOLATED</t>
  </si>
  <si>
    <t>AMERIGAS DELIVERY SITE</t>
  </si>
  <si>
    <t>12131 6" MONTELLO TO MOUNTAIN HOME RD CONNECTION</t>
  </si>
  <si>
    <t>SINKING SPRING BOROUGH</t>
  </si>
  <si>
    <t>FILTER VESSEL CLOSURE (O-RING)</t>
  </si>
  <si>
    <t>A REVIEW OF THE ACCIDENT DETERMINED THAT THERE WERE NO CONTROL ROOM ACTIONS THAT CONTRIBUTED TO THE EVENT.  CONTROLLER TOOK APPROPRIATE ACTIONS TO SCADA ALARM.</t>
  </si>
  <si>
    <t>NICK PAVLOVSKY</t>
  </si>
  <si>
    <t>SPECIALIST - DOT COMPLIANCE</t>
  </si>
  <si>
    <t>ON 2/08/21 AT APPROXIMATELY 18:38 CST, UPON LINING UP VALVES FOR A DELIVERY INTO A 3RD PARTY TERMINAL FACILITY THE PIPELINE CONTROLLER RECEIVED AN LEL ALARM PRIOR TO INITIATING THE DELIVERY.  AT THE TIME THE DELIVERY PIPING WAS IN A STATIC CONDITION AND UPON RECEIVING THE ALARM THE CONTROLLER ABORTED THE DELIVERY.  NOTIFICATIONS TO SUPERVISOR AND FIELD PERSONNEL WERE MADE. AT 20:45 EST FIELD PERSONNEL CONFIRMED A LEAK ORIGINATING AT A FILTER VESSEL CLOSURE (O-RING).  THE FILTER WAS ISOLATED, DE-INVENTORIED AND THE O-RING WAS REMOVED AND REPLACED.  CAUSE OF THE O-RING FAILURE IS UNDER INVESTIGATION BY THE O-RING MANUFACTURER. THE FILTER VESSEL EQUIPMENT IS CURRENTLY BYPASSED UNTIL THE CAUSE OF THE O-RING FAILURE IS DETERMINED.  SCHEDULED DELIVERIES TO THE 3RD PARTY CONTINUE TO OCCUR ON SCHEDULE.      4/15/21 THE EQUIPMENT MANUFACTURER DETERMINED THE O-RING FAILED DUE TO THERMAL (REFRIGERATION) EFFECTS ON THE O-RING ASSOCIATED WITH RAPID DECOMPRESSION RELATED TO NORMAL PRESSURE CYCLING ASSOCIATED WITH THE DELIVERY. MANUFACTURER SUGGESTED AN O-RING WITH A GREATER COLD TEMPERATURE RATING MAY RESOLVE THE LEAK PROBLEM. ET ENGINEERING AND OPERATIONS DETERMINED THAT THE SUGGESTED O-RING WILL BE USED AND WILL ALSO IMPLEMENT A SHUTDOWN VALVE SEQUENCE CHANGE TO LIMIT THE RANGE OF PRESSURE CYCLING ON SHUT DOWN.</t>
  </si>
  <si>
    <t>GARDEN CITY STATION: GARDEN CITY TO NEDERLAND 10"</t>
  </si>
  <si>
    <t>GARDEN CITY</t>
  </si>
  <si>
    <t>GLASSCOCK</t>
  </si>
  <si>
    <t>1322+97</t>
  </si>
  <si>
    <t>ON 1/29/21 AT APPROXIMATELY 08:39 AN OVERFLOW OF APPROXIMATELY 25 GALLONS OF CRUDE FROM THE SUMP AT GARDEN CITY STATION WAS DISCOVERED.  A CREW WAS PERFORMING ROUTINE MAINTENANCE AT THIS TIME AND CLOSED AN INCORRECT VALVE WHICH CAUSED A THERMAL PRESSURE RELIEF TO BE ACTIVATED.  THIS PRESSURE RELIEF IS PIPED TO THE SUMP AND THE FLOW OVERWHELMED THE SUMP RESULTING IN THE OVERFLOW BEFORE THE VALVE COULD BE REOPENED.  ONCE THE VALVE WAS REOPENED THE PRESSURE RELIEF ACTIVATION CEASED.  ALL FREE PRODUCT WAS RECOVERED AND CONTAMINATED SOIL WAS REMOVED FOR OFF-SITE REMEDIATION.  WORK WAS STOPPED AND PLAN REVIEWED WITH EMPHASIS ON POSITIVE VALVE IDENTIFICATION AND FOLLOWING PROCEDURE.</t>
  </si>
  <si>
    <t>SUMP WAS ISOLATED FROM THE SYSTEM BY VALVES</t>
  </si>
  <si>
    <t>MILLENNIUM</t>
  </si>
  <si>
    <t>21010.05 TEXOMA TO MVPL 12"</t>
  </si>
  <si>
    <t>CONTROL LOGIC ELECTRONICS FAILURE</t>
  </si>
  <si>
    <t>ON 1/25/2021 AT APPROXIMATELY 10:00AM FIELD OPERATOR WAS PERFORMING ROUTINE STATION CHECK AND IDENTIFIED OIL ON THE GROUND AT THE MILLENNIUM METER SKID SUMP. APPROXIMATELY 1 BARREL OF CRUDE OIL HAD OVERFLOWED FROM THE SUMP. THE SUMP PUMP WAS MANUALLY ACTIVATED TO DRAIN THE SUMP AND THEN IT WAS ISOLATED FROM THE SYSTEM FOR INVESTIGATION.  ALL FREE PRODUCT WAS RECOVERED AND THE CONTAMINATED SOIL WAS REMOVED FOR OFF-SITE REMEDIATION. UPON INVESTIGATION IT WAS DETERMINED THAT THE SUMP CONTROL LOGIC ELECTRONICS HAD FAILED TO ACTIVATE THE SCADA SUMP HIGH LEVEL ALARM WHICH WOULD HAVE RESULTED IN THE PUMP BEING STARTED REMOTELY.  THE FAILED ELECTRONICS CARD WAS REMOVED AND REPLACED.  THE CONTROL LOGIC WAS TESTED AND FOUND TO BE WORKING PROPERLY AFTER THIS REPLACEMENT AND THE SUMP WAS RETURNED TO SERVICE.</t>
  </si>
  <si>
    <t>BOOSTER 4420 DISCHARGE PIPE</t>
  </si>
  <si>
    <t>ON 1/06/21 AT 2:15PM WHILE A STATION OPERATOR WAS MAKING HIS ROUNDS NOTICED A SMALL PUDDLE OF OIL NEAR THE NORTH LOOP ROAD INSIDE THE CORSICANA STATION. APPROXIMATELY 20 GALLONS OF CRUDE HAD LEAKED FROM THE BOOSTER 4420 DISCHARGE PIPE. THE BOOSTER WAS NOT RUNNING AT THE TIME OF THE RELEASE. THE DISCHARGE LINE WAS ISOLATED, AND PRODUCT REROUTED AROUND THE BOOSTER. THE LINE WAS EXCAVATED AND A CLAMP INSTALLED. THE CONTAMINATED SOIL WAS REMOVED FOR OFF SITE REMEDIATION. THE PRODUCT IS BEING TREATED AND A ROUTINE FLUSHING PROGRAM IS IN PLACE. THIS SECTION OF PIPE WILL EITHER BE REPLACED OR REMOVED AT A LATER DATE DEPENDING ON OPERATIONAL NEEDS.</t>
  </si>
  <si>
    <t>SAMARIA STATION</t>
  </si>
  <si>
    <t>28003.02 22' CYGNET TO SAMARIA</t>
  </si>
  <si>
    <t>ON 12/28/20 AT 2:00PM WHILE THE FIELD OPERATOR WAS CONDUCTING HIS ROUTINE STATION CHECKS, HE NOTICED CRUDE ON THE GROUND UNDER A FLANGE. THE OPERATOR CALLED THE CONTROL CENTER TO SHUT DOWN THE LINE. IT WAS DETERMINED THAT 3 BARRELS OF CRUDE HAD LEAKED OUT ONTO THE GROUND. THE LEAK WAS COMING FROM THE RECEIVER'S 12" RELIEF LINE FLANGE WELD AT THE 6 O'CLOCK POSITION. THE PIPELINE IS BEING TREATED WITH BIOCIDES AND INHIBITORS. WHEN THE RELIEF LINE IS BEING USED PERSONNEL WILL FLUSH OUT ANY RESIDUAL PRODUCT TO MAKE SURE THAT INTERNAL CORROSION IS MINIMIZED. THE FLANGE WAS CUT OUT AND REPLACED AND THE LINE WAS PUT BACK INTO SERVICE. ALL CONTAMINATED SOIL WAS REMOVED FOR OFF SITE REMEDIATION.</t>
  </si>
  <si>
    <t>CRUDE WAS REROUTED TO ANOTHER PIPE AND TANK</t>
  </si>
  <si>
    <t>BOOSTER 4420 BYPASS LINE</t>
  </si>
  <si>
    <t>MC TUBULAR PRODUCTS INC.</t>
  </si>
  <si>
    <t>ON 12/25/20 AT APPROXIMATELY 3:42 PM A STATION OPERATOR WHILE CONDUCTING HIS ROUNDS NOTICED CRUDE ON THE GROUND BENEATH THE BYPASS LINE TO THE BOOSTER. APPROXIMATELY 60 BARRELS OF CRUDE WAS RELEASED ON THE GROUND INSIDE THE CORSICANA STATION. THE BYPASS LINE WAS SHUT DOWN AND THE PRODUCT REROUTED TO ANOTHER TANK. AT 4:54PM IT WAS DETERMINED THAT THE REPAIR COST WOULD EXCEED 50K AND A CALL WAS PLACED TO THE NRC AT 5:14PM. NRC # 1294986. AFTER THE BYPASS LINE WAS DRAINED DOWN THE FIELD OPERATORS PLACED SKILLET BLINDS ON EITHER END TO POSITIVELY ISOLATE THE SECTION OF LINE. A CLAMP WAS PLACED ON THE LEAK TO STOP ANY RESIDUAL CRUDE FROM LEAKING. DUE TO THE LOCATION OF THE RELEASE POINT, THE LEAK SECTION WILL BE CUT OUT AND REPLACED AT A LATER DATE. THE LINE SECTION REMAINS ISOLATED. A VAC TRUCK WAS BROUGHT IN TO RETRIEVE ALL FREE PRODUCT FROM THE GROUND. ALL CONTAMINATED SOIL WAS REMOVED FOR OFF SITE REMEDIATION.</t>
  </si>
  <si>
    <t>MT. BELVIEU STATION</t>
  </si>
  <si>
    <t>P226 LONE STAR</t>
  </si>
  <si>
    <t>MT. BELVIEU</t>
  </si>
  <si>
    <t>CHAMBERS</t>
  </si>
  <si>
    <t>ON 12/15/20 AT APPROXIMATELY 1:00PM A CONTRACTOR HEARD A FIZZLE TYPE NOISE COMING FROM THE PIG TRAP AREA OF THE P226 PROPANE LINE. HE WALKED OVER AND OBSERVED A SMALL LEAK COMING FROM THE 1INCH BYPASS LINE. THE CONTRACTOR CLOSED OFF THE AREA AND CONTACTED THE FACILITY OPERATIONS. AT 1:10PM WATER WAS INTRODUCED TO THE LEAK TO KEEP FROM FREEZING AND BLOCKING. ANOTHER LINE WAS OPENED, AND THE PROPANE WAS REROUTED TO PULL DOWN PRODUCT IN THE LINE ALONG WITH USING A FRAC TANK. PRESSURE STABILIZED AT 122 PSI. FLARES WERE BROUGHT IN TO BURN OFF REMAINING PRODUCT. NITROGEN WAS USED TO PURGE THE LINE. ONCE THE FLARE DOWN WAS COMPLETED AND THE AREA LEL WAS DOWN THE NEXT DAY, OPERATIONS WERE ABLE TO GET TO THE LEAK SITE SAFELY AND IT WAS DETERMINED THAT THE PIG LAUNCHER 1INCH PIPE NIPPLE CONNECTING THE 1INCH BYPASS/EQUALIZER TUBE VALVE HAD CRACKED AT THE TREADS. IT WAS CALCULATED THAT 12 BARRELS OF PROPANE WAS RELEASE FROM THE CRACKED NIPPLE. AN ENGINEERING STUDY FOR BRACING WILL BE CONDUCTED TO PREVENT THIS FROM HAPPENING AGAIN.</t>
  </si>
  <si>
    <t>WEST TEXAS GULF</t>
  </si>
  <si>
    <t>TEAGUE</t>
  </si>
  <si>
    <t>92222+03</t>
  </si>
  <si>
    <t>CRACKING ASSOCIATED WITH A HARD SPOT IN BASE METAL</t>
  </si>
  <si>
    <t>719-989-4527</t>
  </si>
  <si>
    <t>ON 12/14/20 AT APPROXIMATELY 7:56AM A LANDOWNER NOTIFIED THE COMPANY OF A STAIN ON THE WTG WORTHAM TO TRINITY ROW.  THE PIPELINE SEGMENT WAS SHUTDOWN AND ISOLATED. LOCAL OPERATIONS PERSONNEL RESPONDED TO INVESTIGATE. THE AREA WAS EXCAVATED AND IT WAS DETERMINED THAT APPROXIMATELY 1.5 BARRELS HAD BEEN RELEASED.  A MECHANICAL PLIDCO CLAMP WAS INSTALLED, AND THE PIPELINE WAS RESTARTED LATER THAT DAY. ALL CONTAMINATED SOIL WAS REMOVED FOR OFF SITE REMEDIATION. THE FAILED SECTION OF PIPE WILL BE CUT OUT AND REPLACED AT A FUTURE DATE.  THE FAILED SECTION WILL BE SENT TO A THIRD PARTY FOR METALLURGICAL ANALYSIS.  UPON FINAL DETERMINATION OF FAILURE MECHANISM A SUPPLEMENTAL/FINAL 7000.1 REPORT WILL BE FILED.    UPDATE: THE RESULTS OF THE METALLURGICAL ANALYSIS INDICATE THAT THE LEAK WAS ASSOCIATED WITH TWO AXIAL CRACKS THAT FORMED IN A LOCAL HARD SPOT WITHIN THE BASE METAL AND THAT INITIATED FROM BOTH THE EXTERNAL AND INTERNAL SURFACES OF THE PIPE.</t>
  </si>
  <si>
    <t>PIPELINE WAS ALREADY DOWN DUE TO WEATHER</t>
  </si>
  <si>
    <t>23002.04 10' TRUSCOTT TO CHILDRESS</t>
  </si>
  <si>
    <t>GUTHRIE</t>
  </si>
  <si>
    <t>KING</t>
  </si>
  <si>
    <t>ON 11/25/20 AT APPROXIMATELY 10:00AM THE OPS SUPERVISOR WAS NOTIFIED BY THE AERIAL PATROL PILOT ABOUT SEEING A STAIN 1000 FT NORTH OF THE TRUSCOTT STATION. FIELD PERSONNEL WAS DISPATCHED TO THE LOCATION AND THE PIPELINE WAS EXCAVATED. IT WAS DETERMINED THAT 10 BARRELS HAD LEAKED OUT ONTO THE GROUND. THE LINE SEGMENT WAS ISOLATED, AND A CLAMP WAS INSTALLED. ON 11/27-11/28 THE SEGMENT OF PIPE WITH THE LEAK WAS CUT OUT AND REPLACED. THE PIPELINE WAS RESTARTED ON 11/28. ALL CONTAMINATED SOIL WAS REMOVED FOR OFFSITE REMEDIATION AND NEW BACKFILL WAS BROUGHT IN.</t>
  </si>
  <si>
    <t>PERMIAN EXPRESS 4</t>
  </si>
  <si>
    <t>ON 11-01-20 AT APPROXIMATELY 2:00PM, EMPLOYEES WERE COMPLETING THE FLUSHING PROGRAM ON THE METER SKIDS AND FOUND PRODUCT ON THE GROUND. THEY IMMEDIATELY CONTACTED THE OPERATIONS SUPERVISOR AND HE HAD THEM SHUT DOWN PE4 OUTBOUND, PE2 INBOUND AND NUSTAR PIPELINES. CONTRACTORS WERE CONTACTED AND BEGAN HYDRO EXCAVATING THE LINE.  APPROXIMATELY 4.3 BARRELS OF CRUDE WAS RELEASED FROM THE SURGE RELIEF LINE FROM THE PE4 METER SKID. A CLAMP WAS INSTALLED, AND THE LINE WAS PUT BACK INTO SERVICE THE NEXT DAY.  ALL CONTAMINATED SOIL WAS REMOVED FOR REMEDIATION AND REPLACED WITH CLEAN SOIL.</t>
  </si>
  <si>
    <t>LINE WAS ALREADY DOWN</t>
  </si>
  <si>
    <t>FT. LUPTON</t>
  </si>
  <si>
    <t>PLATTEVILLE-FT. LUPTON 12'</t>
  </si>
  <si>
    <t>829+03</t>
  </si>
  <si>
    <t>SAMPLER ON METER SKID</t>
  </si>
  <si>
    <t>ON 10/28/20 AT APPROXIMATELY 11:24AM CST, AN ELECTRICAL CONTRACTOR WAS RETRIEVING HIS WORK TRAILER FROM THE FT LUPTON DELIVERY STATION AND OBSERVED A RELEASE OF APPROXIMATELY 2 BARRELS FROM THE METER SKID. HE IMMEDIATELY CONTACTED COMPANY PERSONNEL. THE LINE WAS ALREADY SHUT DOWN DUE TO THE METER BEING WORKED ON THE PREVIOUS DAY. THE SKID WAS ISOLATED TO STOP THE RELEASE.  ALL CONTAMINATED SOIL WAS REMOVED FOR OFFSITE REMEDIATION AND CLEAN SOIL WAS PUT IN. ALL REPAIRS TO THE METER SKID AND SAMPLER WHERE COVERED BY THE MANUFACTURER.</t>
  </si>
  <si>
    <t>LINE WAS NOT IN USE AT THE TIME</t>
  </si>
  <si>
    <t>ON 10/28/20 AT 4:30AM A CRUDE OIL RELEASE OF APPROXIMATELY 4 BARRELS WAS LOCATED AT TEXOMA MANIFOLD ON A 30-INCH TANK LINE TO TANK 1529. THIS LINE WAS BLOCKED IN AND NOT IN USE AT THIS TIME DUE TO THE INTEGRITY DEPARTMENT PERFORMING ASSESSMENTS ON ASSOCIATED PIPELINES FOR FACILITY INTEGRITY.  OPERATIONS IMMEDIATELY OPENED THE DRAIN TO THE SUMP ON THE 1529 LINE TO SLOW THE LEAK. A VACUUM TRUCK WAS BROUGHT IN TO PULL THE REMAINING CRUDE FROM THIS SECTION OF PIPE AND THE MAINTENANCE DEPARTMENT INSTALLED A CLAMP ON THE PIPELINE.  THE SOIL UNDER THE MANIFOLD AREA WAS REMOVED FOR ONSITE REMEDIATION.  CORROSION INHIBITOR AND BIOCIDE WILL BE INJECTED TO THE LINES FEEDING THIS SYSTEM UPSTREAM TO PREVENT REOCCURRENCE.</t>
  </si>
  <si>
    <t>DELAWARE PIPELINE LEA STATION</t>
  </si>
  <si>
    <t>23023 16 INCH LEA TO ANDREWS</t>
  </si>
  <si>
    <t>DOT - COMPLIANCE SPECIALIST</t>
  </si>
  <si>
    <t>ON 10/26/2020 AT APPROXIMATELY 8:00AM WHILE CONDUCTING STATION CHECKS AN OPERATOR NOTICED OIL ON THE GROUND BENEATH THE TRAP. THE OPERATOR ISOLATED THE TRAP, BUT THIS DID NOT STOP THE LEAK. THE STATION AND PIPELINE WERE SHUTDOWN DOWN TO STOP THE LEAK. UPON INVESTIGATION, IT WAS DETERMINED THAT THE O-RING ON THE WARNING LOCK HAD FAILED ON THE PIG LAUNCHER DOOR. THE O-RING WAS REPLACED, AND THE STATION AND PIPELINE WAS RESTARTED THE SAME DAY. ALL CONTAMINATED SOIL WAS REMOVED AND REMEDIATED.</t>
  </si>
  <si>
    <t>CRUDE WAS REROUTED</t>
  </si>
  <si>
    <t>TEXACO MANIFOLD VALVE T326</t>
  </si>
  <si>
    <t>REDUCER PLUG</t>
  </si>
  <si>
    <t>719-989-7077</t>
  </si>
  <si>
    <t>ON 10/18/20 AT 7:30AM, A CONTRACTOR LOCATED OIL LEAKING FROM THE BOTTOM OF THE T326 VALVE ON THE TEXACO MANIFOLD. UPON INSPECTION BY THE DUTY FOREMAN, IT WAS NOTED THAT A PLUG WAS LEAKING AT THE BOTTOM OF THE VALVE, APPROXIMATELY 2 BARRELS WAS RELEASED. OPERATIONS BLOCKED IN THE LINE AND REROUTED THE FLOW OF CRUDE. OPERATIONS PUT A SUCTION ON THE LINE TO STOP THE LEAK. A VACUUM TRUCK WAS CALLED TO REMOVE THE OIL FROM UNDER THE VALVE. IT WAS FOUND THAT THE REDUCER PLUG HAD FAILED DUE TO CORROSION. A NEW PLUG WAS INSTALLED ON THE REDUCER. REMEDIATION OF THE SOIL AROUND THE SPILL WAS COMPLETED ON SITE.</t>
  </si>
  <si>
    <t>PIPELINE WAS NOT OPERATING / NOT SCHEDULED TO OPERATE.</t>
  </si>
  <si>
    <t>11010 TWIN OAKS TO NEWARK 14INCH PIPELINE</t>
  </si>
  <si>
    <t>VALVE SECTION 0083A</t>
  </si>
  <si>
    <t>SCOTCH PLAINS TWP.</t>
  </si>
  <si>
    <t>MLV-83</t>
  </si>
  <si>
    <t>A COMPANY MAINTENANCE TECHNICIAN WAS IN THE PROCESS OF CONDUCTING A VALVE INSPECTION AT MLV 83 NEAR THE INTERSECTION OF LAKE AVE AND GOODMAN XING ROADS IN SCOTCH PLAINS TWP., NJ. MLV 83 IS A MANUAL VALVE THAT IS NORMALLY OPEN. UPON OPERATING THE VALVE AS PART OF THE INSPECTION, THE MAINTENANCE TECHNICIAN OBSERVED A SMALL LEAK COMING FROM THE GREASE FITTING EXTENSION NIPPLE. FURTHER ASSESSMENT DETERMINED THERE WAS DIESEL PRODUCT IN THE VALVE VAULT. NOTIFICATIONS WERE MADE TO SUPERVISOR AND RESPONDERS. THE FREE PRODUCT/WATER MIXTURE WAS COLLECTED FROM THE VAULT VIA VACUUM TRUCK.  A TOTAL OF 13.7 GALLONS WAS RECOVERED.  IT WAS DETERMINED THAT THE NIPPLE HAD A PINHOLE CORROSION LEAK THAT WAS NOT APPARENT UNTIL ACTUATING THE VALVE THEREBY INCREASING PRESSURE ON THE NIPPLE.  THE  GREASE FITTING EXTENSION NIPPLE WAS REPLACED.</t>
  </si>
  <si>
    <t>TERMINAL DOWN DUE HURRICANE DELTA</t>
  </si>
  <si>
    <t>DUE TO IMPACTS FROM HURRICANE DELTA, CRUDE GOT ONTO THE TANK ROOF AND CAME OUT THE ROOF DRAIN.</t>
  </si>
  <si>
    <t>,,,HURRICANE DELTA ,,,,,,</t>
  </si>
  <si>
    <t>ON 10/10/20 AT APPROXIMATELY 9AM IT WAS DISCOVERED THAT 10 BARRELS OF CRUDE HAD FLOWED OUT OF THE TANK 1531 ROOF DRAIN INTO THE CONTAINMENT AREA. DURING HURRICANE DELTA, TANK 1531 RECEIVED EXCESSIVE RAIN AND THE ROOF DRAINS COULD NOT KEEP UP. AS THE WEIGHT OF THE WATER INCREASED, OIL WAS ABLE TO COME UP THROUGH THE ROOF SOCKS. DURING THE MORNING ROUNDS THE RELEASE WAS DISCOVERED, THE ROOF DRAIN WAS CLOSED AND COMPANY PERSONNEL WERE SUMMONED. A REMEDIATION COMPANY WAS CONTACTED TO REMOVE THE OIL FROM CONTAINMENT AND PERFORM THE CLEANUP. ALL CONTAMINATED SOIL HAS BEEN REMOVED AND TAKEN OFF SITE FOR DISPOSAL.</t>
  </si>
  <si>
    <t>TEMP. PLUG USED. THEN NEW THREADED PLUG INSTALLED ON SAME DAY</t>
  </si>
  <si>
    <t>GARDEN CITY TO BIG SPRING 10INCH</t>
  </si>
  <si>
    <t>BIG SPRING</t>
  </si>
  <si>
    <t>GROVE</t>
  </si>
  <si>
    <t>VALVE WATER DRAIN PLUG</t>
  </si>
  <si>
    <t>CHRISTOPHER KRESTA</t>
  </si>
  <si>
    <t>ON 9/14/2020 AT APPROXIMATELY 9:30AM WHILE CONDUCTING A DOT INSPECTION OF THE10 INCH MAINLINE VALVE AT MILE MARKER (3.0). THE MAIN LINE VALVE'S 1 INCH WATER DRAIN PORT PLUG WAS BEING REMOVED TO DRAIN WATER WHEN THE PLUG ABRUPTLY DISENGAGED THE THREADS AND 3 BARRELS OF PRODUCT WAS RELEASED. THE OPERATOR CALLED THE SUPERVISOR AND WAS INSTRUCTED TO TEMPORARILY PLUG THE OPENING TO STOP THE FLOW OF PRODUCT. THE PRODUCT FLOWED OFF THE PROPERTY ONTO ANOTHER OPERATOR'S PROPERTY.  NO PUBLIC OR PRIVATE PROPERTY WAS IMPACTED.  ADDITIONAL RESOURCES ARRIVED WITH A NEW WATER DRAIN PLUG. THE NEW PLUG WAS INSTALLED, AND THE PRODUCT WAS CLEANED UP.  THE SOIL WAS REMEDIATED ON SITE AND CLEAN SOIL WAS BROUGHT IN.  IN THIS TYPE OF VALVE, WATER DROPOUT CAN COLLECT ON THE BOTTOM OF THE VALVE AND IS THE REASON FOR THE DRAIN PLUG. OVER TIME THE PLUG DETERIORATED. THE VALVE IS DRAINED EVERY SIX MONTHS ALONG WITH THE DOT MAINLINE VALVE INSPECTIONS. THEY WILL BE CONTINUED TO BE OPERATED AND DRAINED EVERY SIX MONTHS AND REPLACED AS NEEDED.</t>
  </si>
  <si>
    <t>OPERATOR FROM OTHER COMPANY</t>
  </si>
  <si>
    <t>BEAUMONT STATION</t>
  </si>
  <si>
    <t>NEDERLAND ACCESS</t>
  </si>
  <si>
    <t>BEAUMONT</t>
  </si>
  <si>
    <t>ON 8-25-20 AT APPROXIMATELY 9:00AM, THE HEBERT OPERATIONS SUPERVISOR RECEIVED NOTIFICATION FROM EXXON MOBILE THAT OIL WAS LEAKING AT BEAUMONT STATION. THE OIL MIGRATED OFF OUR PROPERTY ONTO THE ADJOINING EXXON FACILITY. NO PUBLIC LAND WAS AFFECTED. THE CONTROL CENTER WAS NOTIFIED TO SHUT DOWN THE PIPELINE. THE PIPELINE SEGMENT AND TRAP WERE ISOLATED. AFTER EXCAVATING IT WAS DETERMINED THAT THE 8 INCH KICKER LINE ON 16 INCH PIG TRAP HAD A HOLE AT THE 6 OCLOCK POSITION RELEASING APPROXIMATELY 23 BARRELS OF CRUDE OIL ONTO THE SOIL. THE REPAIR AND START-UP WAS PROLONGED DUE TO HURRICANE LAURA AND THE COMPLEXITY OF THE EXCAVATION. INITIAL ESTIMATES WERE BELOW THE IMMEDIATE REPORTING CRITERIA. BUT DUE TO THE COMPLEXITY OF THE EXCAVATION AND REPAIR, A NOTIFICATION WAS PLACED TO THE NRC ON 9/28/2020 AT 2:51PM, NRC # 1288501, DUE TO INVOICES COMING IN AND MEETING THE 50K THRESHOLD.  ALL SOIL AND ROCK WAS REMEDIATED OFF SITE.</t>
  </si>
  <si>
    <t>PIPELINE WAS ON SCHEDULED SHUTDOWN</t>
  </si>
  <si>
    <t>PANS</t>
  </si>
  <si>
    <t>MISALIGNMENT DUE TO APPARENT VALVE STEM DAMAGE</t>
  </si>
  <si>
    <t>877-917-0448</t>
  </si>
  <si>
    <t>ON 8/12/2020 AT APPROXIMATELY 9 AM, AN OPERATOR DISCOVERED CRUDE LEAKING FROM WEEPING VALVE STEM AT THE  PANS LAUNCHER TRAP. THE TRAP AND VALVE WERE ISOLATED AND ALL FREE PRODUCT WAS RECOVERED VIA A VACUUM TRUCK.  CONTAMINATED SOIL WAS REMOVED FOR ON SITE REMEDIATION AND CLEAN SOIL AND GRAVEL WERE BROUGHT IN.  APPROXIMATELY 20 GALLONS OF CRUDE OIL WAS RELEASED. UPON INVESTIGATION THE STEM PACKING ON THE VALVE FAILED DUE TO APPARENT DAMAGE TO THE VALVE STEM. THE VALVE STEM AND PACKING WERE REPAIRED AND THE VALVE AND TRAP WERE RETURNED TO SERVICE.</t>
  </si>
  <si>
    <t>FACILITY WAS NOT OPERATING DUE TO TROPICAL STORM ISAIAS WIDESPREAD FLOODING.</t>
  </si>
  <si>
    <t>DARBY CREEK TANK FARM</t>
  </si>
  <si>
    <t>#4 OIL WATER SEPARATOR APPURTENANCE</t>
  </si>
  <si>
    <t>SHARON HILL</t>
  </si>
  <si>
    <t>MANHOLE AND OIL WATER SEPARATOR</t>
  </si>
  <si>
    <t>LINED CONCRETE SEPARATOR</t>
  </si>
  <si>
    <t>FACILITY WAS ALREADY SHUTDOWN DUE TO STORM AND OVERFILL OCCURRED BECAUSE OF LOCAL FLOODING.</t>
  </si>
  <si>
    <t>SEPARATOR OVERFLOW DUE TO LOCAL FLOODING FROM STORM</t>
  </si>
  <si>
    <t>ON 8/4/2020 AT APPROXIMATELY 12:30 AM A COMPANY TANK FARM OPERATOR DISCOVERED A SHEEN OUTSIDE THE PUMP HOUSE.  IMMEDIATE NOTIFICATION WAS MADE TO MANAGEMENT AND THE AFFECTED EQUIPMENT WAS ISOLATED.  TROPICAL STORM ISAIAS IMPACTS CAUSED FLOOD WATER TO OVERFILL THE # 4 SEPARATOR WHICH CAUSED A CRUDE OIL SHEEN TO SURFACE ON THE WATER IN THE AREA.  BOOM WAS PLACED TO CONTAIN AND ABSORB THE OILY SHEEN. THE SHEEN WAS FULLY CONTAINED ON THE FACILITY PROPERTY AND OSRO'S WERE DISPATCHED TO ASSIST WITH RECOVERY.  THE FACILITY WAS ALREADY SHUT DOWN AS PART OF THE STORM PREPARATION AND THE FACILITY WAS NOT DELIVERING TO ANY PIPELINE.</t>
  </si>
  <si>
    <t>WTG WORTHAM TO TRINITY</t>
  </si>
  <si>
    <t>ON 08/04/20 DURING A STATION CHECK AT 7:15AM OF WORTHAM STATION THE OPERATOR NOTICED OIL ON THE GROUND. THE OPERATOR CALLED THE CONTROL CENTER AND HAD THE PIPELINE SHUT DOWN. THE RELEASE WAS DUG UP AND APPROXIMATELY 4 BARRELS OF CRUDE HAD BEEN RELEASED. THE RELEASE OCCURRED ON A 10 INCH KICKER LINE OFF OF THE LAUNCHER. THIS SECTION WAS PIPE WAS ISOLATED AND A CLAMP WAS INSTALLED.  AND THE PIPELINE WAS PUT BACK INTO SERVICE AT 5:19PM. ALL OF THE CONTAMINATED SOIL WAS REMOVED AND REMEDIATED. THE ISOLATED SECTION OF PIPE WAS REMOVED AND THE FLANGES BLINDED TO PREVENT THIS FROM HAPPENING AGAIN.</t>
  </si>
  <si>
    <t>16' LEA TO MIDLAND PERMIAN EXPRESS TERM</t>
  </si>
  <si>
    <t>2087+41</t>
  </si>
  <si>
    <t>ON 08/03/20 AT APPROXIMATELY 2:20AM THE FIELD OPERATIONS WERE NOTIFIED BY A TRUCK DRIVER DELIVERING INTO ANDREW STATION THAT THERE WAS PRODUCT ON THE GROUND. AT 2:21AM THE PIPELINE WAS SHUT DOWN UNTIL OPERATIONS COULD IDENTIFY WHERE THE SOURCE OF THE LEAK WAS. IT WAS DETERMINED THAT THE RELEASE WAS COMING FROM THERMAL RELIEF TUBING INSIDE THE FITTING. APPROXIMATELY 3.26 BARRELS OF CRUDE WAS RELEASE ON THE GROUND. AN ISOLATION VALVE TO THE THERMAL RELIEF WAS SHUT TO ISOLATE THE RELEASE AND THE PIPELINE WAS RESTARTED AT 3:34AM. THE CONTAMINATED SOIL WAS REMEDIATED AND THE TUBING, PLUS THE FURRULE AND NUT HAVE BEEN REPLACE. SUPPORT HAS BEEN ADDED TO THE TUBING TO KEEP THIS FROM HAPPENING AGAIN.</t>
  </si>
  <si>
    <t>SUMP OVERFILL</t>
  </si>
  <si>
    <t>INADVERTENT VALVE ACTUATION</t>
  </si>
  <si>
    <t>REGULATORY SPECIALIST</t>
  </si>
  <si>
    <t>ON 07/07/20 AT APPROXIMATELY 11:00AM THE ROTATION MANIFOLD SUMP OVERFLOWED RESULTING IN THE RELEASE OF APPROXIMATELY 2 BBLS OF CRUDE OIL.  OPERATORS WERE PERFORMING FINAL CHECKS ON TANK 1537 TO BRING IT BACK IN SERVICE AFTER MAINTENANCE. THE OPERATOR WAS CYCLING THE TANK GATE VALVES FOR TANK 1537 AND UNINTENTIONALLY ACTIVATED THE GATE VALVE FOR TANK 1540 WHICH WAS RECEIVING AT THE TIME. THE TANK 1540 VALVE BEING CYCLED WAS NOTED IMMEDIATELY BY THE OPERATOR AND CORRECTED HOWEVER IT CAUSED THE PRESSURE RELIEF ON THE FILL LINE TO ACTIVATE SENDING SOME PRODUCT TO THE SUMP RESULTING IN THE OVERFILL.  THE PRESSURE RELIEF ACTIVATED AS INTENDED AT 150 PSIG BUT THE LINE MOP IS 285 PSIG.  MOP OF THE FILL LINE WAS NOT EXCEEDED.  ALL FREE PRODUCT WAS RECOVERED VIA VACUUM TRUCK AND CONTAMINATED SOIL WAS REMOVED FOR ON-SITE REMEDIATION.</t>
  </si>
  <si>
    <t>TANK LINE WAS ISOLATED WHICH ALLOWED FACILITY TO CONTINUE TO OPERATE</t>
  </si>
  <si>
    <t>TANK 1538 DRAIN LINE</t>
  </si>
  <si>
    <t>A REVIEW OF THE ACCIDENT DETERMINED THAT THERE WERE NO CONTROL ROOM ACTIONS THAT CONTRIBUTED TO THE EVENT</t>
  </si>
  <si>
    <t>ON 6/21/2020 AT APPROXIMATELY 21:30 A RELEASE WAS DISCOVERED FROM A DRAIN LINE ASSOCIATED WITH TANK 1538.  APPROXIMATELY 2 BBLS OF CRUDE OIL WAS RELEASED.  THE LINE WAS IMMEDIATELY ISOLATED AND A CLAMP WAS APPLIED TO THE FAILURE POINT TO PREVENT FURTHER LEAKAGE.  ALL FREE PRODUCT WAS CLEANED UP AND CONTAMINATED SOIL WAS REMOVED FOR ON-SITE REMEDIATION.  A NEW PIPE CONFIGURATION WAS DEVELOPED TO AID IN PREVENTION OF A FUTURE RECURRENCE OF SIMILAR FAILURE MECHANISM.  THE FAILED SECTION OF PIPE WAS REMOVED AND REPLACED AS A PART OF THIS NEW CONFIGURATION.  AFTER FAILED PIPE REMOVAL FURTHER INVESTIGATION DETERMINED THAT INTERNAL CORROSION DUE TO INTERMITTENT FLOW IN THIS DRAIN LINE CAUSED A PINHOLE ON THE BOTTOM OF THE PIPE.</t>
  </si>
  <si>
    <t>SUMP WAS BYPASSED AND LOCKED OUT WHILE REPAIRS WERE MADE</t>
  </si>
  <si>
    <t>ON 6/21/2020 AT APPROXIMATELY 1:15AM A RELEASE WAS DISCOVERED AT THE SUMP ASSOCIATED WITH THE DOE MANIFOLD.  APPROXIMATELY 2 BBLS OF CRUDE OIL WAS RELEASED.  FREE PRODUCT WAS RECOVERED VIA VAC TRUCK AND CONTAMINATED SOIL WAS REMOVED FOR ONSITE REMEDIATION.  IT WAS DETERMINED THAT THE SUMP PUMP SWITCH HAD MALFUNCTIONED AND THE PUMP DID NOT START IN ORDER TO EVACUATE THE SUMP.  EARLIER HEAVY RAINS THAT DAY EXACERBATED THIS ISSUE.  THE TERMINAL HAD A VAC TRUCK MAKING ROUNDS TO ASSIST IN EMPTYING OF SUMPS SO THAT THEIR CAPACITY WAS NOT OVERWHELMED DURING THE STORM HOWEVER THE HEAVY RAIN AND LIGHTENING IN THE AREA REQUIRED THE CREW TO STOP ROUNDS.  THE FAILED SWITCH WAS REPLACED AND THE SUMP RETURNED TO NORMAL OPERATION.</t>
  </si>
  <si>
    <t>STATION WAS ALREADY BYPASSED AND ISOLATED FROM MAINLINE</t>
  </si>
  <si>
    <t>10" NEDERLAND TO LONGVIEW</t>
  </si>
  <si>
    <t>2363+79</t>
  </si>
  <si>
    <t>VALVE PACKING DETERIORATION</t>
  </si>
  <si>
    <t>ON MAY 19, 2020 AT APPROXIMATELY 8:30 LOCAL OPERATIONS PERSONNEL DISCOVERED CRUDE ON THE GROUND AT THE SOUR LAKE STATION EAST TEXAS 10-INCH METER VALVE WHILE PERFORMING A ROUTINE STATION CHECK NEAR THE MANIFOLD AREA.  THE STATION WAS ISOLATED FROM THE MAINLINE AND NOT IN OPERATION AT THE TIME OF THE DISCOVERY.  TO FURTHER ISOLATE THE RELEASE, THE VALVE UPSTREAM INSIDE THE STATION OF THE AFFECTED AREA WAS CLOSED.  THE TX RRC WAS NOTIFIED AND CASE NO. 2213 WAS ASSIGNED.  IT WAS DETERMINED THE RELEASE WAS CAUSED FROM THE STEM PACKING FAILING ON THE METER VALVE (VALVE ID 160).  THE CONTAMINATED SOIL WAS REMOVED FOR ON-SITE REMEDIATION.  THE VALVE STEM PACKING WAS REPLACED AND THE VALVE AND METER HAS BEEN PLACE BACKED INTO SERVICE.  VALVE WILL REMAIN ON CYCLE FOR ROUTINE MAINTENANCE TO PREVENT RECURRENCE.</t>
  </si>
  <si>
    <t>JOHNSONS CORNER PUMP STATION</t>
  </si>
  <si>
    <t>29004 - 30" WATFORD CITY TO PATOKA</t>
  </si>
  <si>
    <t>JOHNSONS CORNER</t>
  </si>
  <si>
    <t>1/2" STAINLESS STEEL TUBING</t>
  </si>
  <si>
    <t>A REVIEW OF THE INCIDENT DETERMINED THAT THERE WERE NO CONTROL ROOM ACTIONS THAT CONTRIBUTED TO THE EVENT.</t>
  </si>
  <si>
    <t>SMALL DIAMETER STAINLESS STEEL TUBING FAILURE (CRACK) AT FITTING INTERFACE DUE TO THERMAL STRESSING.</t>
  </si>
  <si>
    <t>ON 5/13/20 AT 08:12 CONTROL CENTER RECEIVED AN LEL ALARM FROM THE JOHNSON'S CORNER PUMP STATION.  THE STATION WAS IMMEDIATELY SHUTDOWN.  CONTROLLER CONTACTED LOCAL FIELD OPERATIONS MANAGEMENT TO INVESTIGATE.  UPON INVESTIGATION AN APPROXIMATE 4.6 BARREL RELEASE FROM FAILED 1/2"STAINLESS STEEL TUBING WAS IDENTIFIED.  ALL FREE PRODUCT WAS CONTAINED WITHIN THE PUMP BUILDING ON THE CONCRETE FLOOR AND WAS PICKED UP WITH A VAC TRUCK AND ABSORBENT PADS.  THE FAILED TUBING WAS PART OF A THERMAL RELIEF SYSTEM BETWEEN THE PUMP DISCHARGE CHECK VALVE AND GATE VALVE.  THIS TUBING WAS MOUNTED IN A FIXED OVERHEAD POSITION WHICH DID NOT ALLOW FOR MOVEMENT AND THERMAL FLUCTUATIONS OVER TIME STRESSED THE TUBING TO FAIL AT THE FITTING.  THE TUBING WAS REPLACED AND THE PUMP STATION RETURNED TO SERVICE.  COMMON DESIGNS AT OTHER PUMP STATIONS ON THE SYSTEM WERE INSPECTED FOR SIMILAR CONDITION AND ADDRESSED AS NEEDED.  TO PREVENT RECURRENCE, THE THERMAL RELIEF TUBING WILL BE BROUGHT DOWN FROM THE OVERHEAD FIXED LOCATION AND RE POSITIONED IN A MANNER THAT WILL BE SUPPORTED BUT ALSO ALLOW FOR MOVEMENT DUE TO THERMAL FLUCTUATIONS WHICH WILL PREVENT UNDUE STRESSES BEING IMPARTED ON THE TUBING AND ASSOCIATED FITTINGS.  THIS WILL ALSO BE COMPLETED AT ALL OTHER PUMP STATIONS ON THE SYSTEM WITH COMMON DESIGN.</t>
  </si>
  <si>
    <t>RELEASE OCCURED ON AUXILIARY PIPING THAT WAS ISOLATED</t>
  </si>
  <si>
    <t>WTG COLORADO STATION</t>
  </si>
  <si>
    <t>23010 26"COLORADO CITY TO WORTHAM</t>
  </si>
  <si>
    <t>ON MAY 8, 2020, AN OPERATOR WAS PERFORMING STATION CHECKS AT COLORADO CITY STATION. AT APPROXIMATELY 7:30AM, THE OPERATOR NOTICED CRUDE ON THE SOIL NEAR THE WEST TEXAS GULF (WTG) SUMP.  THE SUMP AND ASSOCIATED PIPING WAS ISOLATED AND ADDITIONAL PERSONNEL DISPATCHED TO EXCAVATE THE AREA, CLEAN UP ANY FREE PRODUCT AND REMOVE CONTAMINATED SOIL FOR ON-SITE REMEDIATION.  AFTER EXCAVATION THE SOURCE OF THE RELEASE WAS IDENTIFIED AS A PINHOLE IN THE 4" STEEL DISCHARGE PIPE FROM THE WTG PUMP SUMP.  A PLIDCO CLAMP WAS INSTALLED AND THE SUMP WAS PLACED BACK INTO SERVICE.  DISCHARGE LINE WILL BE FULLY REPLACED.</t>
  </si>
  <si>
    <t>WHITE CLIFFS PIPELINE, LLC</t>
  </si>
  <si>
    <t>DEER CREEK STATION</t>
  </si>
  <si>
    <t>WHITE CLIFFS 1 PIPELINE</t>
  </si>
  <si>
    <t>LAMONT</t>
  </si>
  <si>
    <t>GRANT</t>
  </si>
  <si>
    <t>RUBBER VITON</t>
  </si>
  <si>
    <t>A REVIEW OF THE ACCIDENT DETERMINED THAT THERE WERE NO CONTROL ROOM ACTIONS THAT CONTRIBUTED TO THE EVENT.  CONTROLLER RESPONSE ACTIONS WERE APPROPRIATE.</t>
  </si>
  <si>
    <t>ON MAY 4, 2020, AT APPROXIMATELY 9:00 PM THE CONTROL CENTER NOTIFIED THE WHITE CLIFF OKLAHOMA AREA MANAGER OF AN LEL ALARM ON PUMP 1 AT DEER CREEK STATION NEAR LAMONT OKLAHOMA. THE CONTROL CENTER THEN SHUTDOWN AND ISOLATED THE STATION REMOTELY USING MOVS AND THE STATION WAS PLACED IN BYPASS MODE. THE AREA MANAGER CALLED OUT A PIPELINE OPERATOR TO INVESTIGATE THE LEL ALARM. THE PIPELINER ARRIVED ON LOCATION AT APPROXIMATELY 9:50 PM TO DISCOVER AN ICE BALL AND VAPOR CLOUD LOCATED NEAR THE TOP OF THE CHECK VALVE ON THE 12-INCH PIPING NEAR PUMP 1. THE OPERATOR NOTIFIED HIS MANAGER OF THE AIR RELEASE. LELS WERE MONITORED THROUGHOUT THE FACILITY AND A RISK ASSESSMENT WAS COMPLETED. THE PERSONNEL ON SITE WORKED TO ISOLATE THE STATION PUMP PIPING FURTHER BY CLOSING THE UPSTREAM VALVE ON THE RECEIVER TRAP AND DOWNSTREAM VALVE OF THE LAUNCH TRAP. STARTING AT 11:45 PM THE PIPELINER BEGAN SENDING NGL FROM THE PUMP PIPING TO THE MAINTENANCE FLARE TO REDUCE PRESSURE ON THE PIPING AND REDUCE VAPOR RELEASE. THE FLARE WAS IGNITED AT 1:00 AM ON MAY 5, 2020, WAS MANNED, AND CONTINUED OPERATION UNTIL 7:00 AM MAY 6, 2020. AT 7:30 AM ON MAY 6, 2020 THE FLARE DOWN WAS COMPLETE AND THE STATION PIPING WAS DISPLACED WITH NITROGEN TO ALLOW FOR THE BONNET OF THE CHECK VALVE TO BE INSPECTED.  IT WAS DETERMINED THAT THE O-RING HAD FAILED DUE TO IMPROPER INSTALLATION. THE O-RING WAS REMOVED AND REPLACED. THE BONNET OF THE CHECK VALVE WAS TORQUED TO SPECIFICATIONS AND THE STATION WAS FLOODED WITH NGL AND RETURNED TO NORMAL OPERATION AT APPROXIMATELY 4:30 PM ON MAY 6, 2020.</t>
  </si>
  <si>
    <t>LOLA FINNEY STATION</t>
  </si>
  <si>
    <t>26010 - 16/18" TEXOMA TO FINNEY</t>
  </si>
  <si>
    <t>SHREVEPORT</t>
  </si>
  <si>
    <t>SR. MANAGER - DOT COMPLIANCE</t>
  </si>
  <si>
    <t>ON APRIL 23, 2020 AT APPROXIMATELY 10:00 AM, 20 GALLONS OF CRUDE WAS DISCOVERED HAVING BEEN RELEASED FROM THE 12" METER RELIEF LINE THAT GOES TO A TANK INSIDE FINNEY STATION.  A CREW WAS DISPATCHED TO CLEAN UP THE RELEASE AND REMOVE CONTAMINATED SOIL FOR ONSITE REMEDIATION.  THE AREA WAS EXCAVATED AND VIA VISUAL EXAMINATION IT WAS DETERMINED THAT INTERNAL CORROSION WAS THE CAUSE OF THE FAILURE.  A CLAMP WAS INSTALLED ON THE RELIEF PIPING AND THE PIPELINE WAS RESTARTED.  THE FAILED SECTION WILL BE REMOVED AND REPLACED DURING SCHEDULED DOWNTIME OF STATION. THE RELIEF LINE HAS BEEN PLACED ON A ROUTINE FLUSHING SCHEDULE TO AID IN PREVENTION OF A RECURRENCE.</t>
  </si>
  <si>
    <t>3RD PARTY TRUCKING COMPANY</t>
  </si>
  <si>
    <t>BARSTOW STATION</t>
  </si>
  <si>
    <t>PECOS CROSSING 1 BARSTOW</t>
  </si>
  <si>
    <t>WARD</t>
  </si>
  <si>
    <t>VALVE INADVERTENTLY BUMPED OPEN</t>
  </si>
  <si>
    <t>ON 4/2/20 AT APPROXIMATELY 8:30AM, A 3RD PARTY OPERATOR FIELD TECHNICIAN CONTACTED THE CONTROL CENTER WHEN HE NOTICED CRUDE AT THE OUTBOUND LACT UNIT IN THE BARSTOW STATION. AN ETC TECHNICIAN WAS DISPATCHED TO THE STATION AND THE LACT UNIT WAS SHUTDOWN. THE TECHNICIAN ARRIVED ON SITE AT 9:00AM; AT 10:00AM, THE RELEASE WAS CONFIRMED TO BE COMING FROM THE ETC OUTBOUND LACT UNIT.  IT WAS DETERMINED AFTER AN INVESTIGATION, THAT THE ACCIDENT WAS CAUSED BY A 1/4INCH DRAIN LINE VALVE HAD BEEN INADVERTENTLY BUMPED OPEN ALLOWING CRUDE TO FLOW INTO THE SUMP OVERWHELMING THE SUMP PUMP AND 13.9 BARRELS OF CRUDE OVERFLOWED. A VAC TRUCK PICKED UP ALL FREE CRUDE AND THE SOIL WAS REMEDIATED. THE 1/4INCH VALVE WAS REPLACED AND THE LACT UNIT SKID WAS INSPECTED AND LOCKS PLACED ON ALL DRAIN LINE VALVES ON THE SKID.</t>
  </si>
  <si>
    <t>CORSICANA TO TYLER JUNCTION 12INCH</t>
  </si>
  <si>
    <t>26007-12INCH CORSICANA TO TYLER JUNCTION</t>
  </si>
  <si>
    <t>NARVARRO</t>
  </si>
  <si>
    <t>NOT MANDATED</t>
  </si>
  <si>
    <t>ON MARCH 29, 2020 AT APPROXIMATELY 8:59PM, A LANDOWNER CONTACTED THE CONTROL CENTER WHEN HE NOTICED OIL NEAR THE ROW ON HIS PROPERTY. THE CONTROL CENTER SHUT DOWN THE PIPELINE AND CALLED OUT A TECHNICIAN TO INVESTIGATE THE CALL. UPON ARRIVAL, THE TECHNICIAN CONFIRMED AT 11:13PM THAT OIL WAS IN THE ROW AND CALLED HIS SUPERVISOR AND ISOLATED THE DOWNSTREAM VALVE. A CALL TO THE NRC OCCURRED AT 11:45PM (NRC# 1274469) AND A 48HR FOLLOW UP CALL OCCURRED ON MARCH 31 AT 11:03AM (NRC# 1274561). THE TX RRC WAS ALSO CONTACTED AND CASE NO. 2172 WAS ASSIGNED.  APPROXIMATELY 50 BARRELS OF CRUDE OIL WAS RELEASED FROM THE PIPELINE. OSROS WAS DISPATCHED TO AID IN CLEAN UP AND MITIGATION EFFORTS. AN INTEGRITY CREW WAS DISPATCHED AS WELL TO UNCOVER THE AFFECTED AREA AND APPLY A PLIDCO CLAMP TO THE PIPELINE. THE PIPELINE WAS RESTARTED THE MORNING OF MARCH 31ST. A VAC TRUCK PICKED UP ALL FREE PRODUCT AND OSRO CLEANED AFFECTED AREA AND SOIL REMEDIATION. THE PIPELINE WAS BACKFILLED; WITH LEAVING THE PLIDCO CLAMP AREA EXPOSED TO BE MONITORED. THE CAUSE OF THE RELEASE WAS DETERMINED BY FIELD EXAMINATION TO BE EXTERNAL CORROSION. THE FAILED SECTION OF PIPE WILL BE CUT OUT AND REPLACED IN JULY 2020 DURING A SCHEDULED DOWNTIME FOR THE PIPELINE.</t>
  </si>
  <si>
    <t>SCHEDULED SHUTDOWN OCCURRED PRIOR TO THE RELEASE DISCOVERY</t>
  </si>
  <si>
    <t>MARCUS HOOK TANK FARM # 2</t>
  </si>
  <si>
    <t>TANK 319 FACILITY PIPING</t>
  </si>
  <si>
    <t>THE TRANSMIX LEAK WAS OBSERVED AS A MIST COMING FROM A FAILED 3/4 INCH FITTING AT THE BASE OF A PUMP RELIEF VALVE. TANK FARM PERSONNEL IDENTIFIED LEAK.  NO CONTROL ROOM ACTIONS CONTRIBUTED TO THE EVENT.</t>
  </si>
  <si>
    <t>ON 3/26/2020 AT APPROXIMATELY 12:30 A COMPANY TANK FARM OPERATOR DISCOVERED A TRANSMIX LEAK INTO THE TANK 319 DIKE CONTAINMENT AREA AT THE TANK 319 TRANSMIX TRANSFER PUMP DISCHARGE PRESSURE RELIEF VALVE PIPING.  THE OPERATOR ISOLATED THE EQUIPMENT AND MADE NOTIFICATION TO SUPERVISOR.    THE SOURCE OF THE TRANSMIX LEAK WAS IDENTIFIED AS A FAILED 3/4 INCH PIPE NIPPLE LOCATED ON 2 INCH DISCHARGE PIPING IMMEDIATELY DOWNSTREAM OF THE DISCHARGE SIDE OF TRANSMIX PUMP P-8104.  THE FAILED 3/4 INCH NIPPLE WAS BETWEEN THE 2 INCH PIPING AND THE INLET TO PRV-8105.     FIELD INSPECTION OF THE FAILED FITTING DETERMINED THE FAILURE OCCURRED AT THE THREADED AREA OF THE NIPPLE ON THE END CONNECTED TO THE 2 INCH TRANSMIX TRANSFER PIPING.  FAILURE WAS ATTRIBUTED TO VIBRATION.  THE NIPPLE WAS REPLACED AND THE SYSTEM RETURNED TO SERVICE.  FURTHER ANALYSIS DETERMINED THAT THE FAILURE OCCURRED DUE TO THE TRANSMIX TRANSFER PUMP CONTINUING TO RUN AFTER INTENDED SHUTDOWN WHICH FILLED THE HEADER WITH PRODUCT CAUSING THE PUMP TO DEADHEAD AGAINST THAT PRESSURE RESULTING IN THE VIBRATION.  ALL PROGRAMMING LOGIC WAS REVIEWED AND NO PROBLEMS WERE DISCOVERED.  TO PREVENT RECURRENCE THE TRANSFER PUMP DISCHARGE SHUTDOWN SET POINT WILL BE LOWERED FURTHER WHICH WILL ENHANCE THE SECONDARY PROTECTIVE PROGRAMMING LOGIC IN PLACE CURRENTLY AND PREVENT CONTINUED PUMP OPERATION ONCE THE LOWER SET POINT IS REACHED.</t>
  </si>
  <si>
    <t>8" MCCLELLAN TO MERTEN</t>
  </si>
  <si>
    <t>GREY</t>
  </si>
  <si>
    <t>#29984.8</t>
  </si>
  <si>
    <t>CHRIS PALAFOX</t>
  </si>
  <si>
    <t>REGULATORY COMPLIANCE SPECIALIST</t>
  </si>
  <si>
    <t>MANAGER-INTRASTATE REGULATORY COMPLIANCE</t>
  </si>
  <si>
    <t>ON 3/25/20 AT APPROXIMATELY 14:24 THE COMPANY WAS NOTIFIED BY A 3RD PARTY OF A POTENTIAL CRUDE OIL RELEASE ON THE 8 INCH MCCLELLAN TO MERTEN PIPELINE NEAR PAMPA, TX.  COMPANY OPERATIONS PERSONNEL WERE DISPATCHED AND ARRIVED ON SITE AT APPROXIMATELY 14:45 AND CONFIRMED THE RELEASE.  THE CONTROL CENTER LOCATED IN HOUSTON, TX WAS IMMEDIATELY CONTACTED AND THE LINE WAS SHUTDOWN.  UPSTREAM AND DOWNSTREAM VALVES WERE CLOSED TO ISOLATE THE SEGMENT.  THE TX RRC WAS CONTACTED AT 15:01 AND INCIDENT NO. 2170 WAS ASSIGNED. REPAIR CREW ARRIVED AT APPROXIMATELY 23:00, EXCAVATED AND INSTALLED A REPAIR CLAMP.  ALL FREE PRODUCT WAS PICKED UP AND CONTAMINATED SOIL WAS REMOVED.  ON 3/26/20 AT APPROXIMATELY 10:04 THE PIPELINE WAS RESTARTED WHILE THE CLAMP WAS MONITORED.     THERE IS EVIDENCE OF A PRIOR RELEASE FROM A 3RD PARTY FLOW LINE CONNECTED TO A WELL HEAD APPROXIMATELY 50 TO 100 FEET UPHILL FROM THE RELEASE SITE.  THIS FLOW LINE IS NOT ASSOCIATED WITH THE MCLELLAN TO MERTEN SEGMENT AND IS OWNED AND OPERATED BY AN UNRELATED 3RD PARTY PRODUCER.  THE PRIOR RELEASE FROM THE FLOW LINE CONTAMINATED THE SOIL WITH HIGH CHLORIDES AND OTHER POTENTIAL CONTAMINANTS WHICH RESULTED IN A LOCALIZED, HIGHLY CORROSIVE ENVIRONMENT. CATHODIC PROTECTION LEVELS IN THE AREA ARE IN COMPLIANCE WITH 195 REQUIREMENTS BUT WERE NOT SUFFICIENT TO MITIGATE THE CORROSIVE EFFECTS OF THIS ENVIRONMENT.    A SUPPLEMENTAL CP SYSTEM INSTALLATION IS PLANNED TO BE INSTALLED IN 2020 IN THE AREA OF THE RELEASE SITE.  AN ILI ASSESSMENT IS SCHEDULED FOR 2ND QUARTER 2020.  THE REPAIR CLAMP WILL BE REMOVED AND THE FAILED SEGMENT OF PIPE PERMANENTLY REPAIRED IN CONJUNCTION WITH THE RESPONSE TO THE ILI ASSESSMENT.</t>
  </si>
  <si>
    <t>TERMINAL WAS SHUT DOWN DUE TO NORMAL MAINTENANCE AND SCHEDULING</t>
  </si>
  <si>
    <t>MIDLAND TERMINAL</t>
  </si>
  <si>
    <t>00.0+00.0</t>
  </si>
  <si>
    <t>ON MARCH 22, 2020 AT APPROXIMATELY 12:30 AT THE SUNOCO MIDLAND TERMINAL, CONTRACTORS AROUND THE WEST MANIFOLD DISCOVERED A CRUDE OIL LEAK. THE CONTRACTORS NOTIFIED COMPANY PERSONNEL OF THE CRUDE OIL ON THE GROUND. AT 13:30, COMPANY RESOURCES ARRIVED ONSITE AND AT 14:00, IT WAS CONFIRMED THAT THE RELEASE CAME FROM A 12-INCH DRAIN LINE COMING OFF THE MANIFOLD.  THE TX RRC WAS CONTACTED TELEPHONICALLY AND INCIDENT NO. 21676 WAS ASSIGNED.  THE TERMINAL WAS ALREADY SHUTDOWN FOR NORMAL MAINTENANCE AND SCHEDULING REQUIREMENTS. THE UPSTREAM AND DOWNSTREAM VALVES WERE CLOSED TO ISOLATE THE MANIFOLD. ALL FREE PRODUCT WAS PICKED UP BY A VAC TRUCK AND THE SOIL HAS BEEN REMEDIATED. THE DRAIN LINE HAS BEEN DISCONNECTED FROM THE MANIFOLD AND THE LINE WAS PURGED AND BLINDED OFF TO PREVENT FURTHER INTRODUCTION OF PRODUCT AND LEAKS IN THE FUTURE.                                                                                                                                                                                                                                                                                                                                                                              THIS TERMINAL IS UNDER THE JURISDICTION OF THE TEXAS RAILROAD COMMISSION.  ON MARCH 22, 2020, THIS INCIDENT WAS REPORTED TO THE TEXAS RAILROAD COMMISSION (TXRRC# 2167) AT 1650 HRS.</t>
  </si>
  <si>
    <t>RIVERSIDE STATION</t>
  </si>
  <si>
    <t>RIVERSIDE TO WEILAND</t>
  </si>
  <si>
    <t>FRANKLIN TOWNSHIP</t>
  </si>
  <si>
    <t>NESS</t>
  </si>
  <si>
    <t>CRACK IN BODY</t>
  </si>
  <si>
    <t>ON 03/06/2020, A CRUDE OIL RELEASE OF 4 BARRELS OCCURRED AT RIVERSIDE STATION DUE TO A MECHANICAL FAILURE ON THE DISCHARGE PUMP. AFTER INVESTIGATION IT WAS DETERMINED THAT THE ROD ON THE PUMP BACKED OFF DUE TO MISALIGNMENT AND CAUSED THE PISTON TO STRIKE THE END CAP OF THE PUMP CRACKING THE END CAP AND CAUSING A RELEASE. THE PRODUCT WAS COMPLETELY CONTAINED ON COMPANY PROPERTY. THE CONTROL CENTER NOTED FLUCTUATION ON THE PRESSURE AT THE PUMP AND SHUT DOWN THE PUMP AT APPROXIMATELY 12:30. AN EMPLOYEE WAS DISPATCHED TO RIVERSIDE STATION AND DISCOVERED THE RELEASE. A CONTRACTOR WAS CALLED TO PERFORM THE INITIAL CLEANUP AND FINAL CLEANUP OCCURRED ON 3/9/2020.  THE PUMP WAS REPAIRED OVER THE WEEKEND AND THE SYSTEM WAS RESTARTED ON 3/8/2020.</t>
  </si>
  <si>
    <t>CUSHING STATION</t>
  </si>
  <si>
    <t>DEEP ROCK RECEIPT LINE</t>
  </si>
  <si>
    <t>1" THREADED FITTING</t>
  </si>
  <si>
    <t>ON FEBRUARY 26TH DURING ROAD/GRAVEL WORK, A LOADED SKID STEER SLID OFF THE SIDE OF THE FACILITY ROAD WHERE IT SLOUGHED OFF AND BROKE A 1" THREADED FITTING. THIS WAS ON A 20" LINE THAT WAS IN SERVICE AT THE TIME AND LEAKED APPROXIMATELY 3.5 BBLS OF CRUDE. THE LINE WAS SHUT DOWN. THE CRUDE TRAVELED DOWN A CULVERT AND ENDED UP IN THE RETENTION POND WITHIN THE STATION WHERE IT WAS BOOMED OFF AT THE ENTRANCE TO THE POND. THE NIPPLE WAS REPAIRED, THE LEAK CLEANED UP AND THE LINE WAS RESTARTED.  TO PREVENT RECURRENCE BARRICADES WILL BE PLACED AT THIS LOCATION TO PROTECT THE PIPING.</t>
  </si>
  <si>
    <t>PIPELINE WAS ALREADY SHUT DOWN ON ROUTINE SCHEDULE</t>
  </si>
  <si>
    <t>LOLA ANCHORAGE TERMINAL</t>
  </si>
  <si>
    <t>26011 - 20"/22" - FINNEY TO ANCHORAGE</t>
  </si>
  <si>
    <t>BATON ROUGE</t>
  </si>
  <si>
    <t>WEST BATON ROUGE</t>
  </si>
  <si>
    <t>43+55</t>
  </si>
  <si>
    <t>GARLOCK</t>
  </si>
  <si>
    <t>PHMSA</t>
  </si>
  <si>
    <t>ON FEB 17TH AT APPROXIMATELY 08:00 AM APPROXIMATELY 3.5 BARRELS OF CRUDE WAS DISCOVERED TO HAVE BEEN RELEASED FROM THE RECEIVER TRAP AT ANCHORAGE STATION. OPERATIONS PERSONNEL DRAINED THE TRAP AND CLEANED UP ALL FREE PRODUCT AND CONTAMINATED SOIL.  INVESTIGATION DETERMINED THAT THE TRAP VENT GASKET HAD FAILED DUE TO THE GASKET BEING PINCHED BETWEEN THE CAP AND DRAIN WHEN CAP WAS INSTALLED.  THIS CAUSED A DRIP WHEN THE TRAP WAS FILLED WITH PRODUCT.  THE GASKET WAS REPLACED AND CAP WAS PROPERLY REINSTALLED.</t>
  </si>
  <si>
    <t>24004 - 10" WEST TULSA TO WEST TULSA EAST REFINERY</t>
  </si>
  <si>
    <t>10' WEST TULSA TO WEST TULSA EAST REFINERY</t>
  </si>
  <si>
    <t>TULSA</t>
  </si>
  <si>
    <t>BRASS</t>
  </si>
  <si>
    <t>ON FEBRUARY 7TH AT APPROXIMATELY 8:45 AM WHILE PROVING THE 10" WEST TULSA TO WEST TULSA EAST REFINERY METER A CONNECTION FAILURE OCCURRED RELEASING APPROXIMATELY 5 BARRELS OF CRUDE OIL.   THE CONNECTION FROM THE MOBILE PROVER UNIT TO THE METER FAILED AT THE METAL COUPLING/HOSE INTERFACE.  THE PROVING OPERATION WAS IMMEDIATELY SHUT DOWN AND ALL FREE PRODUCT WAS CLEANED UP VIA A VAC TRUCK, AND CONTAMINATED SOIL WAS REMOVED AND REPLACED WITH CLEAN FILL. THE LINE WAS RESTARTED AT 12:00 PM ON 02/07/20.  IT WAS DETERMINED THAT THE PROVER CONNECTION HOSE WAS NOT PROPERLY CRIMPED TO METAL COUPLING.  SIMILAR CONNECTIONS WILL BE CLOSELY INSPECTED PRIOR TO FUTURE PROVING OPERATIONS OCCURRING.</t>
  </si>
  <si>
    <t>RELEASE OCCURRED DURING A SCHEDULED DOWNTIME FOR MAINTENANCE</t>
  </si>
  <si>
    <t>22016 - 20" CORSICANA TO BEAUMONT</t>
  </si>
  <si>
    <t>A REVIEW OF THE ACCIDENT DETERMINED THERE WERE NO CONTROL ROOM ACTIONS THAT CONTRIBUTED TO THE EVENT.</t>
  </si>
  <si>
    <t>ON 2/5/2020 AT APPROXIMATELY 7:30PM APPROXIMATELY 2 BARRELS OF CRUDE OIL WAS DISCOVERED TO HAVE OVERFLOWED FROM THE SUMP ASSOCIATED WITH THE 20" CORSICANA TO BEAUMONT LINE INSIDE CORSICANA STATION. A MAINLINE PUMP REPLACEMENT INSTALLATION WAS TAKING PLACE AND A DRAIN VALVE TO THE SUMP WAS PLACED IN THE OPEN POSITION DURING THIS TIME.  DURING TESTING OF THE NEW INSTALLATION THE DRAIN VALVE WAS NOT RETURNED TO THE NORMAL CLOSED POSITION AND WHEN THE BOOSTER PUMP WAS STARTED EXCESS FLOW TO THE SUMP OCCURRED WHICH OVERWHELMED THE SUMP PUMP AND 2 BARRELS OF CRUDE OVERFLOWED.  ALL PRODUCT WAS CLEANED UP AND CONTAMINATED SOIL WAS REMOVED FOR ON-SITE REMEDIATION.</t>
  </si>
  <si>
    <t>TANK WAS IN STATIC POSITION AND DID NOT INTERFERE WITH PIPELINE OPERATIONS.</t>
  </si>
  <si>
    <t>TANK 2524</t>
  </si>
  <si>
    <t>SURFACE WATER INSIDE TANK DIKE CONTAINMENT</t>
  </si>
  <si>
    <t>UPPER MIXER HINGE PIN LOWER SNAP RING FAILED ALLOWING UPWARD TRAVEL OF MOUNTING HINGE PIN WHICH ALLOWED THE UPPER MIXER MOUNTING BRACKETS TO SEPARATE RESULTING IN SEAL FAILURE.</t>
  </si>
  <si>
    <t>NATHAN HLAVATY</t>
  </si>
  <si>
    <t>DIRECTOR - INTERSTATE REGULATORY COMPLIANCE</t>
  </si>
  <si>
    <t>nathan.hlavaty@energytransfer.com</t>
  </si>
  <si>
    <t>713-857-5479</t>
  </si>
  <si>
    <t>1/11/20  NRC TELEPHONIC NOTIFICATION MADE AT 22:16 NRC#1268473.  1/13/20  48-HOUR UPDATE NRC NOTIFICATION MADE AT 15:54 NRC#1268612.     ON 1/11/2020 @ 19:20, LOCAL OPERATIONS NOTICED A TANK LEVEL DROP ON PATOKA TANK 2524. FIELD OPERATIONS WENT OUT TO INVESTIGATE AND NOTICED THAT THE TANK WAS RELEASING PRODUCT OUT OF THE TANK MIXER (6,031 BBLS) INTO THE SECONDARY DIKED CONTAINMENT. THE NRC WAS NOTIFIED AT 22:16 (NRC #1268473) AND A FOLLOW UP ON 1/13 AT 15:54 (NRC #1268612). ADDITIONAL FIELD PERSONNEL AND RESOURCES WERE DISPATCHED TO LOCATION WHILE TANK 2524 WAS PUMPED OUT TO BELOW TANK MIXER LEVEL TO STOP RELEASE. ALL FREE CRUDE OIL WAS RECOVERED VIA VACUUM TRUCK AND CONTAMINATED SOIL WAS REMOVED FOR OFFSITE DISPOSAL.    UPON INITIAL INVESTIGATION, IT WAS NOTICED THAT THE PIN ON JENSEN MIXER 650- VA FELL AWAY FROM ITS TOP MOUNTING BRACKET DUE TO THE LOWER SNAP RING FAILURE WHICH ALLOWED  THE MIXER SHAFT TO CONTACT THE SEAL CAUSING SEAL BREACH. A NEW MIXER WAS INSTALLED ON TANK 2524. ADDITIONALLY, TO PREVENT FUTURE OCCURRENCE ON OTHER TANKS INSIDE THE TERMINAL, ALL TANK MIXERS WERE INSPECTED AND 2011 JENSEN RETRO-FIT HINGE PIN KITS WILL BE INSTALLED AS APPLICABLE.     THE SUPPLEMENTAL REPORT DATED 03/06/2020 CORRECTED THE FOLLOWING SECTIONS:  PART A(7): NRC NOTIFICATION TIME.  PART E(6): ITEMS 6A - 6D.</t>
  </si>
  <si>
    <t>NORTH TERMINAL PUMP MANIFOLD</t>
  </si>
  <si>
    <t>P-67</t>
  </si>
  <si>
    <t>MONT BELVIEU</t>
  </si>
  <si>
    <t>PUMP STATION</t>
  </si>
  <si>
    <t>PUMP SHED</t>
  </si>
  <si>
    <t>THE INCIDENT WAS CAUSED BY A MECHANICAL FAILURE ON THE PUMP. THE CONTROLLERS ACTIONS WERE CONSISTENT WITH COMPANY PROTOCOL AND NOT A FACTOR IN THIS FIRE.</t>
  </si>
  <si>
    <t>BOLT BROKE OFF OF SHIM PACK</t>
  </si>
  <si>
    <t>PEGGY WEST</t>
  </si>
  <si>
    <t>SR. ANALYST - REGULATORY COMPLIANCE</t>
  </si>
  <si>
    <t>peggy.west@energytransfer.com</t>
  </si>
  <si>
    <t>214-840-5844</t>
  </si>
  <si>
    <t>ON JANUARY 3, 2020 AT APPROXIMATELY 20:30HRS, PUMP # 5 AT THE ENERGY TRANSFER MT. BELVIEU NORTH TERMINAL PUMP MANIFOLD SEIZED DUE TO MECHANICAL FAILURE. THE FAILURE RESULTED IN THE RELEASE OF PROPANE TO THE ATMOSPHERE AND A SUBSEQUENT FIRE.  THE FIRE WAS QUICKLY BROUGHT UNDER CONTROL AND MONITORS WERE LEFT ON SPRAY THE PUMP ALL NIGHT WHILE IT WAS BURNING THE LOW-PRESSURE RESIDUAL PRODUCT DOWN.  APPROXIMATELY TWO BARRELS OF PROPANE BURNED FROM JANUARY 3, 2020 AT 20:30 TO JANUARY 4, 2020 AT APPROXIMATELY 05:16HRS.      AT 05:16HRS THE SEAL RUPTURED ON PUMP 6 ADJACENT TO PUMP 5.  THE VAPORS COVERED THE PUMP MANIFOLD BUILDING AND IGNITED, RELEASING APPROXIMATELY TWO BARRELS OF PROPANE.  APPROXIMATELY 10 MINUTES LATER BOTH PUMP 2 AND PUMP 3 STARTED VENTING TO ATMOSPHERE BUT DID NOT IGNITE DUE TO WATER BEING SPRAYED IN THE AREA.  BOTH PUMP 2 AND PUMP 3 VENTED APPROXIMATELY TWO BARRELS EACH, BRINGING TOTAL BARRELS OF PROPANE VENTED TO EIGHT BARRELS.  ALL FIRES WERE OUT AT APPROXIMATELY 09:40HRS.    THE PUMP WAS FLOWING TO THE STORAGE WELL AT THE TIME OF THE ACCIDENT FROM THE FACILITY MANIFOLD INSIDE THE STATION.  THIS MANIFOLD AND ASSOCIATED PUMPS CAN BE CONFIGURED TO DIRECT PRODUCT FLOW INTO SEVERAL DIFFERENT REGULATED AND NON-REGULATED LINES.  AT 12:30HRS ON 01/04/2020, IT WAS DETERMINED THAT THIS MANIFOLD COULD POSSIBLY FEED PIPELINE P-67 AND THE DETERMINATION WAS MADE TO MAKE THE NOTIFICATIONS TO THE TX RRC &amp; NRC, EVEN THOUGH THE P-67 PIPELINE ITSELF WAS NOT DAMAGED.  OPERATIONS CALLED THE LINE BACK IN SERVICE AS OF 13:00HRS ON JANUARY 4, 2020.    THE INVESTIGATION DETERMINED THAT A BOLT BROKE OFF OF A SHIM PACK CAUSING THE FAILURE.    THIS LINE IS UNDER THE JURISDICTION ON THE TX RRC, SYSTEM # 961589    NOTIFICATIONS OF THIS INCIDENT WERE MADE TO THE NRC, REPORT # 1267942 AT 13:16HRS ON 01/04/20 AND THE TX RRC, REPORT # 2115 AT 13:40HRS ON THE SAME DAY    ON JAN 6, 2020 AT 12:17 LOCAL INCIDENT TIME A 48 HOUR UPDATE WAS MADE (#1268058).</t>
  </si>
  <si>
    <t>MANIFOLD WAS ISOLATED</t>
  </si>
  <si>
    <t>MANIFOLD</t>
  </si>
  <si>
    <t>ON 11/23/19 AT APPROXIMATELY 17:30 AN OPERATOR WAS SWITCHING THE FACILITY LINEUP FROM AN INBOUND STREAM FROM ONE TANK TO ANOTHER AND A VALVE WAS INCORRECTLY CLOSED OUT OF SEQUENCE CAUSING AN OVERPRESSURE ALONG SEVERAL MANIFOLDS. AFFECTED AREAS WERE VISUALLY INSPECTED.  AT 21:30 PM IT WAS DISCOVERED THAT APPROXIMATELY 15 BARRELS OF CRUDE HAD BEEN RELEASED FROM FAILED VALVE GASKETS AT THE TEXOMA MANIFOLD CAUSED BY THE OVERPRESSURE EVENT. THE MANIFOLD WAS BYPASSED WHILE EMERGENCY RESPONSE AND CLEANUP EFFORTS WERE UNDERTAKEN.  ALL PRODUCT WAS CLEANED UP AND CONTAMINATED SOIL/ROCK WERE REMOVED FOR ON-SITE REMEDIATION. THE FAILED GASKETS HAVE WERE REPLACED AND THE MANIFOLD WAS INSPECTED. IT WAS DETERMINED THAT THE OPERATOR HAD INCORRECTLY SEQUENCED THE VALVE ALIGNMENT RESULTING IN THE OVERPRESSURE. THE OPERATORS QUALIFICATIONS WERE SUSPENDED AND RETRAINING WAS ADMINISTERED TO PREVENT FUTURE REOCCURRENCE.</t>
  </si>
  <si>
    <t>GLEN RIDDLE JUNCTION</t>
  </si>
  <si>
    <t>LINE ID 11010 JUNCTION WITH LINE ID 11189</t>
  </si>
  <si>
    <t>MIDDLETOWN TOWNSHIP</t>
  </si>
  <si>
    <t>GLRJ</t>
  </si>
  <si>
    <t>316 STAINLESS STEEL TUBING</t>
  </si>
  <si>
    <t>CONTROLLER RESPONDED TO A LEL ALARM CONSISTENT WITH PROCEDURES, MADE NOTIFICATIONS TO FIELD OPERATIONS.</t>
  </si>
  <si>
    <t>ENGINEER PROF - DOT COMPLIANCE</t>
  </si>
  <si>
    <t>ON 11/11/19 AT APPROXIMATELY 17:11 THE CONTROL CENTER RECEIVED AN LEL ALARM AT THE GLEN RIDDLE JUNCTION STATION. THE ALARM WAS NOT CONTINUOUS, BUT RATHER ALARMED, CLEARED AND THEN ALARMED AGAIN. THE CONTROLLER CONTACTED FIELD OPERATIONS MANAGEMENT AT 17:17 TO RESPOND TO THE LEL ALARM CONDITION. LOCAL OPERATIONS PERSONNEL WERE DISPATCHED TO THE SITE TO INVESTIGATE. LOCAL FIELD OPERATIONS PERSONNEL ARRIVED ONSITE AT APPROXIMATELY 17:36 AND CONFIRMED A RELEASE OF GASOLINE. CONTROL CENTER WAS NOTIFIED OF CONFIRMED RELEASE AND AT 17:38 THE CONTROLLER SHUT DOWN THE INBOUND STREAM AND ISOLATED THE GLEN RIDDLE JUNCTION STATION.  IT WAS LATER ESTIMATED THAT TOTAL COSTS WOULD EXCEED $50,000 AND NRC WAS NOTIFIED ON 11/11/19 AT 20:45 (REPORT 1263699).  WHEN LEL LEVELS WERE SAFE FOR ENTRY INTO THE STATION THE SOURCE OF THE RELEASE WAS IDENTIFIED AT A VALVE BODY BLEED TUBING FITTING ON VALVE 8112. ALL FREE PRODUCT WAS RECOVERED AND WORK BEGAN TO REMOVE IMPACTED GRAVEL AND SOIL TO BE DISPOSED OF OFFSITE.  THE FAILED TUBING AND FITTING WERE REPLACED AND THE STATION WAS RETURNED TO NORMAL OPERATION ON 11/11/19 AT 23:46.      REQUIRED 48 HOUR NRC UPDATE WAS MADE ON 11/13/19 (REPORT 1263853).        THE TUBING FITTING WAS PART OF THE VALVE AS PROVIDED BY THE MANUFACTURER.  POST-INCIDENT EVALUATION BY THE TUBING VENDOR IDENTIFIED THAT THE TUBING FITTING HAD NOT BEEN ASSEMBLED CORRECTLY BY THE MANUFACTURER.  THE TUBING WAS NOT INSERTED THROUGH THE FERRULE FAR ENOUGH WHICH DID NOT ALLOW THE FERRULE TO PROPERLY ENGAGE ON THE TUBING.  ALL SIMILAR FITTINGS AND ASSEMBLIES IN THE STATION WERE CHECKED FOR SIMILAR ISSUE.      SITE INVESTIGATION EFFORTS CONTINUE FOR REMEDIATION PURPOSES.  SUPPLEMENTAL REPORT(S) WILL BE SUBMITTED AS REQUIRED.    SUPPLEMENTAL/FINAL REPORT - SOIL CHARACTERIZATION AT THE SITE TO DATE HAS INDICATED NO ADDITIONAL VOLUME RELEASED NOR HAS ANY ADDITIONAL PRODUCT BEEN RECOVERED AND NONE IS ANTICIPATED MOVING FORWARD.</t>
  </si>
  <si>
    <t>BYPASSED THE PUMP</t>
  </si>
  <si>
    <t>ST MARTINVILLE STATION</t>
  </si>
  <si>
    <t>BAYOU BRIDGE</t>
  </si>
  <si>
    <t>TECHS ARRIVED AT ST. MARTINVILLE STATION AT APPROXIMATELY 7:25AM ON 11/11/19 TO PERFORM ROUTINE STATION CHECK.  UPON STATION ENTRY A SMALL DIAMETER TUBING CONNECTION FAILURE ON TOP OF PUMP 2120 WAS DISCOVERED AND CRUDE WAS MISTING FROM THIS POINT.  THE PERSONNEL NOTIFIED CONSOLE 4 TO SHUT THE PUMP DOWN. THE PERSONNEL THEN ISOLATED THE PUMP AND ASSESSED THE AMOUNT RELEASED.  APPROXIMATELY 1 BARREL OF CRUDE WAS RELEASED. A THIRD PARTY WAS CONTACTED TO HELP WITH THE CLEANUP EFFORTS. THE AREA WAS CLEANED UP AND NEW SOIL AND ROCK WAS BROUGHT IN. THE CONTAMINATED SOIL AND ROCK WAS COLLECTED AND HAULED OFF FOR PROPER DISPOSAL. UPON FURTHER INVESTIGATION THE CAUSE OF THE RELEASE WAS DETERMINED THAT THE TUBING FITTING HAD BE OVER TIGHTENED DURING CONSTRUCTION EARLIER IN 2019. THIS RESULTED IN THE SEALING POINT OF THE FITTING MUSHROOMING OUT AND COMBINED WITH THE VIBRATIONS OF THE PUMP THE TUBING CRACKED AT THE FERAL SEALING POINT.  OTHER SMALL DIAMETER TUBING CONNECTIONS WERE CHECKED IN THE STATION FOR SIMILAR CIRCUMSTANCES.</t>
  </si>
  <si>
    <t>TX-107 VIOLA 8 INCH</t>
  </si>
  <si>
    <t>TX-107 MIDPOINT JCT TO VIOLA</t>
  </si>
  <si>
    <t>CORPUS CHRISTI</t>
  </si>
  <si>
    <t>2053+38</t>
  </si>
  <si>
    <t>INVESTIGATION IDENTIFIED NO CONTROLLER ISSUES.  CONTROLLER ACTIONS WERE CONSISTENT WITH COMPANY PROTOCOLS</t>
  </si>
  <si>
    <t>ON 11/3/19 MEASUREMENT PERSONNEL NOTED INCONSISTENCIES IN VOLUME CALCULATIONS ON THE TX-107 VIOLA 8 INCH BUTANE PIPELINE.  MEASUREMENT PERSONNEL BEGAN INSPECTING AND TESTING MEASUREMENT EQUIPMENT TO DETERMINE IF INCONSISTENCIES NOTED IN VOLUME WERE DUE TO EQUIPMENT ERRORS OR OTHER MALFUNCTION.    ON 11/6/19 AT 21:15 THE LEAK DETECTION SYSTEM ALARMED ON THE TX-107 VIOLA 8 INCH.  THE CONTROL CENTER NOTIFIED OPERATIONS AND MEASUREMENT PERSONNEL.  A CREW WAS DISPATCHED TO PATROL THE ROW AND SEARCH FOR INDICATIONS OF A RELEASE HOWEVER DUE TO HEAVY RAINS AND FLOODING THE SEARCH COULD NOT BE FULLY COMPLETED THAT SAME DAY.  AFTER CONDITIONS IMPROVED THE PATROL WAS RESUMED ON 11/7/19 AND AT APPROXIMATELY 14:00 THE CREW IDENTIFIED INDICATIONS OF A RELEASE, CONTACTED THE CONTROL CENTER AND THE LINE WAS SHUT DOWN IMMEDIATELY.  UPSTREAM AND DOWNSTREAM BLOCK VALVES WERE CLOSED TO ISOLATE THE RELEASE.      BASED UPON VISIBLE SURFACE CONDITIONS AND PRIOR TO EXCAVATION AN INITIAL ESTIMATE OF 10 BBLS OF UNINTENTIONALLY RELEASED PRODUCT WAS MADE.  ON 11/7/19 THE NRC WAS CONTACTED AT 14:29 AND REPORT NO. 1263380 WAS ISSUED.  THE TX RRC WAS CONTACTED AT 14:52 AND INCIDENT NO. 2089 WAS ASSIGNED.  THE REQUIRED FOLLOW UP NRC REPORT WAS FILED ON 11/8/19 AT 13:42 AND REPORT NO. 1263465 WAS ISSUED.    DUE TO EXTREMELY WET SURFACE CONDITIONS EXCAVATION EQUIPMENT WAS NOT ABLE TO BE FULLY MOVED IN UNTIL 11/8/19.  EXCAVATION PROGRESS WAS SLOWED FURTHER BY PRESENCE OF OTHER PIPELINES IN THE SAME ROW AND PRACTICES TO ENSURE THE PRODUCT (BUTANE) DID NOT FLASH.  DUE TO THE SLOW PACE OF EXCAVATION THE PIPE WAS NOT EXPOSED UNTIL 11/9/19.  BASED ON OBSERVATIONS ONCE THE AREA WAS FULLY EXCAVATED AND THE PIPE EXPOSED IT WAS DETERMINED THAT THE RELEASE WAS LARGER THAN INITIALLY ESTIMATED.  THE PRODUCT FORMED AN ICE BALL AND THE DIMENSIONS OF THAT ALLOWED A REVISED CALCULATION OF THE RELEASE TO BE MADE.  APPROXIMATELY 2618 BBLS WAS CALCULATED TO HAVE BEEN RELEASED UNINTENTIONALLY.      UPON EXAMINATION IN THE FIELD MULTIPLE EXTERNAL CORROSION PINHOLES WERE IDENTIFIED.  PERMANENT REPAIR WAS MADE BY A REPLACEMENT OF APPROXIMATELY 184 FEET OF NEW PIPE AND THE PIPELINE WAS RESTARTED ON 11/21/19.      A DEF/MFL ILI TOOL WAS RUN ON THE TX-107 VIOLA 8 INCH ON 10/8/19.  THE VENDOR REPORT HAD NOT YET BEEN RECEIVED WHEN THE RELEASE OCCURRED.  THE VENDOR FINAL REPORT WAS RECEIVED ON 12/18/19 AND INDICATED A HIGH PERCENTAGE METAL LOSS ANOMALY AT THE RELEASE LOCATION.  OTHER METAL LOSS TOOL CALLS ON THE FAILED AND CUT OUT SECTION OF PIPE WERE MEASURED AND USED TO VALIDATE THE TOOL DATA.  NO OTHER METAL LOSS CALLS REQUIRING TIMED REPAIRS WERE DISCOVERED IN THIS AREA.   PRIOR ILI DATA SETS ARE ALSO BEING REVIEWED AND BASED ON RESULTS THE REASSESSMENT INTERVAL WILL BE CONFIRMED OR ADJUSTED.    VIA FIELD TESTING AND SURVEYS, IT WAS DETERMINED THAT THE CATHODIC PROTECTION SYSTEM IN THIS AREA IS SUBJECT TO STRAY CURRENT INTERFERENCE.  TO MITIGATE THE CONDITION SIX (6) NEW IMPRESSED CURRENT CATHODIC PROTECTION SYSTEMS ARE CURRENTLY BEING INSTALLED.  ONCE INSTALLATION IS COMPLETE THE LINE WILL BE ALLOWED TO FULLY POLARIZE AND A CYCLED CIS WILL BE CONDUCTED.  FOLLOWING THIS SURVEY A DEPOLARIZED CIS SURVEY WILL BE CONDUCTED TO ENSURE ADEQUATE AND COMPLIANT LEVELS OF CATHODIC PROTECTION ARE IN PLACE.  BASED ON SURVEY RESULTS ADEQUATE CATHODIC WILL BE CONFIRMED OR ADDITIONAL REMEDIAL MEASURES IDENTIFIED AND IMPLEMENTED.</t>
  </si>
  <si>
    <t>THE PIPELINE WAS ALREADY SHUT DOWN DUE TO HYDROSTATIC TESTING.</t>
  </si>
  <si>
    <t>TX NGL KINDER MORGAN TO SNYDER</t>
  </si>
  <si>
    <t>S111</t>
  </si>
  <si>
    <t>SNYDER</t>
  </si>
  <si>
    <t>34.6 MILEPOST</t>
  </si>
  <si>
    <t>FLASH FIRE DUE TO NGL VAPORS BEING IGNITED BY AN ARC BETWEEN FLANGES</t>
  </si>
  <si>
    <t>BONDING JUMPER CABLE DID NOT HAVE ADEQUATE CONTACT WITH BARE METAL ON THE PIPES</t>
  </si>
  <si>
    <t>BONDING JUMPER CABLE DID NOT HAVE ADEQUATE CONTACT WITH BARE METAL ON THE PIPES.</t>
  </si>
  <si>
    <t>chris.palafox@energytransfer.com</t>
  </si>
  <si>
    <t>ON NOVEMBER 6, 2019 AT APPROXIMATELY 13:15 HRS., ENERGY TRANSFER EXPERIENCED A FLASH FIRE ON A REGULATED CLASS 1 TRANSMISSION LINE, THE S111 NGL TX KINDER MORGAN TO SNYDER 4 INCH. THIS PIPELINE IS LOCATED IN SCURRY COUNTY, APPROXIMATELY 2.38 MILES NORTHWEST OF SNYDER, TX. TWO CONTRACTORS WERE ATTEMPTING TO REINSTALL A 4 INCH GATE VALVE THAT HAD BEEN REMOVED PRIOR TO A HYDROSTATIC TEST ON THE PIPELINE. THE VALVE FLANGE AND THE PIPE FLANGE ARCED, DESPITE BEING GROUNDED, AND IGNITED SOME RESIDUAL NGL VAPORS CAUSING A FLASH FIRE. ONE OF THE CONTRACTORS SHOWED SIGNS OF BLISTERING AND WAS TAKEN TO THE HOSPITAL EMERGENCY ROOM, TREATED AND RELEASED BACK TO WORK THE SAME DAY. THE 4 INCH VALVE WAS INSTALLED AND AT APPROXIMATELY 19:00 HRS., NOVEMBER 6, 2019 THE PIPELINE WAS BACK IN SERVICE.    THIS PIPELINE IS UNDER THE JURISDICTION OF THE TEXAS RAILROAD COMMISSION. ON NOVEMBER 12, 2019, THIS INCIDENT WAS TELEPHONICALLY REPORTED TO THE NATIONAL RESPONSE CENTER (NRC#1263760) AT 14:08 AND TO THE TXRRC (INCIDENT #2090) AT 14:18.    A 48 HOUR NRC UPDATE WAS MADE ON NOVEMBER 13, 2019 AT 12:33. (NRC#1263836)</t>
  </si>
  <si>
    <t>FAILED SEGMENT OF FACILITY PIPING WAS OUT OF SERVICE</t>
  </si>
  <si>
    <t>ON 10/28/2019 AT APPROXIMATELY 10:00 AM, OPERATIONS PERSONNEL DISCOVERED SURFACE OIL STAINING AT TEXOMA STATION. AFTER EXPLORATORY DIGGING WAS CONDUCTED, THE OIL WAS DETERMINED TO BE COMING FROM A SEGMENT OF OUT OF SERVICE FACILITY PIPING THAT WAS BURIED APPROXIMATELY 9 FT. DEEP. UPON EXAMINATION IT WAS DETERMINED IN THE FIELD THAT AN EXTERNAL CORROSION PINHOLE LEAK OCCURRED ALLOWING 2 BARRELS OF RESIDUAL CRUDE OIL TO BE RELEASED. ALL CONTAMINATED SOIL WAS REMOVED FOR ONSITE REMEDIATION.  A TEMPORARY PLIDCO CLAMP WAS INSTALLED ON THE LINE.  THE FAILED FACILITY LINE SEGMENT WILL BE PERMANENTLY REMOVED.</t>
  </si>
  <si>
    <t>OPERATOR SWITCHED TO ANOTHER PUMP UNTIL REPAIRS ARE MADE</t>
  </si>
  <si>
    <t>AT APPROXIMATELY 14:30 ON 10/02/2019 LOCAL OPERATIONS PERSONNEL WERE PERFORMING ROUTINE TERMINAL ROUNDS AND DISCOVERED APPROXIMATELY 20 GALLONS OF CRUDE RELEASED NEAR A BOOSTER PUMP AT THE ROTATION MANIFOLD AREA.  THE PUMP WAS NOT RUNNING AT THE TIME OF DISCOVERY AND WAS ISOLATED TO STOP FURTHER RELEASE.  ALL FREE PRODUCT WAS RECOVERED VIA VAC TRUCK, CONTAMINATED SOIL WAS REMOVED FOR ONSITE REMEDIATION AND CLEAN SOIL BROUGHT IN FOR SITE RESTORATION.  UPON INVESTIGATION INTO CAUSE IT WAS DETERMINED THAT THE PUMP SEAL HAD FAILED BECAUSE THE DRIVE SHAFT ON THE PUMP WAS NOT INLINE WHICH ALLOWED THE COUPLING AND SEAL TO BE DISPLACED AND CRUDE TO BE RELEASED UNDER STATIC PRESSURE. THE SEAL HAS BEEN REPLACED, SHAFT RELINED AND BOOSTER PUMP RETURNED TO NORMAL SERVICE AND OPERATION.</t>
  </si>
  <si>
    <t>PUMP NOT IN USE AT TIME OF RELEASE. REPAIR COMPLETED BEFORE NEEDED FOR DELIVERY</t>
  </si>
  <si>
    <t>ON SEPTEMBER 7, 2019, AN OPERATOR WAS MAKING TERMINAL ROUNDS AND AT APPROXIMATELY 17:15 NOTED CRUDE ON THE GROUND AROUND THE TEXOMA MANIFOLD AREA.  AT 17:30 IT WAS DETERMINED THAT THE CRUDE WAS COMING THE BOOSTER PUMP DUE TO A FAILED SEAL. THE PUMP WAS ALREADY SHUT DOWN AT THE TIME ON NORMAL SCHEDULE. APPROXIMATELY 2 BARRELS OF CRUDE WAS RELEASED.  A  VAC TRUCK WAS UTILIZED TO RECOVER THE FREE PRODUCT AND CONTAMINATED SOIL WAS REMOVED FOR ON-SITE REMEDIATION.  THE SEAL WAS REPLACED BEFORE THE PUMP WAS NECESSARY FOR OPERATION.</t>
  </si>
  <si>
    <t>EAST TEXAS 10"</t>
  </si>
  <si>
    <t>ON 9/1/19 AT APPROXIMATELY 08:45, OPERATOR EMPLOYEE WAS PERFORMING ROUTINE STATION CHECK AT SOUR LAKE STATION AND IDENTIFIED CRUDE ON THE GROUND AROUND A SECTION OF THE UNIT 3 PUMP SUCTION LINE ON THE EAST TEXAS 10" SYSTEM. THE OPERATOR CALLED THE CONTROL CENTER AND HAD THE PIPELINE PUMPS SHUT DOWN AND THEN MANUALLY CLOSED VALVES TO ISOLATE THE RELEASE.  APPROXIMATELY 3 BARRELS OF CRUDE OIL WAS RELEASED.  THE TX RRC WAS NOTIFIED OF THE RELEASE ON 9/1/19 AT 10:31 AND CASE NO. 2054 WAS ASSIGNED.  THE AREA WAS EXCAVATED AND IT WAS IDENTIFIED THAT THE FAILURE OCCURRED ON A SMALL SECTION OF "DEAD LEG" PIPING ASSOCIATED WITH THE SUCTION LINE.  VISUAL EXAMINATION OF THE FAILED SECTION INDICATED AN INTERNAL CORROSION PINHOLE WAS THE CAUSE OF FAILURE.  AFTER EXAMINATION A CLAMP WAS APPLIED TO THE FAILED SECTION OF PIPE.  ALL FREE PRODUCT WAS CLEANED UP AND IMPACTED SOIL WAS REMOVED FOR ON-SITE REMEDIATION. TO PREVENT RECURRENCE THE "DEAD LEG" WILL BE REMOVED AND ALL NECESSARY BELOW GROUND PIPING WILL BE BROUGHT ABOVE GROUND.</t>
  </si>
  <si>
    <t>JOLIET STATION</t>
  </si>
  <si>
    <t>JOLIET - KENNEDY AVENUE 18"</t>
  </si>
  <si>
    <t>ELWOOD</t>
  </si>
  <si>
    <t>WILL</t>
  </si>
  <si>
    <t>VALVE STATION</t>
  </si>
  <si>
    <t>DRAIN VALVE ON MAINLINE VALVE FAILED</t>
  </si>
  <si>
    <t>EQUIPMENT FAILURE UNRELATED TO CONTROLLER'S ACTIONS. THE VALVE HAS BEEN SENT TO MANUFACTURER FOR FAILURE ANALYSIS.</t>
  </si>
  <si>
    <t>DRAIN VALVE ON MAINLINE VALVE</t>
  </si>
  <si>
    <t>VALVE SENT TO MANUFACTURER FOR EVALUATION</t>
  </si>
  <si>
    <t>CHRISTINE KALIN-FRANK</t>
  </si>
  <si>
    <t>SAFETY AND REGULATORY ANALYST</t>
  </si>
  <si>
    <t>christine_kalin-frank@wplco.com</t>
  </si>
  <si>
    <t>269-323-2491</t>
  </si>
  <si>
    <t>269-323-9359</t>
  </si>
  <si>
    <t>MATTHEW DUNNE</t>
  </si>
  <si>
    <t>matthew_dunne@wplco.com</t>
  </si>
  <si>
    <t>WOLVERINE PIPE LINE COMPANY (WPLCO) DAMAGE PREVENTION SPECIALIST (DPS), WHILE PERFORMING A STATION WALK-AROUND, DISCOVERED A LEAK ON VALVE #34 A LITTLE BEFORE 6:30 AM (CST) CONFINED TO THE PROPERTY OF OUR JOLIET PUMP STATION. AS SOON AS HE DISCOVERED THE LEAK HE CALLED THE OPERATIONS CONTROL CENTER (OCC) AND HAD THEM SHUT DOWN THE JO-KA 18" PIPELINE AND REDUCE PRESSURE TO AS LOW AS POSSIBLE. AT THE TIME OF THE DISCOVERY THE DPS NOTICED A STEADY DRIP OF GASOLINE COMING FROM THE 1" BODY DRAIN VALVE. HAMMOND CREW WENT TO THE SITE AND DETERMINED THE EXTENT OF THE IMPACTED AREA BY DIGGING UP THE STONE/SOIL AND DRUMMING IT UP. CLEANUP CONDUCTED THE SAME DAY, VALVE REPLACED AND RETURNED TO SERVICE. THE SAFETY HEALTH &amp; ENVIRONMENTAL DEPARTMENT DETERMINED VOLUME TO BE 14.5 GALLONS BASED ON RELEASE DIMENSIONS. FIRST LOOK AT THE 1" BALON VALVE SHOWED THE LEAK AT THE SPLIT OF THE BODY ON THE VALVE AS THIS IS A TWO-PIECE VALVE. VALVE HAS BEEN SENT TO THE MANUFACTURER TO DETERMINE CAUSE OF FAILURE.     THE DEFECTIVE VALVE WAS SENT TO BALON CORPORATION FOR TESTING AND ANALYSIS. THE VALVE LEAKED AT THE ADAPTER ON TEST. THE BODY O-RING WAS DAMAGED, AND THE SEATS AND THRUST WASHER WERE EXTRUDED. THE VALVE WAS SUBJECT TO FAILURE FROM A THERMAL OVER PRESSURE EVENT. THE THERMAL EXPANSION OCCURRED DOWNSTREAM OF THE BALL, BETWEEN THE BALL AND A CAP THAT HAD BEEN INSTALLED ON THE VALVE. THIS PARTICULAR BALON VALVE HAS A PRESSURE RATING OF 3000 PSI, WHICH COULD ONLY HAVE BEEN EXCEEDED BY TRAPPED THERMAL PRESSURE WITHIN THE FITTING ITSELF. MAINLINE SCADA PRESSURE DATA CONFIRMS THAT THERE WERE NO OVER PRESSURE EVENTS AT THE LEAK LOCATION. A BALON ENGINEER CONCLUDED POSSIBLE "OVER PRESSURE OTHER THAN FREEZING." THIS IS MOST LIKELY THE RESULT OF AN INADVERTENT OPENING OF THE VALVE, FOLLOWED BY A CLOSING OF THE VALVE, WHICH WOULD HAVE TRAPPED LIQUID DOWNSTREAM OF THE VALVE BETWEEN THE CAP AND BALL. AS A RESULT OF THIS EVENT WOLVERINE PIPE LINE COMPANY IS IMPLEMENTING SOLUTIONS TO PREVENT THIS TYPE OF INCIDENT FROM HAPPENING AT OTHER SIMILARLY CONFIGURED VALVE SITES.</t>
  </si>
  <si>
    <t>VALVE STEM SEPARATED FROM GATE CAUSING VALVE TO NOT OPEN WHICH CAUSED OVERPRESSURE, RELIEF EVENT AND OVERFLOW OF SUMP.</t>
  </si>
  <si>
    <t>METAL FATIGUE</t>
  </si>
  <si>
    <t>AT APPROXIMATELY 22:15 ON 7/16/19 A RELEASE WAS IDENTIFIED BY OPERATING PERSONNEL AT THE TEXOMA MANIFOLD SUMP. WHILE MAKING AN INBOUND DELIVERY SWITCH TO TANK 1533 THE FACILITY LINE SHUT DOWN DUE TO OVERPRESSURE. PRECEDING THE OVERPRESSURE, VALVE T385 WAS GIVEN AN OPEN COMMAND BY LOCAL CONTROL CENTER AND INDICATED AN OPEN STATUS SHORTLY AFTER.  WITH OPEN PATH AVAILABLE THE OPERATOR THEN CLOSED OFF PRIOR DELIVERY LINE UP TO MAKE THE SWITCH TO TANK 1533. THE PRESSURE RELIEF VALVES ON THE LINE ACTIVATED FLOW INTO THE SUMP AND THE DELIVERY SHUTDOWN.  THE RATE OF RELIEF OVERWHELMED SUMP PUMP CAPACITY AND IT OVERFLOWED RELEASING APPROXIMATELY 4 BBLS OF CRUDE.  OSRO CREWS WERE DISPATCHED TO CLEAN UP FREE PRODUCT AND REMOVE CONTAMINATED SOIL FOR ONSITE REMEDIATION.  INVESTIGATION REVEALED THAT THE VALVE STEM ON VALVE T385 HAD SEPARATED FROM THE GATE ALLOWING THE STEM TO MOVE TO AN OPEN POSITION AND TRIGGER OPEN POSITION STATUS IN SCADA.  THE VALVE IS AWAITING REPLACEMENT AND LINE UP HAS BEEN CONFIGURED AS TO BYPASS THIS VALVE IN THE INTERIM PERIOD UNTIL REPLACEMENT.  UPON REMOVAL THE VALVE WILL BE INSPECTED FOR DETERMINATION OF CAUSE OF STEM SEPARATION.  SUPPLEMENTAL REPORT WILL BE FILED AFTER INVESTIGATION IS COMPLETE.    SUPPLEMENTAL INFORMATION - THE VALVE WAS REPLACED AND THE FAILED VALVE WAS EXAMINED FOR CAUSE OF STEM SEPARATION FROM GATE.  IT WAS DETERMINED BY VISUAL ANALYSIS THAT THE SEPARATION BETWEEN THE VALVE STEM AND GATE WAS DUE TO METAL FATIGUE.</t>
  </si>
  <si>
    <t>BARNSDALL STATION</t>
  </si>
  <si>
    <t>24017 - BARNSDALL TO WEST TULSA 8"</t>
  </si>
  <si>
    <t>MOTOR BEARING FAILURE CAUSING EXCESSVIE VIBRATION</t>
  </si>
  <si>
    <t>ON 6/26/19 AT 11:26 AN UN-COMMANDED SHUTDOWN OF THE VERTICAL CAN PUMP AT BARNSDALL STATION OCCURRED.  CONTROLLER CONTACTED FIELD OPERATIONS MANAGEMENT AND A TECHNICIAN MOBILIZED TO THE SITE TO INVESTIGATE.  UPON INVESTIGATION OF THE PUMP THE TECHNICIAN IDENTIFIED A 2 BBL LEAK DUE TO A SEAL FAILURE ON THE PUMP UNIT.  FREE PRODUCT WAS PICKED UP AND CONTAMINATED SOIL WAS REMOVED FOR ON-SITE REMEDIATION.  IT WAS DETERMINED THAT THE MOTOR BEARING FAILED CAUSING EXCESSIVE VIBRATION THAT CAUSED THE SEAL TO FAIL.  A SEAL LEAK POT WITH A FLOAT SWITCH WAS PLUMBED TO THIS UNIT.  AFTER THE SEAL FAILED, THE LEAK FILLED THE SEAL LEAK POT AND SHUT DOWN THE PUMP UNIT.   THE MOTOR AND SEAL WERE REPLACED AND THE LINE RESTARTED ON 7/1/19.</t>
  </si>
  <si>
    <t>NO PRODUCT MOVEMENT WAS SCHEDULED FROM THE TANK</t>
  </si>
  <si>
    <t>TANK 112</t>
  </si>
  <si>
    <t>RESIDUAL CRUDE OIL/WATER MIX RELEASED VIA ROOF DRAIN SYSTEM.</t>
  </si>
  <si>
    <t>ROOF DRAIN SYSTEM WAS OPENED PRIOR TO INSPECTING ROOF.</t>
  </si>
  <si>
    <t>ON 5/29/19 AT APPROXIMATELY 10:35 AM, OPERATIONS EMPLOYEE WAS OPENING THE EXTERNAL FLOATING ROOF DRAINS ON TANKS AT LIMA STATION TO DRAIN STANDING WATER ON THE TANK ROOFS. AFTER THE DRAINING OF TANK 112 ROOF BEGAN IT WAS IDENTIFIED THAT THE WATER DRAINING FROM THE ROOF CONTAINED A SHEEN.  UPON IDENTIFICATION THE DRAIN WAS CLOSED.  NOTIFICATIONS WERE MADE TO MANAGEMENT AND CLEANUP BEGAN.  ESTIMATED 8 GALLONS WAS RELEASED AND MIXED WITH WATER FROM THE ROOF DRAIN.  ALL FREE PRODUCT WAS RECOVERED AND CONTAMINATED SOIL WAS REMOVED FOR REMEDIATION ON SITE.  IT WAS DETERMINED THAT A SMALL AMOUNT RESIDUAL PRODUCT MIXED WITH THE WATER ON THE ROOF AND WAS RELEASED WHEN THE ROOF DRAIN WAS OPENED.  SOURCE OF RESIDUAL PRODUCT ON ROOF WAS FROM WARMING TEMPERATURES THAT ALLOW PARAFFIN BUILDUP ON TANK WALLS TO LIQUIFY.  THIS PARAFFIN SOLIDIFIES IN THE WINTER MONTHS ON THE TANK WALLS.  TANK ROOF WAS SUBSEQUENTLY INSPECTED BY CONTRACT API 653 INSPECTOR AND NO ISSUES WERE IDENTIFIED WITH THE SEAL OR PONTOONS.  TO PREVENT RECURRENCE ROOF WILL BE INSPECTED PRIOR TO OPENING OF ROOF DRAINS.</t>
  </si>
  <si>
    <t>ROOF DRAIN WAS BLOCKED IN TO STOP RELEASE AND TANK DIKE LEVEE DRAIN CLOSED</t>
  </si>
  <si>
    <t>TANK 1524</t>
  </si>
  <si>
    <t>ON 5/12/19 AT APPROXIMATELY 19:30, OIL WAS DISCOVERED FLOWING INTO THE TANK CONTAINMENT FROM THE ROOF DRAIN PIPE. ROOF DRAIN VALVE WAS BLOCKED IN TO STOP THE RELEASE. THE RELEASE WAS FULLY CONTAINED WITHIN THE DIKED AREA AND ALL FREE PRODUCT WAS RECOVERED AND CONTAMINATED SOIL REMOVED FOR ON-SITE REMEDIATION. UPON EXAMINATION AN AREA OF EXTERNAL CORROSION PINHOLES WERE FOUND WERE FOUND ON THE ROOF. THE HOLES ALLOWED WATER TO ENTER THE PONTOONS, WHICH RESULTED IN THE SLIGHT SINKING OF THE ROOF ON THAT SIDE.  ONCE THE ROOF BEGAN TO SINK, IT ALLOWED OIL TO ENTER THE PONTOONS AND FILL THEM.  AS THE PONTOON FILLED, THE OIL PUSHED UP THROUGH THE ORIGINAL HOLES THAT LET THE WATER ENTER.  AS THE OIL PUSHED OUT OF THE HOLES, IT FOUND ITS WAY TO THE ROOF DRAIN AND THAT ALLOWED THE OIL TO EXIT THE ROOF DRAIN.  THE ROOF HAS SINCE BEEN CLEANED AND THE HOLES HAVE BEEN PATCHED.  A PERMANENT REPAIR TO ROOF IS BEING DEVELOPED.</t>
  </si>
  <si>
    <t>PE2 COLORADO CITY STATION</t>
  </si>
  <si>
    <t>DSAW</t>
  </si>
  <si>
    <t>ON 5/11/19 AT APPROXIMATELY 9:49 AM, FIELD PERSONNEL FOUND OIL ON THE SURFACE NEAR THE PE2 OUTBOUND/INBOUND METER. THE CONTROL ROOM WAS NOTIFIED AT 9:50 AM AND THE PIPELINE WAS SHUTDOWN. THE METER RELIEF LINE WAS DETERMINED TO BE THE SOURCE OF THE RELEASE.  THE LINE WAS ISOLATED FOR REPAIRS AND REMEDIATION OF SURROUNDING SOIL.  UPON EXCAVATION IT WAS DISCOVERED THAT THE FAILURE WAS DUE TO AN INTERNAL CORROSION PINHOLE AT THE 6 O'CLOCK POSITION.  A PLIDCO CLAMP WAS INSTALLED AND ON 5/12/18 AT 3:35 AM, THE PIPELINE WAS RETURNED TO SERVICE.  ALL FREE PRODUCT WAS RECOVERED AND CONTAMINATED SOIL IS BEING REMEDIATED ON-SITE.  CLEAN BACKFILL AND GRAVEL WAS BROUGHT IN.  FAILED SECTION WILL BE CUT OUT AND REPLACED AT A LATER DATE.</t>
  </si>
  <si>
    <t>S505 WEST TX GATEWAY 16"</t>
  </si>
  <si>
    <t>PUMP STATION # 3</t>
  </si>
  <si>
    <t>RURAL LOCATION, OZONA IS NEAREST CITY</t>
  </si>
  <si>
    <t>CROCKETT</t>
  </si>
  <si>
    <t>DONATION TO LOCAL VOLUNTEER FIRE DEPARTMENT FOR SUPPORT</t>
  </si>
  <si>
    <t>THE CONTROLLERS ACTIONS WERE IN ACCORDANCE WITH OUR STANDARD OPERATING PROCEDURES AND WERE APPROPRIATE FOR THIS EVENT</t>
  </si>
  <si>
    <t>TUBING CAME LOOSE DURING NORMAL OPERATION</t>
  </si>
  <si>
    <t>979-531-9036</t>
  </si>
  <si>
    <t>AT APPROXIMATELY 2300 HRS. ON MAY 3RD, 2019. ENERGY TRANSFER LIQUIDS CONTROL RECEIVED INDICATIONS OF A LEAK AT PUMP STATION # 3 ON THE S505 WEST TEXAS GATEWAY 16" NGL PIPELINE.  ENERGY TRANSFER LIQUIDS CONTROL CONTACTED ETC OPERATIONS FIELD PERSONNEL TO INVESTIGATE.  OPERATIONS TECHNICIANS ARRIVED ON LOCATION AT 12:15 HRS. ON 5/4 AND FOUND A LEAK ON SOME TUBING IN THE STATION.  AT 01:25 HRS. THE TECHNICIANS WERE ABLE TO ISOLATE THE LEAK LOCATION BY CLOSING VALVES 7 &amp; 8  ON PUMP # 3 TO ALLOW THE ISOLATED LEAK SECTION TO BLOW DOWN.  AN INVESTIGATION FOUND THE 1/2" TUBING FROM A THERMAL RELIEF ON THE DISCHARGE VALVE ON PUMP # 3 TO BE LOOSE AT THE FITTING.  ALL TUBING AND FITTINGS ON THE DISCHARGE VALVE WERE REMOVED AND REPLACED.  THE ISOLATION VALVES (7 &amp; 8) WERE OPENED AT 03:41 HRS. AND THE STATION WAS AVAILABLE FOR NORMAL SERVICE AT 04:00 HRS.    THE INITIAL REPORT WAS MADE TO THE NRC AT 01:59 HRS. ON MAY 4, 2019, REPORT # 1244598 AND THE NRC 48 HR. UPDATE WAS MADE AT 20:00 HRS. ON MAY 5, 2019, REPORT # 1244739    ETC'S PLAN TO PREVENT REOCCURRENCES OF THIS ISSUE WERE TO REPLACE ALL TUBING AND FITTINGS ON THE DISCHARGE VALVE AND CHECK THE TUBING AND FITTINGS THROUGHOUT THE ENTIRE STATION.</t>
  </si>
  <si>
    <t>20" WORTHAM TO LONGVIEW</t>
  </si>
  <si>
    <t>LEAGUEVILLE</t>
  </si>
  <si>
    <t>ON 4/25/2019 AT APPROXIMATELY 13:00, AERIAL PATROL WAS FLYING THE 20" WORTHAM TO LONGVIEW SEGMENT AND NOTED CRUDE OIL ON THE GROUND AT LEAGUEVILLE STATION. THE PILOT NOTIFIED FIELD PERSONNEL.  UPON ARRIVAL ON SITE FIELD PERSONNEL NOTED APPROXIMATELY 2 BBLS OF CRUDE OIL OUT AT THE PUMP LOCATION AND NOTIFIED CONTROL CENTER IMMEDIATELY.  THE PIPELINE WAS SHUTDOWN AT 13:30. UPON INVESTIGATION, THE INBOARD SEAL ON THE MAINLINE PUMP HAD FAILED DUE TO AN UNKNOWN CAUSE.  ADDITIONALLY, A FAULTY CONNECTION WAS DISCOVERED ON THE SEAL POT ALARM.  UNDER NORMAL CIRCUMSTANCES THE SEAL POT WOULD ALARM AND PUMP WOULD SHUT DOWN AUTOMATICALLY.  THE FAULTY CONNECTION TO THE SEAL POT ALARM ALLOWED THE PUMP TO CONTINUE RUNNING AND EXCESS CRUDE OIL TO BE RELEASED FROM THE PUMP SEAL AREA.    THE SEAL POT ALARM WAS REPAIRED AND THE PUMP SEAL WAS REPLACED.  ALL FREE PRODUCT WAS RECOVERED AND CONTAMINATED SOIL IS BEING REMEDIATED ONSITE.  OTHER MAINLINE PUMP UNIT AT LEAGUEVILLE WAS INSPECTED FOR PUMP SEAL AND SEAL POT ALARM ISSUES AND NONE WERE FOUND.  UPON REPLACEMENT OF THE SEAL AND REPAIR OF THE SEAL POT ALARM, CONTROL CENTER WAS NOTIFIED AT 15:30 TO RESTART THE LINE.  AREA WAS VISUALLY MONITORED TO ASSURE NORMAL STARTUP AND NO TO VERIFY NO ADDITIONAL ISSUES EXISTED.</t>
  </si>
  <si>
    <t>LINE BEING PURGED PREPARING FOR IDLING; STATION SHUTDOWN EXCEPT PURGE ACTIVITY</t>
  </si>
  <si>
    <t>23016 - 12" WHEELER TO RINGGOLD</t>
  </si>
  <si>
    <t>SNYDER MIDPOINT STATION</t>
  </si>
  <si>
    <t>KIOWA</t>
  </si>
  <si>
    <t>PURGE BLOWDOWN OF NITROGEN INFUSED WITH CRUDE</t>
  </si>
  <si>
    <t>DID NOT HAVE PROPER EQUIPMENT TO CONTAIN PRODUCT/NITROGEN INTERFACE (FRAC TANK)</t>
  </si>
  <si>
    <t>DECOMMISSIONING</t>
  </si>
  <si>
    <t>AFTER THE GRANITE WASH MAIN LINE PURGE, CREW WAS BLOWING DOWN EXCESS NITROGEN PRESSURE FROM THE PIPELINE. ON MARCH 30, 2019 DURING THE BLOWDOWN BEING CONDUCTED AT NIGHT APPROXIMATELY 5 GALLONS OF CRUDE ENTRAINED IN THE NITROGEN SPRAYED ACROSS THE ROAD INTO AN ADJACENT FIELD DUE TO HIGH WINDS. LESS THAN ONE GALLON IMPACTED A SMALL UN-NAMED CREEK. CREWS DISCOVERED THIS WATER IMPACT ON THE MORNING OF APRIL 1ST, 2019. THE SHEEN ON THE WATER WAS CONTAINED AND REMOVED AND THE SOIL CLEAN UP AND REMEDIATION WAS ALSO COMPLETED.  AFTER DISCOVERY NRC WAS NOTIFIED AND REPORT NO. 1241614 WAS ISSUED.  REQUIRED 48 HOUR FOLLOW UP REPORT WAS FILED AND REPORT NO. 1241660 WAS ISSUED.  PROCEDURE WAS NOT FOLLOWED BY BLOWING DOWN EXCESS PRESSURE WITHOUT BLOWDOWN VALVE BEING CONNECTED TO A FRAC TANK OR OTHER SIMILAR CONTAINMENT.</t>
  </si>
  <si>
    <t>HEBRON STATION</t>
  </si>
  <si>
    <t>MAYERSVILLE TO HEBRON (27001)</t>
  </si>
  <si>
    <t>KY</t>
  </si>
  <si>
    <t>HEBRON</t>
  </si>
  <si>
    <t>BOONE</t>
  </si>
  <si>
    <t>ON 3/22/2019 AT APPROXIMATELY 8:10 A.M., LOCAL OPERATING PERSONNEL WERE SETTING THE SUCTION SCRAPER TRAP UP TO RECEIVE A SCRAPER AT HEBRON STATION. OPERATING PERSONNEL OPENED THE TRAP VALVE TO START FILLING THE BARREL WHICH AND OPENED THE VENT. THE TRAP DRAIN LINE AND CATCH BASIN DRAIN ARE BOTH TIED TOGETHER AND FLOW TO THE SUMP.  INVESTIGATION DETERMINED THAT THE BARREL DRAIN VALVE WAS PARTIALLY OPEN FROM PREVIOUS STATION DRAIN DOWN WORK. BEFORE PERSONNEL COULD SHUT DOWN THE FLOW INTO THE BARREL, PRODUCT OVER FILLED THE CATCH BASIN AND OVERFLOWED THE .24 BBLS OF CRUDE. THE PIPELINE WAS SHUT DOWN FOR WHILE CLEAN UP TOOK PLACE AND WAS SUBSEQUENTLY STARTED BACK UP.  THE RESPONSIBLE EMPLOYEE WAS SENT FOR DOT DRUG &amp; ALCOHOL TESTING OF WHICH THE RESULTS WERE NEGATIVE.  ADDITIONALLY, THE COMPANY SUSPENDED THIS INDIVIDUALS OQ QUALIFICATION FOR THIS TASK AND THEY WILL BE RE-TRAINED AND RE-QUALIFIED.</t>
  </si>
  <si>
    <t>TANK AND ASSOCIATED TANK LINE WERE OUT OF SERVICE SINCE 2017</t>
  </si>
  <si>
    <t>MVPL - LONGVIEW STATION</t>
  </si>
  <si>
    <t>ON 3/18/2019 AT APPROXIMATELY 13:15, LOCAL OPERATING PERSONNEL WERE PERFORMING ROUTINE STATION CHECK WHEN APPROXIMATELY 10 BBLS OF CRUDE OIL WAS DISCOVERED INSIDE THE DIKE OF TANK #3 AT MVPL LONGVIEW STATION.  INVESTIGATION DETERMINED THAT AN INTERNAL CORROSION PIN HOLE LEAK HAD OCCURRED ON THE TANK LINE NEAR THE SHELL OF THE TANK. ALL FREE PRODUCT WAS RECOVERED VIA VAC TRUCK AND CONTAMINATED SOIL WAS REMOVED FOR REMEDIATION ON SITE.  TANK 3 HAS BEEN OUT OF SERVICE SINCE 2017 AND REMAINS SO TO DATE.  THE FAILED SECTION OF THE TANK LINE WAS CUT OUT, THE LINE WAS BLOWN DRY AND CAPPED AT THE TANK SIDE AND A SPOOL PIECE WAS DROPPED ON THE MANIFOLD SIDE AND BLIND FLANGED TO PREVENT FUTURE RECURRENCE.  A THERMAL RELIEF WAS ALSO INSTALLED ON THIS ISOLATED TANK LINE TO RELIEVE PRESSURE IN THE EVENT OF ANY RESIDUAL VAPOR PRESSURE BUILD UP.</t>
  </si>
  <si>
    <t>PERMIAN EXPRESS TERMINAL DELIVERY</t>
  </si>
  <si>
    <t>23023 LEA TO MIDLAND PET 16"</t>
  </si>
  <si>
    <t>STRAINER</t>
  </si>
  <si>
    <t>ON 3/2/19 AT APPROXIMATELY 16:45 THE CONTROL CENTER HAD INITIATED PROVING OF THE INBOUND DELAWARE BASIN METER AT THE PERMIAN EXPRESS TERMINAL.  THE PROVING WAS ABORTED BY THE CONTROLLER.  AFTER THE ABORT COMMAND WAS SENT THE SECTION OF PIPING BETWEEN THE METER AND RECEIPT TRAP EXPERIENCED AN OVERPRESSURE NOTED IN SCADA.  CONTROLLER IMMEDIATELY SHUTDOWN THE INBOUND FLOW AND OPERATIONS PERSONNEL WERE CONTACTED AND DISPATCHED TO INVESTIGATE.  AT APPROXIMATELY 17:00 LOCAL OPERATIONS PERSONNEL IDENTIFIED A SMALL RELEASE AT THE STRAINER BETWEEN THE RECEIPT TRAP AND METER.  THE OVERPRESSURE CAUSED THE O-RING ON THE STRAINER TO FAIL AND LEAK.  THE STRAINER O-RING WAS REPLACED, ALL OTHER ASSOCIATED PIPING VISUALLY INSPECTED AND A STATIC PRESSURE TEST COMPLETED ON THE AFFECTED PIPING AND APPURTENANCES TO ENSURE NO OTHER DAMAGE HAD BEEN INCURRED.      REVIEW OF THE INCIDENT IDENTIFIED THAT AFTER THE PROVING WAS ABORTED THE AUTOMATIC VALVE SEQUENCING DID NOT PROPERLY OCCUR ALLOWING PROVER VALVES TO CLOSE PRIOR TO THE BYPASS VALVE OPENING RESULTING IN THE OVERPRESSURE.  THE PROVER AND AFFECTED METER REMAINED LOCKED OUT WHILE PROGRAMMING LOGIC REVIEW AND ADDITIONAL INVESTIGATION TOOK PLACE.  THE INBOUND FLOW WAS RESTARTED THROUGH AN ALTERNATE RECEIPT METER AT 20:45 UNDER MANNED OBSERVATION.    FURTHER INVESTIGATION DETERMINED THAT THE BYPASS VALVE HAD LOOSE WIRING WHICH CAUSED THE VALVE TO STALL IN CLOSED POSITION WHEN METER PROVING WAS ABORTED ON 3/2/19.  IT IS BELIEVED THAT THE LOOSE WIRING WAS CAUSED BY VIBRATION OVER TIME. THE TRAVEL LIMIT SWITCHES ON THE BYPASS VALVE WERE FOUND TO BE IMPROPERLY SET CAUSING THE VALVE TO NOT TRAVEL TO FULL OPEN POSITION WHICH CAUSED VIBRATION DURING CERTAIN LEVELS OF FLOW.  THE LOOSE WIRING WAS REPAIRED, THE VALVE TRAVEL LIMIT SWITCHES WERE ADJUSTED AND THE PROGRAMMING LOGIC FOR PROVER OPERATION VALVE SEQUENCING WAS REVIEWED AND TESTED WITH ALL FOUND TO BE CORRECT.  METER SET WAS RETURNED TO NORMAL OPERATION.</t>
  </si>
  <si>
    <t>PUMP LOOP WAS ISOLATED AND BYPASSED</t>
  </si>
  <si>
    <t>21020 12 INCH HEBERT TO HEARNE</t>
  </si>
  <si>
    <t>ALDINE</t>
  </si>
  <si>
    <t>4306+33</t>
  </si>
  <si>
    <t>COMPRESSION FITTING</t>
  </si>
  <si>
    <t>ON 2/26/19 @ 11:09 AM THE PUMP LOOP ON THE EAGLEBINE CRUDE SYSTEM AT ALDINE STATION WAS BEING PURGED OF AIR AND REFILLED WITH CRUDE FOR RETURN TO SERVICE.  AS PRESSURE REACHED APPROXIMATELY 310 PSI A SECTION OF 1/2 INCH STAINLESS STEEL INSTRUMENTATION TUBING DETACHED FROM COLLAR OF A TYLOK FITTING.  THE REFILL OPERATION WAS IMMEDIATELY STOPPED AND THE PUMP LOOP WAS ISOLATED.  RESIDUAL PRESSURE IN THE LOOP WAS BLED OFF TO A SAFE LEVEL.  APPROXIMATELY 25 GALLONS OF CRUDE OIL WAS RELEASED.  TX RRC PIPELINE SAFETY WAS NOTIFIED AND CASE NO. 1943 WAS ASSIGNED.      AFFECTED EQUIPMENT WAS WIPED DOWN AND IMPACTED SOIL WAS REMOVED FOR ONSITE REMEDIATION.  IT WAS DETERMINED THAT THE TUBING WAS NOT SECURED IN THE FITTING APPROPRIATELY PRESUMABLY WHEN INSTALLED.  THIS PUMP LOOP HAD BEEN PURGED AND NOT IN USE SINCE THE PIPELINE SYSTEM WAS ACQUIRED FROM THE PREVIOUS OPERATOR IN APPROXIMATELY 2006.  IT IS NOT ABLE TO BE DETERMINED WHEN THE FITTING WAS INSTALLED.  THE TUBING AND FITTING WERE PROPERLY REINSTALLED AND ALL OTHER TUBING CONNECTIONS CHECKED FOR SIMILAR CONDITIONS. REFILL OF THE PUMP LOOP CONTINUED SAFELY AFTER THESE ACTIONS.</t>
  </si>
  <si>
    <t>BOOSTER PUMP SHUTDOWN</t>
  </si>
  <si>
    <t>AT APPROXIMATELY 12:30 ON 02/24/19 COMPANY EMPLOYEE WAS PERFORMING ROUTINE ROUNDS IN THE TERMINAL AND FOUND THE SUMP TO BE OVERFILLED AT THE ROTATION MANIFOLD.  EMPLOYEE CONTACTED THE LOCAL CONTROL ROOM AND REQUESTED THE BOOSTER PUMP RUNNING AT THE TIME TO BE SHUT DOWN.  APPROXIMATELY 2 BARRELS OF CRUDE OIL OVERFLOWED FROM THE SUMP.  VACUUM TRUCK WAS DISPATCHED TO THE AREA AND ALL FREE PRODUCT WAS COLLECTED.  CONTAMINATED SOIL WAS REMOVED AND WILL BE REMEDIATED ON SITE.  CLEAN BACK FILL WAS BROUGHT IN.      THE BOOSTER PUMP HAD RECENTLY BEEN INSTALLED.  IT WAS DETERMINED THAT THE OVERPRESSURE PROTECTION SET POINT HAD BEEN SET TOO LOW WHICH CAUSED RELIEF FLOW TO THE SUMP AT NORMAL OPERATING PRESSURES.  THIS SUMP IS EQUIPPED WITH HI AND HI/HI ALARM SET POINTS HOWEVER A NEW CONTROL SYSTEM HAD RECENTLY ALSO BEEN IMPLEMENTED AND THESE SET POINTS DID NOT TRANSITION TO THE NEW SYSTEM.  HAD THESE SET POINTS BEEN PROGRAMMED PROPERLY THE SUMP HI SET POINT WOULD HAVE ALARMED IN SCADA AND AUTOMATICALLY SHUT DOWN THE BOOSTER PUMP.  DOWNTIME WAS TAKEN TO ADDRESS ALL ISSUES.  THE OVERPRESSURE PROTECTION SET POINT WAS PROPERLY IMPLEMENTED WHICH WILL PREVENT ACTIVATION AT NORMAL OPERATING PRESSURES.  THE HI AND HI/HI ALARMS ARE PROPERLY PROGRAMMED INTO SCADA AND TESTED TO ENSURE SCADA ALARMS AND THE BOOSTER PUMP SHUTS DOWN IN THE EVENT OF A HI SUMP ALARM.</t>
  </si>
  <si>
    <t>BROOKE TERMINAL</t>
  </si>
  <si>
    <t>INLET METER</t>
  </si>
  <si>
    <t>BARSTOW</t>
  </si>
  <si>
    <t>3/4" PIPE NIPPLE</t>
  </si>
  <si>
    <t>CRACKED PIPE NIPPLE.  NO APPARENT CAUSE OF CRACKING.  ADEQUATE SUPPORT IN PLACE.</t>
  </si>
  <si>
    <t>DURING NORMAL STATION ROUNDS ON JANUARY 14, 2019 AT APPROXIMATELY 9:05 FIELD PERSONNEL DISCOVERED A LEAK ON THE INLET VALVE TO THE RECEIPT METER AT BROOKE STATION.  CONTROL CENTER WAS NOTIFIED AND THE INBOUND STREAM WAS SHUT DOWN AND THE RECEIPT METER ISOLATED.  THE LEAK WAS COMING FROM A CRACKED 3/4" NIPPLE LOCATED ON THE THERMAL RELIEF AROUND THE METER INLET VALVE BODY.  AT APPROXIMATELY 10:37 IT WAS DETERMINED THAT THE REPORTING THRESHOLD FOR VOLUME RELEASED HAD BEEN MET.  TX RRC WAS NOTIFIED OF THE RELEASE AND CASE # 1917 WAS ASSIGNED.      AFTER THE SYSTEM WAS SHUT DOWN THE METER WAS DRAINED AND LO/TO WAS APPLIED.  CLEAN UP OF FREE PRODUCT BEGAN.  ALL CONTAMINATED SOIL WAS REMOVED AND REMEDIATED ON SITE.  CLEAN BACKFILL WAS BROUGHT IN.  THE CRACKED NIPPLE WAS REMOVED.  IT WAS DETERMINED THAT THE NIPPLE WAS AN EXTRA FITTING AND NOT REQUIRED FOR THE PROPER OPERATION OF THE THERMAL RELIEF.  THE NIPPLE WAS REPLACED WITH AN ALTERNATIVE 1/2" HEAVIER FITTING ON THE THERMAL RELIEF SYSTEM ON BOTH SIDES OF THE METER INLET VALVE.  A SECOND IDENTICAL INLET VALVE WAS INSPECTED AND A SIMILAR NIPPLE INSTALLATION SETUP WAS REPLACED AS DESCRIBED ABOVE.  THESE ACTIONS COMBINED WITH DAILY MONITORING BY OPERATIONS PERSONNEL WILL AID IN PREVENTION OF A RECURRENCE.  THERE WAS NO INDICATION OF VIBRATION OR OUTSIDE FORCE TO HAVE CAUSED THE NIPPLE FAILURE.  THE PIPELINE AND METER WERE RESTARTED AT APPROXIMATELY 14:35.  OPERATION WAS MONITORED TO ENSURE ALL REPAIRS WERE SUCCESSFUL AND NO ADDITIONAL LEAKS WERE IDENTIFIED.</t>
  </si>
  <si>
    <t>ON 12/21/18 AT APPROXIMATELY 23:07 OIL WAS DISCOVERED FLOWING INTO THE TANK CONTAINMENT DIKE FROM THE ROOF DRAIN PIPE. ROOF DRAIN VALVE WAS BLOCKED IN TO STOP THE RELEASE. THE RELEASE WAS FULLY CONTAINED WITHIN THE DIKED AREA AND ALL FREE PRODUCT WAS RECOVERED VIA VACUUM TRUCK AND CONTAMINATED SOIL REMOVED FOR ON-SITE REMEDIATION.  NRC WAS CONTACTED AS A PRECAUTIONARY MEASURE DUE TO UNKNOWN TOTAL COSTS AT THE TIME AND REPORT 1233756 WAS ISSUED.  IT WAS DETERMINED THAT NO NRC REPORTING CRITERIA UNDER 195.52 WAS MET SO REPORT WAS NOT REQUIRED.      UPON EXAMINATION AN AREA OF EXTERNAL CORROSION PINHOLES WERE FOUND ON THE ROOF. THE PINHOLES ALLOWED WATER TO ENTER THE PONTOONS WHICH RESULTED IN THE SLIGHT SINKING OF THE ROOF ON THAT SIDE.  ONCE THE ROOF BEGAN TO SINK, IT ALLOWED OIL TO ENTER THE PONTOONS AND FILL THEM.  AS THE PONTOON FILLED THE OIL PUSHED UP THROUGH THE PINHOLES THAT ALLOWED THE WATER ENTER.  AS THE OIL PUSHED OUT OF THE PINHOLES, IT FOUND ITS WAY TO THE ROOF DRAIN AND THAT ALLOWED THE OIL TO EXIT THE ROOF DRAIN AND INTO THE DIKE.  THE ROOF HAS SINCE BEEN CLEANED AND THE EXTERNAL CORROSION HAS BEEN REPAIRED.</t>
  </si>
  <si>
    <t>AREA WAS BYPASSED AND LOCKED OUT WHILE REPAIRS WERE MADE</t>
  </si>
  <si>
    <t>EAST TEXAS 10" MANIFOLD</t>
  </si>
  <si>
    <t>ON 12/21/18 AT APPROXIMATELY 22:10, LOCAL OPERATING PERSONNEL WERE PERFORMING ROUTINE CHECKS AND DISCOVERED A RELEASE OF CRUDE OIL IN THE AREA OF THE EAST TEXAS 10" MANIFOLD.  THE RELEASE HAD MIGRATED INTO THE TERMINAL ROADSIDE DITCH AND WAS CONTAINED USING AN EARTHEN BERM IN THE DITCH.   UPON EXCAVATION AND EXAMINATION IT WAS DETERMINED THAT THE LEAK SOURCE WAS AN APPARENT INTERNAL CORROSION PINHOLE AT THE 6 O'CLOCK POSITION ON A 10" DEAD LEG SEGMENT OF PIPE..  A PLIDCO CLAMP WAS INSTALLED TO PREVENT FURTHER RELEASE AND ALL FREE PRODUCT WAS RECOVERED VIA VACUUM TRUCK AND CONTAMINATED SOIL WAS REMOVED FOR ON-SITE REMEDIATION.  DURING THE INVESTIGATION, IT WAS CONCLUDED THAT THE PIPING WAS A DEAD LEG AND WAS NO LONGER NECESSARY FOR THE OPERATION OF THE TERMINAL.  THE PIPE HAS BEEN FULLY PURGED AND MARKED FOR REMOVAL.</t>
  </si>
  <si>
    <t>S315 TX NGL JAMESON PLNT LTRL</t>
  </si>
  <si>
    <t>MARYNEAL</t>
  </si>
  <si>
    <t>INVESTIGATION IDENTIFIED NO CONTROLLER ISSUES.  CONTROLLER ACTIONS WERE CONSISTENT WITH COMPANY PROTOCOL.</t>
  </si>
  <si>
    <t>BACKHOE/TRACKHOE</t>
  </si>
  <si>
    <t>LIQUID PIPELINE</t>
  </si>
  <si>
    <t>CONTRACT LOCATOR</t>
  </si>
  <si>
    <t>EXCAVATION ISSUE</t>
  </si>
  <si>
    <t>IMPROPER BACKFILLING PRACTICES</t>
  </si>
  <si>
    <t>ON NOVEMBER 29, 2018 AT APPROXIMATELY 10:00 AM, ENERGY TRANSFER'S 4INCH NGL S315 JAMESON PLANT LATERAL PIPELINE EXPERIENCED A DISCHARGE CAUSED BY THIRD PARTY DAMAGE.  THE LINE IS LOCATED IN NOLAN COUNTY IN MARYNEAL, TX.  A CONTRACTOR PERFORMING WORK FOR ANOTHER OPERATOR WAS OPERATING A TRACK-HOE WITH A SHAKER BUCKET AND STRUCK THE ENERGY TRANSFER LINE AND CAUSED A LEAK. THE CONTRACTOR STATED THAT WHEN USING THE SHAKER BUCKET ON THE TRACK-HOE TO BACKFILL HIS EXCAVATION, THE TRACK-HOE BEGAN SLIDING TOWARD THE DITCH.  THE CONTRACTOR LAID HIS SHAKER BUCKET DOWN TO STOP THE SLIDING OF HIS EQUIPMENT AND STRUCK THE PIPELINE.  ENERGY TRANSFER PERSONNEL NOTICED THE GAS CLOUD WHILE HEADING TO THE EXCAVATION LOCATION AND NOTIFIED ADDITIONAL ENERGY TRANSFER EMPLOYEES AT 10:06 AM. THESE COMPANY PERSONNEL IMMEDIATELY PROCEEDED TO SHUT IN THE PIPELINE BY CLOSING IN THE UPSTREAM MAINLINE VALVE AND DOWNSTREAM MAINLINE VALVE AT 10:22 AM AND 10:40 AM RESPECTIVELY. THE AFFECTED PIPE SEGMENT WAS CUT OUT AND REPLACED WITH PRE-TESTED PIPE.  THE PIPELINE WAS BROUGHT BACK TO SERVICE ON DECEMBER 1, 2018 AT APPROXIMATELY 10:00 AM.                                                                                                                                                                                                  ENERGY TRANSFER WILL CONTINUE TO EXECUTE PROCEDURES OUTLINED WITHIN OUR DAMAGE PREVENTION PROCEDURES AND SPREAD PUBLIC AWARENESS THROUGH OUR PUBLIC AWARENESS PROGRAM TO HELP PREVENT REOCCURRENCES.                                                                                                                                                                                                                  THIS PIPELINE IS UNDER THE JURISDICTION OF THE TEXAS RAILROAD COMMISSION                                                                                                                                   THE TXRRC WAS NOTIFIED ON NOVEMBER 29, 2018 AT 3:43 PM.  INCIDENT # 1889</t>
  </si>
  <si>
    <t>AREA WAS BYPASSED WHILE REPAIRS WERE MADE</t>
  </si>
  <si>
    <t>SMALL DIAMETER TUBING FAILURE</t>
  </si>
  <si>
    <t>AT APPROXIMATELY 17:00 ON 11/28/2018, A RELEASE OF APPROXIMATELY 3 BARRELS TO THE GROUND OCCURRED AS A RESULT OF A BROKEN 1/2" STAINLESS STEEL TUBING WITH A DIFFERENTIAL CHECK VALVE IN PLACE AT THE MARSHLAND MANIFOLD.  THE LINE WAS ISOLATED AND THE RELEASE WAS STOPPED. VACUUM TRUCKS WERE USED TO RECOVER ALL FREE PRODUCT.  CONTAMINATED SOIL WAS REMOVED FOR ONSITE REMEDIATION.  VIBRATION WAS DETERMINED TO BE THE ROOT CAUSE.  THE TUBING AND FITTING WERE REPLACED AND ADDITIONAL BRACING WAS ADDED TO SUPPORT TUBING AND TO REDUCE VIBRATION.</t>
  </si>
  <si>
    <t>THERMAL STRESS</t>
  </si>
  <si>
    <t>AT APPROXIMATELY 11:30 ON 11/21/2018, A RELEASE OF APPROXIMATELY 3 BBL. OF CRUDE OIL WAS DISCOVERED FROM THE TEXOMA MANIFOLD #2 SUCTION BARREL. OPERATIONS STOPPED PUMPING AND ISOLATED THE SUCTION BARREL. THE IMMEDIATE LEAK WAS LOCATED AND CONTAINED AND A VACUUM TRUCK AND OSRO WERE CALLED IN TO REMOVE THE OIL AND WATER FROM THE TEXOMA MANIFOLD AREA. PREVIOUSLY INSTALLED REPAIR CLAMP ON THE SUCTION LINE WAS FOUND TO BE LOOSE. ROOT CAUSE WAS DETERMINED TO BE THERMAL STRESS ON THIS ABOVE GROUND SECTION OF PIPE DUE TO RECENT INCLEMENT COLD WEATHER WHICH CAUSED CONTRACTION OF PIPE AND AFFECTED TORQUE OF REPAIR CLAMP BOLTS. MECHANICS WERE ABLE TO RETIGHTEN BOLTS AND STOP RELEASE. WORKING WITH SCHEDULING FOR DOWNTIME TO MAKE PERMANENT REPAIRS. NO ENVIRONMENTAL IMPLICATIONS. THERE WAS WATER IN THE BASIN OF THE MANIFOLD AREA AS A RESULT OF RECENT RAIN. THE CRUDE REMAINED SUSPENDED FROM THE GROUND VIA THE WATER AND THERE WAS NO SOIL IMPACTED.</t>
  </si>
  <si>
    <t>OIL TANKER TRUCK DRIVER MAKING A DELIVERY TO ADJACENT FACILITY</t>
  </si>
  <si>
    <t>23002 - 8/10" HAWLEY TO MERTEN</t>
  </si>
  <si>
    <t>RULE</t>
  </si>
  <si>
    <t>HASKELL</t>
  </si>
  <si>
    <t>DEFECTIVE WELD COMBINED WITH EXTERNAL OVERLOAD OF THE WELD</t>
  </si>
  <si>
    <t>AT APPROXIMATELY 12:15 ON 11/12/18 A COMPANY TRUCK DRIVER WAS UNLOADING AT THE ADJACENT RULE FACILITY AND NOTICED CRUDE OIL IN THE BAR DITCH ON THE SIDE OF STATE HIGHWAY 6 NEAR RULE, TX.  THE DRIVER CONTACTED THE CONTROL CENTER AND THE LINE WAS IMMEDIATELY SHUTDOWN.  LOCAL OPERATIONS PERSONNEL RESPONDED TO THE LOCATION AT APPROXIMATELY 12:32.  AFTER INVESTIGATION IT WAS DETERMINED THAT COSTS WOULD LIKELY EXCEED $50,000.  NRC WAS NOTIFIED AT 13:39 LOCAL TIME AND REPORT 1230168 WAS ISSUED.  THE TX RAILROAD COMMISSION WAS NOTIFIED AND INCIDENT 1879 WAS ASSIGNED.  ALL FREE PRODUCT WAS RECOVERED VIA VACUUM TRUCK AND CONTAMINATED SOIL WAS REMOVED FOR REMEDIATION AT COMPANY FACILITY.  THE AREA WAS EXCAVATED AND IT WAS DETERMINED THAT THE FIRST GIRTH WELD OUTSIDE OF THE CASED CROSSING OF STATE HIGHWAY 6 HAD FAILED.  THIS WELD WAS AN ORIGINAL CONSTRUCTION WELD (1927) AND DID NOT HAVE A WELD REINFORCEMENT COLLAR INSTALLED.  THE SECTION OF LINE WAS DRAINED DOWN AND 39.9' OF PIPE WAS CUT OUT AND REPLACED.  THE NEXT WELD DOWNSTREAM WAS EXPOSED AND WAS FOUND TO HAVE A WELD REINFORCEMENT COLLAR INSTALLED.  ILI DATA INDICATED THAT THE NEXT GIRTH WELD DOWNSTREAM ALSO HAD A WELD REINFORCEMENT COLLAR INSTALLED.  THE THREE UPSTREAM GIRTH WELDS ARE INSIDE THE CASED CROSSING OF STATE HIGHWAY 6 AND DO NOT HAVE WELD REINFORCEMENTS.  AFTER THIS INVESTIGATION CLEAN BACKFILL WAS BROUGHT IN, THE LINE WAS STATIC PRESSURE TESTED AND RETURNED TO SERVICE ON 11/14/18.  48 HOUR NRC UPDATE REPORT WAS FILED ON 11/14/18 AND REPORT 1230352 WAS ISSUED.    THE DISCHARGE PRESSURE AT THE TIME OF DISCOVERY FROM THE ADJACENT RULE FACILITY WAS 55 PSI.  A SLIGHT PRESSURE DROP WAS NOTED IN SCADA HOWEVER THIS CONDITION WAS NOT CONSIDERED OUT OF NORMAL OPERATING PARAMETERS AT THE TIME BECAUSE A DOWNSTREAM INJECTION PUMP WAS CYCLING WHICH CAN INFLUENCE UPSTREAM PRESSURES.  ADDITIONALLY, NO SCADA ALARMS OCCURRED BECAUSE DURING TRANSIENT CONDITIONS THE PRESSURE AND FLOW ALARMS ARE TEMPORARILY DISABLED TO REDUCE NUISANCE ALARMS UNTIL DOWNSTREAM INJECTION PRESSURES STABILIZE.  THE LEAKWARN SYSTEM DID NOT ALARM BECAUSE IT DID NOT MEET THRESHOLDS OF ANY OF THE CURRENT ALARMING WINDOWS.    THE SECTION OF PIPE WITH THE FAILED WELD WAS SENT TO A 3RD PARTY LABORATORY FOR ANALYSIS.  THIS ANALYSIS CONCLUDED THAT THERE WERE NUMEROUS DEFECTS IN THE WELD INCLUDING POROSITY, SLAG, INCOMPLETE FUSION AND PENETRATION WITH BRITTLE FRACTURING AT THE EXTERNAL SURFACE OF THE WELD.  THE DEFECTIVE WELD FRACTURED AS A RESULT OF THESE DEFECTS COMBINED WITH EXTERNAL OVERLOADING.  THE SURROUNDING SOIL WAS OVERLY SATURATED DUE TO HIGH LEVELS OF RAINFALL WHICH CAUSED INSTABILITY.  THIS INSTABILITY COMBINED WITH THE LOADING INCURRED DUE TO THE ADJACENT STATE HIGHWAY WAS THE CAUSE OF THE FAILURE.  THE WELDS WITHIN THE CASING THAT DO NOT HAVE WELD REINFORCEMENT COLLARS ARE NOT AT RISK DUE TO BEING CASED AND NOT SUBJECTED TO THE SAME STRESS INDUCED ON THE DOWNSTREAM WELDS THAT ARE NOT CASED.  THE TWO DOWNSTREAM ORIGINAL WELDS FROM THE FAILURE HAVE WELD REINFORCEMENT COLLARS INSTALLED.  THE TIE IN WELDS FOR THE REPLACEMENT PIPE ARE OF SUPERIOR, MODERN METHOD AND WERE BOTH NON DESTRUCTIVELY TESTED AFTER COMPLETION.  THE NEW WELDS IN CONJUNCTION WITH THE TWO REINFORCED DOWNSTREAM WELDS WILL AID TO PREVENT RECURRENCE OF THE RELEASE AT THIS LOCATION.</t>
  </si>
  <si>
    <t>FAULTY GROUND WIRE</t>
  </si>
  <si>
    <t>AT APPROXIMATELY 02:00 COMPANY EMPLOYEE FOUND OIL ON THE GROUND AT THE TEXOMA MANIFOLD SUMP AREA.  THE MAIN SUMP HAD OVERFLOWED SPILLING APPROXIMATELY 2 BBL. OF CRUDE OIL.  TERMINAL MANAGEMENT WAS IMMEDIATELY NOTIFIED AND A VACUUM TRUCK &amp; OSRO CONTRACTOR WERE DISPATCHED FOR CLEANUP. ALL FREE PRODUCT WAS PICKED UP AND THE CONTAMINATED SOIL WAS REMOVED FOR REMEDIATION ON SITE.  AFTER INVESTIGATION IT WAS DETERMINED THAT THE RADAR LEVEL SWITCH HAD FAILED WHICH ALLOWED THE SUMP TO OVERFLOW AND PROVIDE A FALSE READING.  THE FAILURE WAS DUE TO A FAULTY GROUND. AN EXTERNAL GROUND WAS INSTALLED TO CORRECT THE ISSUE WITH THE LEVEL SWITCH.  SIGNIFICANT RAINFALL ALSO CONTRIBUTED TO THE OVERFLOW.</t>
  </si>
  <si>
    <t>VALVE AREA WAS BYPASSED</t>
  </si>
  <si>
    <t>DOE MANIFOLD WILLIE JUNCTION</t>
  </si>
  <si>
    <t>VALVE STEM DAMAGE</t>
  </si>
  <si>
    <t>AT APPROXIMATELY 01:00 EMPLOYEE FOUND APPROXIMATELY 1/2 BBL OF CRUDE OIL IN THE DITCH IN FRONT OF THE DOE MANIFOLD.  THE SOURCE OF THE LEAK WAS COMING FROM A WEEPING VALVE STEM AT WILLY JCT.  THE STEM PACKING ON THE VALVE APPEARS TO BE FAILING DUE DAMAGE TO THE STEM.  WITH HEAVY RAINS OCCURRING AT THE TIME THE 1/2 BBL MOVED INTO THE DITCH. SPILL BOOM &amp; PADS WERE IMMEDIATELY DEPLOYED AND A VACUUM TRUCK AND OSRO CONTRACTOR DISPATCHED FOR CLEANUP.  VALVE IS MONITORED AND DOWN TIME BEING SCHEDULED FOR PERMANENT REPAIR.</t>
  </si>
  <si>
    <t>PUMP WAS ISOLATED AND BYPASSED</t>
  </si>
  <si>
    <t>REDFIELD STATION</t>
  </si>
  <si>
    <t>29004-30" WATFORD CITY TO PATOKA</t>
  </si>
  <si>
    <t>TULARE</t>
  </si>
  <si>
    <t>SPINK</t>
  </si>
  <si>
    <t>18648+78</t>
  </si>
  <si>
    <t>AT APPROXIMATELY 07:00 ON 10/29/18 LOCAL OPERATING PERSONNEL WERE PERFORMING ROUTINE STATION CHECK AT REDFIELD PUMP STATION.  PERSONNEL DISCOVERED AN APPROXIMATE 15 GALLON RELEASE OF CRUDE OIL FROM A SMALL DIAMETER, CRACKED STAINLESS STEEL PIPE NIPPLE ON THE SUCTION SIDE OF THE MAINLINE PUMP AT A TRANSMITTER TEST PORT.  CONTROL CENTER WAS IMMEDIATELY NOTIFIED AND THE PUMP WAS SHUTDOWN AND ISOLATED FROM THE SYSTEM.  ALL RELEASED PRODUCT WAS CONTAINED ON THE CONCRETE PUMP HOUSE FLOOR AND WAS CLEANED UP.  THE FAILED NIPPLE WAS REMOVED AND REPLACED.  IT IS SUSPECTED THAT THE NIPPLE MAY HAVE BEEN OVERTIGHTENED ON INSTALLATION WHICH ULTIMATELY LED TO THE FAILURE.  OTHER SIMILAR FITTINGS AT THE STATION WERE INSPECTED AND NO OTHER DAMAGE WAS FOUND.  ONCE NIPPLE WAS REPLACED AND PRODUCT CLEANED UP THE PUMP WAS RETURNED TO SERVICE.</t>
  </si>
  <si>
    <t>WTG - 26" COLORADO CITY TO WORTHAM</t>
  </si>
  <si>
    <t>23010.1 - 26" COLORADO CITY TO ABILENE</t>
  </si>
  <si>
    <t>COMPANY PROCEDURE AND MANUFACTURER INSTRUCTIONS FOLLOWED FOR INSTALLATION OF CLAMP.  NON-ROUTINE MAINTENANCE AND WEATHER CONDITIONS WERE FACTORS.  SEE NARRATIVE FOR ADDITIONAL EXPLANATION.</t>
  </si>
  <si>
    <t>HYDROSTATIC PRESSURE TESTING PROJECT WAS UNDERWAY ON THE COLORADO CITY TO ABILENE SEGMENT OF THE WEST TEXAS GULF PIPELINE SYSTEM.  ON OCTOBER 13, 2018 THE INITIAL PRESSURE TEST WAS STOPPED DUE TO PRESSURE LOSS.  AFTER PATROLLING THE TEST SEGMENT A PINHOLE FROM AN EXTERNAL CORROSION ANOMALY WAS DISCOVERED AT MP 25.1 ON OCTOBER 15, 2018.  THE AREA WAS EXCAVATED AND A PLIDCO CLAMP WAS INSTALLED OVER THE PINHOLE.  A SMALL AMOUNT OF RESIDUAL PRODUCT WAS DISCOVERED AT THIS TIME.  THE EXCAVATION WAS LEFT OPEN FOR MONITORING OF THE CLAMP DURING SUBSEQUENT HYDROSTATIC PRESSURE TESTING ACTIVITIES.      DURING SUBSEQUENT PRESSURE TEST ACTIVITIES CREWS CONTINUED TO MONITOR THIS LOCATION AND PATROL THE REMAINDER OF THE TEST SEGMENT.  THE AREA WAS EXPERIENCING HEAVY RAINFALL DURING THIS TIME PERIOD AND A VACUUM TRUCK WAS ROUTINELY REMOVING RAIN WATER FROM THE OPEN EXCAVATION WHERE THE CLAMP WAS APPLIED.  FOR SAFETY REASONS PERSONNEL WERE NOT PERMITTED TO BE IN THE EXCAVATION DURING THE SUBSEQUENT PRESSURE TEST ATTEMPTS SO THE CLAMP WAS MONITORED FOR LEAKAGE FROM THE TOP OF THE EXCAVATION TO THE DEGREE POSSIBLE.  THIS CIRCUMSTANCE COMBINED WITH THE CONSTANT COLLECTION OF RAINWATER IN THE EXCAVATION MASKED THE ESCAPE OF DYED HYDROSTATIC PRESSURE TEST WATER AND RESIDUAL PRODUCT FROM WHAT WAS ULTIMATELY DISCOVERED TO BE WEEPING OF THE CLAMP.      ON OCTOBER 20TH AT APPROXIMATELY 16:00 CREWS DETERMINED THAT THE CLAMP WAS WEEPING AND THAT RESIDUAL PRODUCT HAD BEEN RELEASED.  DUE TO THE PRESENCE OF RESIDUAL CRUDE OIL AND ANTICIPATED TOTAL COSTS EXCEEDING $50,000 THE NRC WAS NOTIFIED ON OCTOBER 20, 2018 (REPORT 1228043) WITH FOLLOW UP NRC (REPORT 1228252) ALSO COMPLETED.    IN ORDER FOR THE CREW TO ENTER THE EXCAVATION PRESSURES WERE REDUCED TO A SAFE LEVEL AND THE EXCAVATION WAS CONTINUALLY VACUUMED TO PREVENT COLLECTION OF RAINWATER.  ONCE ABLE TO ACCESS THE CLAMP THE CREW LOOSENED THE BOLTS, REPOSITIONED THE CLAMP AND TORQUED THE BOLTS BACK TO MANUFACTURER SPECIFICATIONS.  THIS ACTIVITY ALLOWED THE CLAMP TO FULLY SEAL AND HYDROSTATIC PRESSURE TEST ACTIVITIES RESUMED ULTIMATELY ACHIEVING A SUCCESSFUL TEST ON OCTOBER 29, 2018.    TOTAL AMOUNT OF CRUDE OIL RELEASED WAS APPROXIMATELY 10 BBLS.  RELEASED HYDROSTATIC PRESSURE TEST WATER AND RESIDUAL CRUDE OIL MIXTURE WAS RECOVERED FROM THE EXCAVATION AREA BY VACUUM TRUCK AND CONTAMINATED SOIL WAS TRANSPORTED TO A COMPANY FACILITY FOR REMEDIATION.      DUE TO COMPLEXITY OF THE CONDITIONS DESCRIBED ABOVE AND THE ELAPSED TIME PERIOD FROM INITIAL CLAMP INSTALLATION NONE OF THE PERSONNEL INVOLVED WITH THE INSTALLATION WERE DIRECTED TO UNDERGO DRUG AND ALCOHOL TESTING.  THERE WERE NO INDICATIONS THAT THE PERSONNEL HAD NOT FOLLOWED PROCEDURES AND INSTRUCTIONS FOR THE INITIAL INSTALLATION OF THE CLAMP.</t>
  </si>
  <si>
    <t>STATIC SHUT-IN TEST OR OTHER PRESSURE OR LEAK TEST</t>
  </si>
  <si>
    <t>ABILENE</t>
  </si>
  <si>
    <t>TAYLOR</t>
  </si>
  <si>
    <t>EFW</t>
  </si>
  <si>
    <t>AO SMITH</t>
  </si>
  <si>
    <t>POLY TAPE WRAP</t>
  </si>
  <si>
    <t>BUTTON WILLOW CREEK</t>
  </si>
  <si>
    <t>ACOUSTIC TOOL</t>
  </si>
  <si>
    <t>ON OCTOBER 14, 2018 THE COLORADO CITY TO ABILENE SEGMENT OF THE WEST TEXAS GULF PIPELINE SYSTEM WAS IN PROCESS OF HYDROSTATIC PRESSURE TESTING.  AT APPROXIMATELY 10:10 THE SEGMENT WAS ON SPIKE TEST PRESSURE WHEN A FAILURE OCCURRED AT MP 64.2 IN ABILENE, TX.  THE FAILURE RESULTED IN HYDROSTATIC PRESSURE TEST WATER MIXED WITH A MINIMAL AMOUNT OF RESIDUAL CRUDE OIL BEING RELEASED AND IMPACTING NEARBY BUTTON WILLOW CREEK.  DUE TO THE RESIDUAL PRODUCT CAUSING A SHEEN ON THE CREEK, NRC WAS NOTIFIED AT 12:07 ON OCTOBER 14, 2018 (REPORT 1227441).  48 HOUR FOLLOW UP REPORT WAS MADE ON OCTOBER 16, 2018 (REPORT 1227621).  TOTAL ESTIMATED AMOUNT OF CRUDE OIL RELEASED WAS 8 BBLS.  ALL FREE PRODUCT WAS RECOVERED BY SKIMMING THE IMPACTED WATER BODY AND VIA ABSORBENT MATERIALS.      THE FAILED SECTION OF PIPE WAS CUT OUT AND REPLACED AND HYDROSTATIC PRESSURE TEST WAS PERFORMED SUCCESSFULLY BETWEEN MLV 44.6 AND ABILENE STATION.  PIPELINE WAS RETURNED TO NORMAL SERVICE ON NOVEMBER 1, 2018.    EXTERNAL CORROSION WAS DETERMINED TO BE THE CAUSE OF THE FAILURE VIA FIELD EXAMINATION.  FAILED SECTION OF PIPE WAS ALSO EXAMINED BY A 3RD PARTY LABORATORY WHICH CONFIRMED EXTERNAL CORROSION AS THE CAUSE RESULTING FROM THE DETERIORATION OF THE EXTERNAL COATING WHICH EXPOSED THE PIPE SURFACE TO A CORROSIVE ENVIRONMENT CONTAINING MIC.</t>
  </si>
  <si>
    <t>APPROXIMATELY 11:30 ON 9/30/2018 A CONTRACTOR DISCOVERED CRUDE LEAKING FROM WEEPING VALVE STEM AT THE ROTATION MANIFOLD.  THE VALVE WAS ISOLATED AND VACUUM TRUCK WAS DISPATCHED TO PICK UP FREE OIL AND CONTAMINATED SOIL WAS REMOVED FOR REMEDIATION ON SITE.  APPROXIMATELY 1 BBL OF CRUDE OIL WAS RELEASED.  UPON INVESTIGATION THE STEM PACKING ON THE VALVE APPEARS TO HAVE FAILED DUE TO DAMAGE TO THE VALVE STEM.  THE VALVE STEM AND PACKING WAS REPAIRED AND VALVE WAS RETURNED TO SERVICE.</t>
  </si>
  <si>
    <t>AT APPROXIMATELY 16:30 ON 09/27/2018, A RELEASE OF APPROXIMATELY 2 BBLS OF CRUDE OIL WAS DISCOVERED BY A COMPANY PERSONNEL MAKING ROUTINE CHECKS. THE LINE WAS ISOLATED AND THE RELEASE WAS TOPPED.  VACUUM TRUCK WAS USED TO RECOVER ALL FREE PRODUCT AND CONTAMINATED SOIL WAS REMOVED FOR ON SITE REMEDIATION.  THE CAUSE OF THE LEAK WAS 1" DIAMETER STAINLESS STEEL TUBING ATTACHED TO THE #1 BOOSTER THAT FAILED AT A CONNECTION FITTING.  VIBRATION WAS DETERMINED TO BE THE ROOT CAUSE.  THE TUBING AND FITTING WERE REPLACED AND ADDITIONAL BRACING WAS ADDED TO SUPPORT TUBING AND TO REDUCE VIBRATION.</t>
  </si>
  <si>
    <t>TANK VOLUME WAS PULLED DOWN AND THEN TANK WAS ISOLATED FROM SYSTEM</t>
  </si>
  <si>
    <t>TANK 2693</t>
  </si>
  <si>
    <t>TANK CLEANING, DEGASSING AND INSPECTION TO DETERMINE NECESSARY REPAIRS.</t>
  </si>
  <si>
    <t>STEEL TANK BOTTOM</t>
  </si>
  <si>
    <t>AT APPROXIMATELY 07:15 ON 9/27/2018, LOCAL MEASUREMENT SUPERVISOR DISCOVERED WATER/OIL MIX COMING OUT OF THE SPACE BETWEEN THE TANK BOTTOM AND THE RINGWALL OF TANK 2693. MANAGEMENT WAS IMMEDIATELY CONTACTED AND DEPLOYED AN ONSITE VAC TRUCK TO BEGIN RECOVERING PRODUCT.  ALIGNMENT WAS MADE TO FLOW TO AN ADJACENT TANK IN ORDER TO EMPTY TANK 2693.  APPROXIMATELY 30 BBLS WAS RELEASED TO THE TANK DIKE.  ALL FREE PRODUCT WAS RECOVERED BY THE VAC TRUCK AND IMPACTED SOIL WAS REMOVED FOR ONSITE REMEDIATION.  IT WAS DETERMINED THAT ANTICIPATED COSTS TO REPAIR WILL EXCEED $50,000 AND NRC WAS NOTIFIED AT 09:20 ON 9/27/2018 AND REPORT NO. 1225843 WAS ISSUED.  REQUIRED 48HR FOLLOW UP NRC REPORT WAS MADE ON 9/28/2018 AND REPORT NO. 1225991 WAS ISSUED.      TANK CLEANING AND DEGASSING AND AN INTERNAL INSPECTION WAS COMPLETED.  INSPECTION DETERMINED CAUSE OF FAILURE TO BE AREAS OF INTERNAL CORROSION OF THE STEEL TANK BOTTOM.  SUBSEQUENT TO THE INSPECTION IT WAS DETERMINED THAT THE TANK WILL NOT BE RETURNED TO SERVICE.  TANK HAS BEEN FULLY ISOLATED FROM THE ACTIVE PIPELINE.</t>
  </si>
  <si>
    <t>HEADER WAS ISOLATED</t>
  </si>
  <si>
    <t>PE3 HEADER @ ROTATION</t>
  </si>
  <si>
    <t>AT APPROXIMATELY 18:50 AN OPERATOR OPENED UP TANK 1539 VALVE TO INITIALLY FILL AND COMMISSION THE PE3 HEADER AT THE ROTATION MANIFOLD WHILE THE AREA WAS MONITORED.  WHEN PRODUCT REACHED THE ROTATION MANIFOLD A FLANGE BEGAN LEAKING. APPROXIMATELY 2 BBLS OF CRUDE OIL WAS RELEASED. THE TANK VALVE WAS IMMEDIATELY CLOSED TO STOP FLOW TO THE HEADER.  SHIFT SUPERVISOR CALLED YARD CREW TO BRING VACUUM TRUCK TO THE AREA TO PICK UP THE FREE PRODUCT.  CONTAMINATED SOIL WAS REMOVED AND REMEDIATED ON SITE.  UPON INSPECTION IT WAS DISCOVERED THAT THE BOLTS ON THE FLANGE THAT LEAKED HAD NOT BEEN TORQUED PROPERLY DURING INSTALLATION.  BOLTS WERE TORQUED TO SPECIFICATION AND ALL OTHER FLANGED CONNECTIONS WERE CHECKED FOR PROPER TORQUE.  AFTER THIS WAS COMPLETED THE FILL PROCESS WAS RESUMED AND CONTINUED TO BE MONITORED UNTIL NORMAL OPERATIONAL STATUS HAD BEEN ACHIEVED AND IT WAS CONFIRMED THERE WERE NO FURTHER ISSUES.</t>
  </si>
  <si>
    <t>TANK WAS ISOLATED WHICH ALLOWED FACILITY TO CONTINUE TO  FUNCTION.</t>
  </si>
  <si>
    <t>SEABREEZE TANK # 9302</t>
  </si>
  <si>
    <t>21006 - 10" SEABREEZE TO NEDERLAND</t>
  </si>
  <si>
    <t>WINNIE</t>
  </si>
  <si>
    <t>CHAMBERS COUNTY</t>
  </si>
  <si>
    <t>TANK MIXER SEAL FAILURE CAUSED BY BEARING FAILURE WHICH ALLOWED THE MIXER SHAFT TO DROP CAUSING SEAL FAILURE.</t>
  </si>
  <si>
    <t>ON 9/17/2018 DURING A ROUTINE STATION CHECK AT APPROXIMATELY 13:30  A 4 BBL RELEASE WAS DISCOVERED AT TANK #9302 BY LOCAL OPERATIONS PERSONNEL.  AT APPROXIMATELY 15:12 TX RRC PIPELINE SAFETY WAS CONTACTED AND INCIDENT NO. 1839 WAS ASSIGNED.  THE SOURCE OF THE RELEASE WAS IDENTIFIED AS THE TANK MIXER.  ALL RELEASED PRODUCT WAS CONTAINED WITHIN THE TANK DIKE AND ADDITIONAL MEANS OF CONTAINMENT WERE PUT IN PLACE TO FURTHER REDUCE ENVIRONMENTAL IMPACT OF RELEASE UNTIL THE TANK WAS ISOLATED AND PUMPED OUT TO A LEVEL BELOW THE MIXER TO FULLY STOP THE RELEASE.  ALL FREE PRODUCT WAS RECOVERED AND IMPACTED SOIL WAS REMEDIATED ON SITE.  THE MIXER UNIT WAS REMOVED AND WILL BE REINSTALLED UPON REPAIR.  ANALYSIS OF THE FAILURE DETERMINED THAT THE MIXER MOTOR HAD BECOME MISALIGNED CAUSING BEARING FAILURE WHICH CAUSED THE MIXER SHAFT TO DROP AND ULTIMATELY CAUSED THE FAILURE OF THE MIXER SEAL.  REPAIRED MIXER WILL BE REINSTALLED AND ALIGNMENT OF THE MOTOR VERIFIED TO ENSURE THERE IS NO RECURRENCE.</t>
  </si>
  <si>
    <t>3RD PARTY OPERATOR</t>
  </si>
  <si>
    <t>PECOS CROSSING #1</t>
  </si>
  <si>
    <t>ADVANTAGE LACT 3200</t>
  </si>
  <si>
    <t>ADVANTAGE3200</t>
  </si>
  <si>
    <t>AT APPROXIMATELY 9:30 ON 9/14/2018 A SUSPECTED RELEASE WAS DISCOVERED BY 3RD PARTY OPERATOR AROUND THE LACT UNIT AT THE ADVANTAGE DELIVERY POINT OFF OF THE PECOS CROSSING 12" PIPELINE. THE CONTROL CENTER WAS NOTIFIED AND THE STATION WAS SHUT DOWN WHILE LOCAL COMPANY OPERATIONS PERSONNEL WERE DISPATCHED TO THE LOCATION TO INVESTIGATE. AFTER ARRIVING ONSITE A RELEASE OF APPROXIMATELY 16 GALLONS OF CRUDE OIL WAS CONFIRMED FROM THE LACT UNIT.    TX RRC WAS NOTIFIED AT 11:30 AND CASE NO. 1837 WAS ASSIGNED. THE RELEASE WAS CAUSED BY A CRACK IN THE THREADS OF A 1/4 PIPE NIPPLE ON THE SAMPLER PROBE AT THE CUSTODY TRANSFER METER. THE NIPPLE WAS REPLACED AND THE LACT UNIT WAS RETURNED TO SERVICE AT APPROXIMATELY 13:09 ON 9/14/2018.  ALL CONTAMINATED SOIL WAS REMOVED FOR PROPER REMEDIATION. FURTHER INVESTIGATION DETERMINED THAT THE NIPPLE FAILED DUE STRESS FROM VIBRATION WHICH WAS CAUSED BY THE DIFFERENTIAL SETTINGS BETWEEN METER BACK PRESSURE VALVE AND INCOMING PIPELINE PRESSURE CONTROL VALVE WHILE PROVING OPERATIONS TOOK PLACE ON THE METER.  TO PREVENT RECURRENCE THE INCOMING PRESSURE CONTROL VALVE AND FLOW WILL BE ADJUSTED PRIOR TO PROVING TO PREVENT VIBRATION.  ADDITIONAL SUPPORT WAS ALSO INSTALLED TO THE SAMPLER CONNECTION TO PREVENT VIBRATION.</t>
  </si>
  <si>
    <t>20X16"</t>
  </si>
  <si>
    <t>ON 9/5/2018 AT APPROXIMATELY 07:00 CONTRACTOR DISCOVERED CRUDE OIL IN THE DITCH BETWEEN DOE MANIFOLD AND LEDBETTER BOOSTER PUMP.  CONTRACTOR NOTIFIED COMPANY OPERATIONS PERSONNEL WHO WERE DISPATCHED TO THE LOCATION.   BOOM WAS PLACED IN ALL CULVERTS TO PREVENT CRUDE OIL FROM ENTERING THE #3 OUTFALL.  ALL RELEASED CRUDE OIL WAS RECOVERED VIA VAC TRUCK AND IMPACTED SOIL WAS EXCAVATED AND REMEDIATED ON SITE.   AFFECTED AREA WAS EXCAVATED AND INVESTIGATION REVEALED AN INTERNAL CORROSION PINHOLE ON THE 20X16" FACILITY LINE SEGMENT.  A PLIDCO CLAMP WAS INSTALLED TO PREVENT FURTHER RELEASE OF CRUDE OIL.  10 GALLONS OF CRUDE OIL WAS RELEASED.  THIS SECTION OF PIPE HAD BEEN DISPLACED AND NOT IN OPERATION HOWEVER THE VALVE ISOLATING THIS SECTION HAD LEAKED BY.  THIS SECTION OF PIPE HAS SINCE BEEN PURGED, BLIND FLANGED AND PERMANENTLY ABANDONED IN PLACE.</t>
  </si>
  <si>
    <t>PIPELINE WAS ALREADY SHUT DOWN</t>
  </si>
  <si>
    <t>6" CHEROKEE TO BOTTLEMAN</t>
  </si>
  <si>
    <t>541009 - 6" CHEROKEE TO BOTTLEMAN</t>
  </si>
  <si>
    <t>CHEROKEE</t>
  </si>
  <si>
    <t>ALFALFA</t>
  </si>
  <si>
    <t>HDPE PIPE</t>
  </si>
  <si>
    <t>NON METALLIC HDPE PIPE</t>
  </si>
  <si>
    <t>PIPELINE WAS SHUTDOWN AND NOT OPERATING AT THE TIME OF THE INCIDENT.</t>
  </si>
  <si>
    <t>EXCAVATION DAMAGE BY OPERATOR'S CONTRACTOR (SECOND PARTY)</t>
  </si>
  <si>
    <t>UTILITY OWNER</t>
  </si>
  <si>
    <t>IMPROPER EXCAVATION PRACTICE NOT LISTED ABOVE</t>
  </si>
  <si>
    <t>THE CHEROKEE TO BOTTLEMAN 6' HDPE PIPELINE WAS BEING EXCAVATED TO FACILITATE REMOVAL OF A LATERAL DEAD LEG.  THE PIPELINE WAS SHUT DOWN AND VALVES ON EITHER SIDE OF THE EXCAVATION AREA WERE CLOSED. THE DEAD LEG SECTION HAD BEEN EXCAVATED AND WHILE CONTINUING TO EXCAVATE TO THE TIE IN WITH THE 6" CHEROKEE TO BOTTLEMAN MAINLINE THE EXCAVATOR STRUCK THE MAINLINE CAUSING A PUNCTURE IN THE HDPE PIPE RESULTING IN A 1/2 BARREL RELEASE.  THE RELEASE WAS CLEANED UP AND A CLAMP WAS INSTALLED ON THE PIPELINE IMMEDIATELY.                                                                                                                                                                    AFTER FURTHER INVESTIGATION, IT WAS DISCOVERED THAT THE 6" HDPE MAINLINE PIPE WAS LAID IN A 5 FT WIDE DITCH.  THE WIDTH OF THE DITCH ALLOWED THE PIPE TO BEND LATERALLY DURING BACKFILL WHICH CREATED DIFFICULTY IN ACCURATELY LOCATING THE LINE.  FUTURE EXCAVATIONS OF AND AROUND THIS PIPELINE WILL REQUIRE ADDITIONAL MEASURES SUCH AS POTHOLING TO PREVENT RECURRENCE.  SINCE THE DATE OF THE RELEASE THE LINE HAS REMAINED IN AN IDLED STATE.  BUSINESS ANALYSIS CONCLUDED THAT FURTHER OPERATION OF THE LINE IS NOT NECESSARY AND AS SUCH THE LINE IS SCHEDULED TO BE DE-INVENTORIED AND PLACED IN OUT OF SERVICE STATUS IN THE 4TH QUARTER OF 2018.  THE LINE WILL REMAIN IDLE UNTIL SUCH TIME.</t>
  </si>
  <si>
    <t>MAYSVILLE STATION</t>
  </si>
  <si>
    <t>25003-10" EOLA TO MAYSVILLE</t>
  </si>
  <si>
    <t>MAYSVILLE</t>
  </si>
  <si>
    <t>NYLON REINFORCED BUNA N</t>
  </si>
  <si>
    <t>VALVE DIAPHRAGM FAILURE</t>
  </si>
  <si>
    <t>THE CONTROLLER REACTED APPROPRIATELY TO INDICATIONS OF HIGHER THAN NORMAL OPERATING PRESSURE AT DELIVERY POINT AND IMMEDIATELY SHUTDOWN THE PIPELINE.</t>
  </si>
  <si>
    <t>BACK PRESSURE VALVE DIAPHRAGM FAILURE</t>
  </si>
  <si>
    <t>WHILE STARTING UP THE EOLA-MAYSVILLE 10" LINE AT APPROXIMATELY 05:21 ON 7/23/18 THE CONTROLLER NOTED HIGHER THAN NORMAL OPERATING PRESSURES AT THE MAYSVILLE DELIVERY LOCATION AND SHUT THE LINE DOWN AT APPROXIMATELY 05:23. THE LINE REMAINED DOWN WHILE THE CONTROLLER CONDUCTED A SHIFT CHANGE, AND THEN A CALL WAS MADE TO THE OPERATIONS SUPERVISOR AT APPROXIMATELY 06:45 ABOUT THE SITUATION. AT APPROXIMATELY 06:50, A PIPELINE TECHNICIAN DISCOVERED A PRODUCT LEAK IN THE MAYSVILLE STATION YARD AROUND THE DELIVERY METER SYSTEM. HE CALLED THE CONTROLLER TO ENSURE THE SYSTEM WOULD REMAIN SHUT DOWN AND FOUND THE LEAK COMING FROM THE VENT/WEEP HOLE ON THE BACKPRESSURE VALVE TO THE INBOUND METER. VALVES UPSTREAM AND DOWNSTREAM OF THE BACKPRESSURE VALVE WERE CLOSED TO ISOLATE. ESTIMATED RELEASE VOLUME WAS ONE BARREL AND CLEANUP ACTIVITIES WERE INITIATED.  UPON FURTHER INVESTIGATION INTO THE FAILURE IT WAS DETERMINED THAT THE DIAPHRAGM OF THE BACKPRESSURE VALVE FAILED WHICH ALLOWED CRUDE OIL TO LEAK THROUGH THE VENT/WEEP HOLE. THE DIAPHRAGM WAS REPLACED. FURTHER INVESTIGATION DETERMINED THAT THE BACK PRESSURE VALVE WAS RATED TO A LOWER OPERATING PRESSURE THAN STATION MOP.  A VALVE RATED TO AN APPROPRIATE PRESSURE FOR THE APPLICATION WAS ORDERED TO REPLACE THE EXISTING BACKPRESSURE VALVE.  UNTIL SUCH TIME THE VALVE IS REPLACED THE STATION OPERATING PRESSURE WILL BE LIMITED TO A PRESSURE BELOW THE RATING OF THE EXISTING BACK PRESSURE VALVE TO ENSURE A REOCCURRENCE DOES NOT HAPPEN.</t>
  </si>
  <si>
    <t>BLACK CAT STATION</t>
  </si>
  <si>
    <t>21016 - SARATOGA TO SOUR LAKE 8"</t>
  </si>
  <si>
    <t>462+00</t>
  </si>
  <si>
    <t>DEBRIS BETWEEN SEALING SURFACE OF TRAP DOOR AND O-RING CAUSED FAILURE.</t>
  </si>
  <si>
    <t>ON 07/17/18 AT 11:00 COMPANY PERSONNEL WERE PERFORMING ROUTINE INSPECTION ON THE SARATOGA TO SOUR LAKE 8 INCH AT BLACK CAT STATION AND DISCOVERED CRUDE DRIPPING FROM THE TRAP LAUNCHER DOOR. APPROXIMATELY 1 BBL HAD BEEN RELEASED TO THE GROUND. CONTROL CENTER WAS NOTIFIED AND THE LINE WAS SHUT DOWN IMMEDIATELY.  AFTER DISCOVERY, TXRRC WAS NOTIFIED AND INCIDENT NO. 1808 WAS ASSIGNED. UPON INVESTIGATION IT WAS DETERMINED THAT THERE WAS DEBRIS BETWEEN THE SEALING O-RING AND SEALING SURFACE OF THE LAUNCHER TRAP DOOR THAT CAUSED O-RING TO FAIL. ALL FREE OIL WAS REMOVED BY VACUUM TRUCK AND ALL CONTAMINATED SOIL HAS BEEN REMOVED FOR REMEDIATION AND FRESH DIRT/ROCK BROUGHT IN. THE LAUNCHER SEALING SURFACE AND DOOR WERE CLEANED OF DEBRIS AND A NEW O-RING WAS INSTALLED.</t>
  </si>
  <si>
    <t>6/8" ROBERT LEE TO JAMESON TO COLORADO CITY</t>
  </si>
  <si>
    <t>ROBERT LEE</t>
  </si>
  <si>
    <t>COKE</t>
  </si>
  <si>
    <t>2230+39</t>
  </si>
  <si>
    <t>CONTROLLER REACTED APPROPRIATELY TO CALL FROM EXCAVATOR AND IMMEDIATELY SHUTDOWN THE PIPELINE AND CONTACTED LOCAL FIELD OPERATIONS PERSONNEL.</t>
  </si>
  <si>
    <t>ON 07/05/18, A THIRD PARTY CONTRACTOR WAS PERFORMING REPAIRS TO THE TANK DIKES FOR SEPARATE OPERATOR AT THEIR FACILITY ADJACENT TO THE 6/8" ROBERT LEE TO JAMESON TO COLORADO CITY PIPELINE ROW. THE CONTRACTOR WAS GATHERING SOIL WITH A BACKHOE FOR THE DIKE REPAIRS IN THE ROBERT LEE TO JAMESON TO COLORADO CITY PIPELINE ROW WHICH RESULTED IN STRIKING THE PIPELINE CAUSING A RELEASE AT APPROXIMATELY 18:30. AFTER STRIKING THE PIPELINE, THE CONTRACTOR CALLED THE EMERGENCY NUMBER ON THE LINE MARKER TO REPORT THE RELEASE TO THE HOUSTON CONTROL CENTER. UPON NOTIFICATION THE CONTROL CENTER IMMEDIATELY SHUT DOWN THE PIPELINE AND CONTACTED LOCAL OPERATIONS PERSONNEL.   UPON ARRIVAL AT APPROXIMATELY 19:00 OPERATIONS PERSONNEL DISCOVERED AN APPROXIMATE RELEASE OF 10 BBLS OF CRUDE OIL FROM THE PIPELINE AS A RESULT OF THE 3RD PARTY DAMAGE.  TX RRC WAS CONTACTED AT 20:16 AND INCIDENT NO. 1795 WAS ASSIGNED.  ALL FREE PRODUCT WAS RECOVERED AND APPROXIMATELY 2750 CUBIC YARDS OF CONTAMINATED SOIL HAS BEEN EXCAVATED AND REMEDIATED ON-SITE.  DAMAGED SECTION OF PIPE WAS CUT OUT AND REPLACED AND LINE WAS RESTARTED ON 7/8/18 AT 11:30.  THE CONTRACTOR DID NOT PLACE A ONE-CALL NOTIFICATION PRIOR TO EXCAVATING SOIL ON ROW.  ON 8/16/18 IT WAS DETERMINED THAT ENVIRONMENTAL REMEDIATION COSTS WOULD DRIVE TOTAL COSTS FOR RELEASE OVER $50,000.  NRC WAS NOTIFIED AT 15:31 ON 8/16/18 AND REPORT NO. 1221762 WAS ISSUED.</t>
  </si>
  <si>
    <t>22022 - CORSICANA TO RINGGOLD 16"</t>
  </si>
  <si>
    <t>RINGGOLD</t>
  </si>
  <si>
    <t>CONTROLLER REACTED APPROPRIATELY TO SCADA ALARMS AND CONTACTED FIELD OPERATIONS PERSONNEL IMMEDIATELY.</t>
  </si>
  <si>
    <t>ON 7/4/18 AT APPROXIMATELY 19:15 CONTROL CENTER RECEIVED A VFD FAIL ALARM AND THE BOOSTER PUMP HAD ALSO SHUTDOWN AUTOMATICALLY AT RINGGOLD STATION.  CONTROL CENTER IMMEDIATELY NOTIFIED LOCAL OPERATING PERSONNEL.  LOCAL OPERATING PERSONNEL ARRIVED AT APPROXIMATELY 20:15 AND BEGAN INVESTIGATING.  PERSONNEL DISCOVERED AN APPROXIMATE 1 BBL RELEASE AT THE BOOSTER PUMP. ADDITIONAL PERSONNEL WERE DISPATCHED TO ASSIST WITH RESPONSE.  ALL FREE PRODUCT WAS RECOVERED AND CONTAMINATED SOIL WAS REMOVED FOR ON-SITE REMEDIATION. PRIOR TO THE FAILURE THE BOOSTER PUMP HAD BEEN TAKEN OUT OF SERVICE AND SENT TO A 3RD PARTY FOR REBUILD. ONCE THE BOOSTER PUMP WAS RETURNED IT WAS PUT BACK INTO SERVICE. THE FAILURE OCCURRED AFTER APPROXIMATELY 25 HRS OF USE AFTER ITS RETURN TO SERVICE.  AFTER THE FAILURE THE BOOSTER PUMP WAS AGAIN REMOVED AND SENT OFF FOR ANALYSIS TO DETERMINE THE FAILURE CAUSE. FURTHER INVESTIGATION DETERMINED THAT THE INTERNAL PARTS WERE NOT TORQUED PROPERLY FROM THE REBUILD. EXCESSIVE VIBRATION CAUSED A BEARING TO FAIL IN THE BOOSTER PUMP CAUSING THE SEAL FAILURE WHICH ALLOWED THE RELEASE TO OCCUR.  THE BOOSTER PUMP HAS BEEN REPAIRED BY ANOTHER VENDOR AND RETURNED TO SERVICE.</t>
  </si>
  <si>
    <t>PRESSURE GAUGE</t>
  </si>
  <si>
    <t>FAILURE OF GAUGE BODY</t>
  </si>
  <si>
    <t>FAILURE OF EQUIPMENT BODY (EXCEPT PUMP), TANK PLATE, OR OTHER MATERIAL</t>
  </si>
  <si>
    <t>AT APPROXIMATELY 15:45 ON 6/16/2018 LOCAL OPERATIONS PERSONNEL DISCOVERED A RELEASE OF APPROXIMATELY 30 GALLONS OF CRUDE OIL AT THE ROTATION MANIFOLD. IT WAS DISCOVERED THAT THE BODY OF A PRESSURE GAUGE ON A 3/4" PRESSURE RELIEF LINE HAD FAILED. THE RELEASE WAS STOPPED BY ISOLATING THE PRESSURE RELIEF LINE BY CLOSING UPSTREAM AND DOWNSTREAM 3/4" VALVES. ADDITIONAL PERSONNEL WERE DISPATCHED TO ASSIST WITH CLEANUP. ALL FREE PRODUCT WAS PICKED UP, PIPING WIPED CLEAN AND CONTAMINATED SOIL/GRAVEL REMOVED FOR ON-SITE REMEDIATION. THE GAUGE WAS DETERMINED TO BE UNNECESSARY AND WAS REMOVED FROM THE DESIGN, A SOLID PLUG INSTALLED AND THE PRESSURE RELIEF LINE WAS RETURNED TO NORMAL SERVICE.  INSPECTION OF THE FAILED GAUGE CONCLUDED THAT THE BODY OF THE GAUGE HAD FAILED ON THE BACKSIDE OF THE GAUGE DUE A SUSPECTED MANUFACTURING DEFECT.</t>
  </si>
  <si>
    <t>POINT BREEZE TO MONTELLO</t>
  </si>
  <si>
    <t>11001 - POINT BREEZE TO MONTELLO 12"</t>
  </si>
  <si>
    <t>ESSINGTON</t>
  </si>
  <si>
    <t>340+84</t>
  </si>
  <si>
    <t>UNDER PAVEMENT</t>
  </si>
  <si>
    <t>API 5L, GRADE B</t>
  </si>
  <si>
    <t>DARBY CREEK</t>
  </si>
  <si>
    <t>PARKING FEES</t>
  </si>
  <si>
    <t>CORROSION FATIGUE AND HYDROGEN CRACKING</t>
  </si>
  <si>
    <t>SPIRAL AND RESIDUAL MFL</t>
  </si>
  <si>
    <t>ON JUNE 19, 2018 AT APPROXIMATELY 18:05 THE CONTROL CENTER WAS NOTIFIED BY A PRIVATE CITIZEN OF A PETROLEUM ODOR IN THE AREA OF DARBY CREEK. BOTH SUNOCO PIPELINE LP (SPLP) PIPELINES (8" &amp; 12" REFINED PRODUCTS) IN THE AREA WERE ALREADY SHUT DOWN DUE TO A PLANNED SCHEDULED OUTAGE ON JUNE 18, 2018. THE CONTROL CENTER IMMEDIATELY NOTIFIED FIELD OPERATIONS OF THE REPORT AND PERSONNEL WERE DISPATCHED TO THE AREA TO INVESTIGATE. AFTER ARRIVAL AND UPON FURTHER INVESTIGATION A PETROLEUM ODOR AND LIGHT SHEENING ALONG THE BANK OF DARBY CREEK WAS NOTED. ADDITIONAL RESPONSE PERSONNEL WERE DISPATCHED AND OSRO CONTRACTORS ARRIVED ON SITE AT APPROXIMATELY 20:45 AND DEPLOYED BOOM TO CONTAIN THE SHEEN BY APPROXIMATELY 21:45 AND BEGAN COLLECTION ACTIVITIES.    ALTHOUGH THERE WERE NO OPERATIONAL INDICATIONS OF RELEASE FROM EITHER COMPANY PIPELINE CROSSING OF DARBY CREEK, A COMPANY INCIDENT COMMAND TEAM WAS SETUP TO MONITOR OSRO ACTIVITIES AND PERFORM FURTHER INVESTIGATIONS INTO THE PRODUCT SOURCE, INCLUDING ESTABLISHING GEO-PROBE MONITORING LOCATIONS, POTHOLING TO ASSESS FOR ANY INDICATIONS OF PRODUCT, ADDITIONAL EXCAVATION, AND PRESSURE TESTING OF THE TWO PIPELINES.    ON JUNE 16, 2018, NRC REPORT (1215471) WAS FILED AT 13:45 BY A PRIVATE CITIZEN CONCERNING A SHEEN IN DARBY CREEK, HOWEVER SPLP WAS NOT CONTACTED.  ON JUNE 19, 2018, UPON BECOMING AWARE OF THE SHEENING AND RESPONDING, SPLP FILED NRC REPORT (1215816) NOTING THAT THE SOURCE OF THE SHEENING WAS UNDETERMINED. THE 48HR FOLLOW UP NRC REPORT (1216057) WAS FILED ON JUNE 21, 2018 NOTING THE SOURCE REMAINED UNKNOWN.    AT APPROXIMATELY 11:45 ON JUNE 26, 2018, THE SPLP 12" POINT BREEZE TO MONTELLO PIPELINE WAS CONFIRMED AS THE LEAK SOURCE. NRC REPORT (1216488) WAS FILED AT 13:37 CONFIRMING SUCH. THE 48HR FOLLOW UP NRC REPORT (1216699) WAS FILED ON JUNE 28, 2018 AT 13:14 AND PROVIDED THAT AN ESTIMATED VOLUME OF 400 BBLS OF GASOLINE WAS RELEASED.  THE PIPELINE REMAINED SHUT DOWN FROM THE SCHEDULED SHUT DOWN ON JUNE 18, 2018 THROUGH THE REMAINDER OF THE INVESTIGATION AND REPAIR PROCESS.      THE FAILED PIPE WAS FULLY EXCAVATED, REMOVED AND REPLACED. THE FAILURE WAS LOCATED IN AN AREA OF DISBONDED COATING ON THE INNER RADIUS OF A FIELD BEND AND APPEARED TO BE IN A CRACK LOCATED IN AN AREA OF EXTERNAL CORROSION.  THE FAILED PIPE WAS PRESERVED AND SENT TO A 3RD PARTY LABORATORY FOR METALLURGICAL ANALYSIS TO FULLY DETERMINE THE CAUSE. THE 12" POINT BREEZE TO MONTELLO PIPELINE WAS REFILLED ON JULY 1, 2018 AT 14:30 AND NORMAL OPERATION BEGAN AT 17:57 THAT SAME DAY.    THE THIRD PARTY METALLURGICAL ANALYSIS REPORT CONCLUDED THAT THE LEAK WAS DUE TO EXTERNAL CORROSION THAT FORMED A CORROSION TROUGH WHOSE THINNED CROSS SECTION ALLOWED ENVIRONMENTALLY ASSISTED CRACKS TO INITIATE AND PROPAGATE THROUGH-WALL DUE TO THE ELEVATED HOOP STRESS.  TWO TYPES OF ENVIRONMENTALLY ASSISTED CRACKING WERE OBSERVED, CORROSION FATIGUE AND HYDROGEN CRACKING.  THE AREA OF EXTERNAL CORROSION AND ULTIMATE FAILURE WERE LOCATED ON THE INNER RADIUS OF A FIELD BEND UNDER AN AREA OF DISBONDED COAL TAR COATING.</t>
  </si>
  <si>
    <t>AT APPROXIMATELY 18:05 ON 6/2/2018 LOCAL OPERATIONS PERSONNEL DISCOVERED A RELEASE OF APPROXIMATELY 40 GALLONS OF CRUDE OIL AT THE ROTATION MANIFOLD.  IT WAS DISCOVERED THAT THE BODY OF A PRESSURE GAUGE ON A 3/4" PRESSURE RELIEF LINE HAD FAILED.  THE RELEASE WAS STOPPED BY ISOLATING THE PRESSURE RELIEF LINE BY CLOSING UPSTREAM AND DOWNSTREAM 3/4" VALVES.  ADDITIONAL PERSONNEL WERE DISPATCHED TO ASSIST WITH CLEANUP.  ALL FREE PRODUCT WAS PICKED UP, PIPING WIPED CLEAN AND CONTAMINATED SOIL/GRAVEL REMOVED FOR ON-SITE REMEDIATION.  THE GAUGE WAS REPLACED AND THE PRESSURE RELIEF LINE WAS RETURNED TO NORMAL SERVICE.  INSPECTION OF THE FAILED GAUGE CONCLUDED THAT THE BODY OF THE GAUGE HAD FAILED ON THE BACKSIDE OF THE GAUGE DUE A SUSPECTED MANUFACTURING DEFECT.</t>
  </si>
  <si>
    <t>TRENTON TERMINAL</t>
  </si>
  <si>
    <t>29001 20" RAMBERG TO TRENTON</t>
  </si>
  <si>
    <t>TRENTON</t>
  </si>
  <si>
    <t>ON MAY 30, 2018 AT APPROXIMATELY 09:00 OPERATOR PERSONNEL PERFORMING ROUTINE STATION CHECK DISCOVERED AN APPROXIMATE 1/2 BBL RELEASE FROM THE BLEED PIPING FOR A STATION VALVE. THE VALVE IS LOCATED INSIDE THE STATION HOUSING AND ALL PRODUCT WAS CONTAINED WITHIN CONCRETE SECONDARY CONTAINMENT.  OPERATOR IMMEDIATELY NOTIFIED REMOTE CONTROL CENTER AND THE LINE WAS SHUT DOWN AND THE VALVE DEPRESSURIZED TO STOP RELEASE.  ADDITIONAL OPERATOR RESOURCES ARRIVED ON SITE AT APPROXIMATELY 11:00 TO ASSIST WITH CLEANUP AND REPAIR.  UPON FURTHER INVESTIGATION IS WAS DETERMINED A 1/2" PIPE NIPPLE HAD CRACKED IN THE THREADS DUE TO BEING OVER TIGHTENED.  THE NIPPLE WAS REMOVED, REPLACED, TIGHTENED APPROPRIATELY AND THE LINE WAS RESTARTED.</t>
  </si>
  <si>
    <t>NOBLE TO DOUGLAS 8"</t>
  </si>
  <si>
    <t>NOBLE TO DEER CREEK</t>
  </si>
  <si>
    <t>EDMOND</t>
  </si>
  <si>
    <t>HDPE INTERNAL LINER</t>
  </si>
  <si>
    <t>LIVE CPM SYSTEM WILL NO LONGER BE TEMPORARILY DISABLED TO PUSH SYSTEM UPDATES.  WHEN UPDATES TO THE CPM SYSTEM ARE REQUIRED IT WILL BE RUN FROM THE DEVELOPMENT SERVER WHILE THE PRODUCTION SYSTEM IS UPDATED.</t>
  </si>
  <si>
    <t>ON MAY 10, 2018 AT 16:44, THE NOBLE TO DOUGLAS 8" PIPELINE WAS SHUT DOWN BY THE HOUSTON CONTROL CENTER DUE TO CPM (LEAKWARN) INDICATIONS. CONTROL CENTER CONTACTED LOCAL EMERGENCY PLANNING COMMITTEE TO ALERT OF A POSSIBLE RELEASE. LOCAL EMERGENCY RESPONDERS WERE AWARE OF THE RELEASE AND PROVIDED LOCATION INFORMATION. CONTROL CENTER THEN CONTACTED LOCAL OPERATIONS MANAGEMENT AND PERSONNEL WERE DISPATCHED TO THE AREA. THE LEAK OCCURRED NEAR THE INTERSECTION OF NW 164TH ST. AND NORTH PENN AVE NEAR EDMOND, OK, WHICH IS APPROXIMATELY 13 MILES DOWNSTREAM OF THE NOBLE PUMP STATION.  AFTER ARRIVAL, OPERATING PERSONNEL MANUALLY CLOSED VALVES UPSTREAM AND DOWNSTREAM OF THE FAILURE. UPON ARRIVING AT THE RELEASE LOCATION AT APPROXIMATELY 17:30, LOCAL OPERATIONS MANAGEMENT DETERMINED AT APPROXIMATELY 18:15 THAT DUE TO THE NATURE OF THE RELEASE, REPAIR AND ANTICIPATED REMEDIATION COSTS WOULD EXCEED $50,000. NRC WAS THEN CONTACTED AND REPORT 1211819 WAS ISSUED. ON MAY 11, THE REQUIRED 48 HOUR UPDATE CALL WAS PLACED TO NRC. VOLUME RELEASED WAS UPDATED TO 15 BBLS AND REPORT 1211901 WAS ISSUED.    CONTROL CENTER REVIEW OF SCADA DATA INDICATES THAT THE RELEASE MAY HAVE BEGUN AT APPROXIMATELY 16:04. LEAKWARN SYSTEM WAS OPERATING AT THE TIME BUT NOT FUNCTIONAL TO THE CONSOLE DUE TO ROUTINE MAINTENANCE BEGINNING AT 15:45. SCADA INDICATIONS OF A RELEASE MAY HAVE BEEN MASKED BY THE STARTUP OF A DOWNSTREAM INJECTION POINT AT 15:47. LEAKWARN WAS RETURNED TO THE CONSOLE AT 16:27. FIRST LEAKWARN IMBALANCE WARNING ALARM WAS AT 16:39 AND THE SR IMBALANCE ALARM WAS AT 16:42 AND REVIEWED BY CONTROLLER AND THEN LINE WAS SHUTDOWN AT 16:44.    RESULTS OF THE IN-FIELD VISUAL ANALYSIS INDICATED THAT THE FAILURE OCCURRED AT THE 12 O'CLOCK ORIENTATION IN AN AREA OF EXTERNAL CORROSION APPROXIMATELY 10" X 1.5". COATING DAMAGE AND POSSIBLE MECHANICAL DAMAGE WERE ALSO VISIBLE IN THE FAILED AREA. REVIEW OF CATHODIC PROTECTION DATA INDICATES THIS AREA WAS LIKELY SUBJECT TO LOCAL STRAY CURRENT INTERFERENCE LEADING TO A LOCALIZED ACCELERATED EXTERNAL CORROSION GROWTH RATE. THE FAILED SECTION OF PIPE WAS THEN PRESERVED AND SHIPPED TO DET NORSKE VERITAS USA (DNV), WHO WILL PERFORM METALLURGICAL ANALYSIS OF THE FAILED SECTION OF PIPE.    IN 2015, A HIGH DENSITY POLYETHYLENE LINER (HDPE) APPROPRIATE FOR USE IN CRUDE OIL SERVICE WAS INSTALLED IN THIS PIPELINE TO PREVENT DEGRADATION OF THE INTERNAL SURFACE OF THE STEEL PIPE VIA INTERNAL CORROSION. TO DETERMINE THAT THIS LINER HAD NOT BEEN A CONTRIBUTING FACTOR TO THE FAILURE, A COMPANY METALLURGICAL ENGINEER EXAMINED THE FAILED SECTION OF PIPE. THIS EXAMINATION CONCLUDED THAT THE STEEL FAILED AT AN AREA OF EXTERNAL CORROSION AND COATING DAMAGE, WHICH HAD CAUSED THE LINER UNDERNEATH TO BULGE. AS A RESULT, THE LINER WAS PIERCED BY THE SHARP EDGES OF THE CORRODED STEEL PIPE.    REPAIR INCLUDED REPLACEMENT OF APPROXIMATELY 2,000' OF PIPE AND INTERNAL LINER. THE REPLACEMENT PIPE WAS HYDROSTATICALLY TESTED AND A NEW LINER WAS THEN INSTALLED. AFTER LINER INSTALLATION, THE SEGMENT OF PIPE WAS AGAIN HYDROSTATICALLY TESTED. UPON REPAIR COMPLETION THE PIPELINE WAS RESTARTED ON MAY 26, WITH REGULATORY AGENCY APPROVAL.    DNV METALLURGICAL ANALYSIS DETERMINED THAT THE LEAK OCCURRED IN AN AREA OF THROUGH WALL, EXTERNAL CORROSION PITS WHICH WERE ALIGNED WITH AN AREA OF TOP SIDE MECHANICAL DAMAGE, IN THE FORM OF A GOUGE.  THE ALIGNED CORROSION PITS RESULTED IN A WIDE THROUGH WALL FLAW.  THE INTERNAL LINER BULGED PRIOR TO THE FAILURE AND THE SHARP EDGES OF THE CORRODED PIPE TORE THE LINER WHICH ULTIMATELY RESULTED IN THE LEAK.      FURTHER ANALYSIS OF CATHODIC PROTECTION DATA CONFIRMED THIS AREA WAS SUBJECT TO LOCAL STRAY CURRENT INTERFERENCE WHICH CAUSED AN ACCELERATED CORROSION GROWTH RATE AT THE FAILURE POINT.  SUBSEQUENT REMEDIAL MEASURES TO CORRECT THESE CONDITIONS IN THE AREA OF THE FAILURE HAVE BEEN COMPLETED.</t>
  </si>
  <si>
    <t>21001-10" NEDERLAND-GARDEN CITY</t>
  </si>
  <si>
    <t>BLACKJACK-SHIRO</t>
  </si>
  <si>
    <t>BRYAN</t>
  </si>
  <si>
    <t>16065+56</t>
  </si>
  <si>
    <t>GIRTH WELD ON SPLIT PIPE REPAIR SLEEVE</t>
  </si>
  <si>
    <t>OVERLOAD OF A DEFECTIVE GIRTH WELD ON SPLIT PIPE REPAIR SLEEVE</t>
  </si>
  <si>
    <t>ON MAY 7, 2018 AT APPROXIMATELY 11:26 A LANDOWNER NOTIFIED THE HOUSTON CONTROL CENTER OF A SMELL OF PETROLEUM IN THE AREA.  CONTROL CENTER IMMEDIATELY CONTACTED LOCAL OPERATIONS PERSONNEL AND PROVIDED LANDOWNER CONTACT INFORMATION AND THE LANDOWNER WAS CONTACTED FOR ADDITIONAL DETAILS REGARDING ODOR AND SPECIFIC LOCATION.  THE PIPELINE WAS SHUT DOWN BY THE CONTROL CENTER WHILE OPERATIONS PERSONNEL RESPONDED TO THE LOCATION AND PERFORMED FURTHER INVESTIGATION.    AFTER ARRIVING ONSITE OPERATIONS PERSONNEL DISCOVERED SPOTTING ON THE RIGHT-OF-WAY AND SOME POOLING OF OIL ON THE SURFACE.  ADDITIONAL RESOURCES WERE DISPATCHED TO THE LOCATION FOR CLEANUP, EXCAVATION AND REPAIR WORK.  AFTER THE AREA WAS EXCAVATED IT WAS DETERMINED THAT THE RELEASE APPEARED TO BE INITIATING FROM A HISTORIC FULL SLEEVE PIPELINE REPAIR AND MORE SPECIFICALLY ALONG ONE OF THE LONGITUDINAL WELDS OF THE SLEEVE.  AT THIS POINT (APPROXIMATELY 17:20) IT WAS DETERMINED THAT A MORE EXTENSIVE REPAIR WOULD BE REQUIRED FOR A RETURN TO SERVICE AND WHEN THOSE COSTS WERE COMBINED WITH ANTICIPATED SOIL REMEDIATION COSTS THE TOTAL COSTS FOR THE REPAIR AND RESPONSE WOULD EXCEED $50,000.  FOR THIS REASON AT 18:19 THE NRC WAS CONTACTED AND REPORT NO. 1211501 WAS ISSUED.  REQUIRED 48 HOUR FOLLOW UP REPORT (121155) WAS FILED WITH NRC ON MAY 9 AT 12:15 WHICH UPDATED THE AMOUNT RELEASED TO 14 BBLS.       THE SECTION OF PIPE WITH THE FAILED, HISTORIC REPAIR SLEEVE WAS DRAINED AND CUT OUT AND REPLACED.  THE PIPELINE WAS RESTARTED AFTER THIS REPAIR ON MAY 9, 2018.  THE FAILED SEGMENT OF PIPE WAS FURTHER VISUALLY EXAMINED AND A CRACK IN ONE OF THE GIRTH WELDS OF THE REPAIR SLEEVE IS THE SUSPECTED CAUSE OF THE RELEASE.  THE SEGMENT OF FAILED PIPE WAS PRESERVED AND SHIPPED TO THE NEAREST COMPANY FIELD OFFICE.  PIPE WAS THEN SHIPPED TO 3RD PARTY LABORATORY FOR EXAMINATION TO DETERMINE THE CAUSE OF FAILURE.      LABORATORY ANALYSIS CONCLUDED THAT THE FAILURE OCCURRED DUE TO A CRACK IN THE GIRTH WELD OF A SPLIT PIPE REPAIR SLEEVE.  THE CRACK WAS DUE TO AN OVERLOAD OF A DEFECTIVE WELD.</t>
  </si>
  <si>
    <t>SUNOCO MIDLAND GATHERING LLC</t>
  </si>
  <si>
    <t>VALVE WAS CLOSED WHICH ALLOWED FACILITY TO CONTINUE OPERATION</t>
  </si>
  <si>
    <t>NORTH GATHERING MANIFOLD</t>
  </si>
  <si>
    <t>VALVE LEFT IN OPEN POSITION.</t>
  </si>
  <si>
    <t>ON THE MORNING OF 5/3/2018 AT APPROXIMATELY 7:05 LOCAL OPERATIONS PERSONNEL DISCOVERED A RELEASE AT THE INBOUND METER AREA AT MIDLAND TERMINAL.  IT WAS DETERMINED THAT A 1/2" VALVE HAD BEEN LEFT IN THE OPEN POSITION AFTER SERVICE HAD BEEN PERFORMED ON THE METER BACK PRESSURE VALVE.  THE VALVE WAS CLOSED TO STOP THE RELEASE OF CRUDE OIL.  APPROXIMATELY 20 BBLS WAS RELEASED.  TXRRC PIPELINE SAFETY WAS NOTIFIED AND CASE NO. 1754 WAS ISSUED.   ALL FREE PRODUCT WAS PICKED UP AND CONTAMINATED SOIL WAS REMOVED.  TECHNICIAN THAT HAD PERFORMED THE SERVICE TO THE BACK PRESSURE VALVE WAS SENT FOR POST ACCIDENT TESTING UNDER THE COMPANY DRUG &amp; ALCOHOL PROGRAM.  TO PREVENT RECURRENCE THE INDIVIDUALS OQ FOR APPLICABLE COVERED TASKS WAS SUSPENDED AND THEY WERE RETRAINED AND REQUALIFIED.</t>
  </si>
  <si>
    <t>AT APPROXIMATELY 19:21 ON 4/29/2018 THE LACT UNIT AT THE ADVANTAGE DELIVERY POINT OFF OF THE PECOS CROSSING 1 PIPELINE WAS SHUT IN AFTER A SUSPECTED RELEASE WAS DISCOVERED BY CONTRACT PERSONNEL.  THE CONTROL CENTER WAS NOTIFIED AND LOCAL COMPANY OPERATIONS PERSONNEL WERE DISPATCHED TO THE LOCATION TO INVESTIGATE.  AFTER ARRIVING ONSITE A RELEASE OF CRUDE OIL WAS CONFIRMED FROM THE LACT UNIT AND THE CONTROL CENTER WAS ADVISED THAT THE UNIT WAS BEING MANUALLY ISOLATED AT THE STATION AT APPROXIMATELY 20:03.    AFTER FURTHER INVESTIGATION IT WAS DETERMINED THAT APPROXIMATELY 1/2 BBL. OF CRUDE OIL WAS RELEASED AND TX RRC WAS NOTIFIED AT 22:16 AND CASE NO. 1751 IS ASSIGNED.  THE RELEASE WAS CAUSED BY A CRACK IN THE THREADS OF A 1/4' PIPE NIPPLE ON THE SAMPLER PROBE AT THE CUSTODY TRANSFER METER.  THE NIPPLE WAS REPLACED AND THE LACT UNIT WAS RETURNED TO SERVICE AT APPROXIMATELY 00:08 ON 4/30/2018.  ALL CONTAMINATED SOIL WAS REMOVED FOR PROPER REMEDIATION.  IT WAS DETERMINED THAT THE NIPPLE FAILED DUE STRESS FROM A LACK OF BRACING AND SUPPORT OF THE SAMPLER PROBE LOOP TUBING TO WHICH IT WAS ATTACHED.  TO PREVENT RECURRENCE SUPPORT WILL BE ADDED TO THE TUBING.</t>
  </si>
  <si>
    <t>DRUMRIGHT STATION</t>
  </si>
  <si>
    <t>24019 - 12" DRUMRIGHT TO TULSA</t>
  </si>
  <si>
    <t>DRUMRIGHT</t>
  </si>
  <si>
    <t>CREEK</t>
  </si>
  <si>
    <t>BACK PRESSURE VALVE DIAPHRAGM</t>
  </si>
  <si>
    <t>WEAR OF DIAPHRAGM MATERIAL OVER TIME</t>
  </si>
  <si>
    <t>TODD G. NARDOZZI</t>
  </si>
  <si>
    <t>281-637-6576</t>
  </si>
  <si>
    <t>ON THE MORNING OF 4/2/18 AT APPROXIMATELY 07:50, LOCAL OPERATIONS PERSONNEL DISCOVERED A RELEASE FROM THE OUTBOUND METER AREA AT DRUMRIGHT STATION.  THE LINE WAS SHUT DOWN AND THE METER AREA ISOLATED TO PREVENT FURTHER RELEASE.  CONTAINMENT ACTIVITIES BEGAN HOWEVER A LOCAL UNNAMED CREEK WAS IMPACTED WITH APPROXIMATELY 5 BBLS OF CRUDE OIL.  DUE TO THE WATER IMPACT NRC REPORT 1208254 WAS FILED ON 4/2/18.  REQUIRED 48 HR FOLLOW UP REPORT 1208425 WAS FILED ON 4/4/18.  CLEANUP ACTIVITIES INCLUDED REMOVAL OF ALL PRODUCT FROM THE UNNAMED CREEK AND REMOVAL/REMEDIATION OF IMPACTED SOIL.  UPON FURTHER INVESTIGATION INTO THE FAILURE IT WAS DETERMINED THAT THE DIAPHRAGM OF A BACKPRESSURE VALVE ON THE METER RUPTURED WHICH ALLOWED CRUDE OIL TO LEAK THROUGH THE 1/4 INCH BLEEDER FILTER OF THE VALVE. WEARING OF THE DIAPHRAGM MATERIAL OVER TIME WAS DETERMINED TO BE THE CAUSE OF THE FAILURE. TO PREVENT FUTURE RECURRENCE THE BACKPRESSURE VALVE WAS REMOVED AND ELIMINATED FROM THE DESIGN BY INSTALLING A PRESSURE RELIEF VALVE UPSTREAM OF THE METER.</t>
  </si>
  <si>
    <t>DAPL GATHERING SYSTEM</t>
  </si>
  <si>
    <t>29003 - 24" TRENTON TO WATFORD CITY</t>
  </si>
  <si>
    <t>252+63</t>
  </si>
  <si>
    <t>FREEZE EXPANSION OF RESIDUAL TRAPPED WATER.</t>
  </si>
  <si>
    <t>ON 2/28/201 AT 12:47 PM THE CONTROL CENTER RECEIVED A NOTIFICATION FROM THE PUBLIC CONCERNING AN APPARENT RELEASE AT THE ND-14 VALVE SITE.  FOLLOWING RECEIPT OF THE CALL STEPS WERE TAKEN TO IMMEDIATELY SHUTDOWN THE PIPELINE.  FIELD PERSONNEL WERE DISPATCHED TO THE SITE AND UPON ARRIVAL AT APPROXIMATELY 13:45 DISCOVERED A LEAKING FLOWSERVE WORCHESTER 1/2" BALL VALVE ON THE VALVE BODY BLEED PIPING ON THE ND-14 MAINLINE VALVE.  THE LEAK HAD SPRAYED INSIDE THE FENCED VALVE SITE AND ALSO OUTSIDE OF THE OPERATOR CONTROLLED FENCED AREA.  THE MAINLINE VALVE WAS REMOTELY CLOSED AND ANY RESIDUAL PRESSURE WAS REDUCED THROUGH THE BLEED PIPING. REMEDIAL ACTION WAS TAKEN TO REMOVE ALL CONTAMINATED SOIL AND SNOW INSIDE AND OUTSIDE OF THE VALVE SITE. THE 1/2" VALVE WAS REMOVED AND REPLACED AND ND-14 WAS PLACED BACK INTO SERVICE AND THE LINE RESTARTED. ALL OTHER 1/2" FLOWSERVE WORCHESTER BALL VALVES IN THE DAPL GATHERING SYSTEM WERE INSPECTED FOR THE SAME CONDITION OF WHICH NONE WERE DISCOVERED.    IT WAS DETERMINED THAT THE VALVE SEAL FAILED DUE TO FREEZE EXPANSION OF RESIDUAL WATER TRAPPED IN THE VALVE BODY.</t>
  </si>
  <si>
    <t>REPLACED THE THERMAL RELIEF VALVE WITH A NEW ONE.</t>
  </si>
  <si>
    <t>24" LONESTAR EXPRESS</t>
  </si>
  <si>
    <t>LSX 1 PS</t>
  </si>
  <si>
    <t>STANTON</t>
  </si>
  <si>
    <t>MP 0.0</t>
  </si>
  <si>
    <t>THERMAL RELIEF VALVE FAILURE (RELIEVED BELOW SET PRESSURE).</t>
  </si>
  <si>
    <t>FAILURE OF A FIELD DEVICE.</t>
  </si>
  <si>
    <t>THERMAL RELIEF VALVE</t>
  </si>
  <si>
    <t>(713)857-5479</t>
  </si>
  <si>
    <t>AT 12:10 AN OPERATOR EMPLOYEE OBSERVED THE FLARE IN THE DISTANCE AND NOTIFIED A FELLOW EMPLOYEE TO INVESTIGATE. OPERATOR RESOURCES ARRIVED ON SCENE AT 13:13 AND CONFIRMED THERMAL RELIEF VALVE FAILURE, A ONE INCH THERMAL RELIEF VALVE OPENED CAUSING A RELEASE OF NGL TO OUR FLARE SYSTEM, NOT TO ATMOSPHERE.</t>
  </si>
  <si>
    <t>MLV IL 102B</t>
  </si>
  <si>
    <t>100-2 ETCOP</t>
  </si>
  <si>
    <t>JOPPA</t>
  </si>
  <si>
    <t>MASSAC</t>
  </si>
  <si>
    <t>119+16</t>
  </si>
  <si>
    <t>FREEZE EXPANSION OF RESIDUAL TRAPPED WATER</t>
  </si>
  <si>
    <t>ON 1/19/2018 AT APPROXIMATELY 13:30, OPERATIONS PERSONNEL WERE CONDUCTING A ROUTINE VALVE SITE INSPECTION AND SECURITY CHECK AT MLV IL 102B.  DURING THE INSPECTION A RELEASE OF APPROXIMATELY 13.35 BBLS WAS DISCOVERED TO BE COMING FROM A LEAKING FLOWSERVE WORCHESTER 1/2" BALL VALVE ON THE VALVE BODY BLEED PIPING.  THE CONTROL CENTER WAS IMMEDIATELY NOTIFIED AND THE LINE WAS SHUTDOWN.  AFTER SHUTDOWN, MLV IL 102 B WAS REMOTELY CLOSED AND VALVE BODY PRESSURE WAS REDUCED THROUGH THE BLEED PIPING. REMEDIAL ACTIONS TAKEN WERE RECOVERY OF ALL FREE PRODUCT AND REMOVAL OF CONTAMINATED GRAVEL AND SOIL FOR PROPER DISPOSAL.  THE 1/2" BALL VALVE WAS REMOVED AND REPLACED AND MLV IL 102B WAS OPENED AND THE LINE RESTARTED.  OTHER MLV'S WITH THE SAME DESIGN CONTAINING THE 1/2" FLOWSERVE WORCHESTER BALL VALVES WERE INSPECTED FOR THE SIMILAR CONDITION OF WHICH NONE WERE DISCOVERED.  IT WAS DETERMINED THAT THE VALVE SEAL FAILED DUE TO FREEZE EXPANSION OF RESIDUAL WATER TRAPPED IN THE VALVE BODY.</t>
  </si>
  <si>
    <t>AREA OF RELEASE WAS ISOLATED WITHOUT NEED TO SHUTDOWN STATION</t>
  </si>
  <si>
    <t>14 NW METER RUN</t>
  </si>
  <si>
    <t>DUCTILE IRON</t>
  </si>
  <si>
    <t>toddnardozzi@energytransfer.com</t>
  </si>
  <si>
    <t>ON 1/15/18 AT APPROXIMATELY 07:35 A LOCAL OPERATOR WAS PERFORMING ROUTINE DAILY CHECKS OF THE FACILITY AND NOTICED A STAIN ON THE GRAVEL ADJACENT TO THE 14 NW METER RUN. THE STAIN WAS NEAR A 1" DRAIN LINE CONNECTION TO THE METER RUN. OPERATOR IMMEDIATELY NOTIFIED LOCAL SUPERVISION AND MAINTENANCE PERSONNEL WERE DISPATCHED TO PERFORM EXCAVATION AND CLEAN-UP ACTIVITIES.  AT APPROXIMATELY 09:14 DURING EXCAVATION ACTIVITIES IT WAS DETERMINED THAT THE RELASE WAS GREATER THAN 5 GALLONS.  UPON FULL EXCAVATION OF THE AREA THE LEAK WAS DETERMINED TO BE COMING FROM A DUCTILE IRON REDUCER CONNECTING A 1" DRAIN LINE TO A 2" DRAIN LINE GOING TO A SUCTION PUMP. ALL PRODUCT, CONTAMINATED SOIL, AND STONE WAS COLLECTED AND DISPOSED OF PROPERLY.  IT WAS DETERMINED THAT FROST HEAVE INDUCED SUFFIENT STRESS ON THE REDUCER CAUSING THE CONNECTION FAILURE AND RELEASE.  THE REDUCUDER WAS REPLACED AND THE DRAIN LINE PUT BACK INTO SERVICE.</t>
  </si>
  <si>
    <t>FACILITY WAS ALREADY DOWN FOR SCHEDULED MAINTENANCE</t>
  </si>
  <si>
    <t>EPPING TERMINAL</t>
  </si>
  <si>
    <t>29001-20" RAMBERG TO TRENTON</t>
  </si>
  <si>
    <t>EPPING</t>
  </si>
  <si>
    <t>VALVE LEFT IN OPEN POSITION</t>
  </si>
  <si>
    <t>TODD G NARDOZZI</t>
  </si>
  <si>
    <t>ON 1/10/18 OPERATOR EMPLOYEES WERE COMPLETING A PUMP SEAL REPLACEMENT AT EPPING TERMINAL.  DURING PUMP REFILL APPROXIMATELY 30 GALLONS OF CRUDE OIL WAS RELEASED VIA A SMALL DIAMETER VALVE LOCATED ON SUCTION PIPING WHICH WAS BEING UTILIZED AS A VENT DURING THE DRAIN DOWN IN PREPARATION FOR THE MAINTENANCE WORK.  THE VALVE WAS IMMEDIATELY CLOSED TO STOP RELEASE.  ALL CRUDE WAS CONTAINED WITHIN PUMP HOUSE ON CONCRETE FLOOR AND CLEANED UP PROMPTLY.  NO IMPACT TO ENVIRONMENT.  ANALYSIS OF EVENT DETERMINED CLOSURE OF THE SMALL DIAMETER VALVE WAS NOT COMPLETED PRIOR TO PUMP REFILL.</t>
  </si>
  <si>
    <t>SUMP PUMP WAS STARTED MANUALLY</t>
  </si>
  <si>
    <t>FIBERGLASS</t>
  </si>
  <si>
    <t>ELECTRICAL CORROSION OF THE FLOW SWITCH BASE PLATE.</t>
  </si>
  <si>
    <t>AT APPROXIMATELY 10:00 ON 1/8/2018 OPERATION PERSONNEL DISCOVERED A RELEASE OF APPROXIMATELY 1/2 BBL CRUDE OIL FROM THE SUMP AT THE MARSHLAND MANIFOLD TO SECONDARY CONTAINMENT.   THE SUMP PUMP WAS MANUALLY STARTED TO STOP THE OVERFLOW CONDITION.  MANAGEMENT AND OSRO WERE NOTIFIED AND DISPATCHED.  ALL FREE CRUDE OIL WAS RECOVERED AND THE SUMP WAS PUMPED OUT AND ISOLATED FOR INVESTIGATION INTO THE CAUSE OF THE OVERFLOW.  IT WAS DETERMINED THAT THE SUMP PUMP DID NOT AUTOMATICALLY START AS PROGRAMMED BECAUSE OF A FAULTY FLOW SWITCH ON THE DISCHARGE SIDE WHICH ACTS AS A PROTECTIVE DEVICE FOR THE SUMP SO THAT IT DOES NOT RUN DRY AND INCUR PUMP DAMAGE.  IT WAS DISCOVERED THAT THE SWITCH HAD BAD ELECTRICAL CONNECTIONS TO THE BASE.  THE SWITCH AND BASE WERE REPLACED.  THE SUMP IS EQUIPPED WITH INDEPENDENT HI AND HI HI LEVEL ALARMS WHICH WERE FUNCTIONING PROPERLY AND WERE SEEN BY LOCAL CONTROL CENTER. NO ADDITIONAL ACTION WAS TAKEN BY CONTROLLER BECAUSE RELEASE WAS IDENTIFIED AND SUMP PUMP STARTED MANUALLY AND LEVEL ALARMS CLEARED.  AUTOMATIC PROGRAMMING LOGIC FOR THE SUMP WAS SUBSEQUENTLY CONFIGURED TO SHUTDOWN MAINLINE PUMP UNITS ASSOCIATED WITH THE MANIFOLD IF A PROBLEM WITH THE SUMP IS DETECTED WHICH WILL PREVENT FUTURE RECURRENCE OF SIMILAR RELEASE.</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</si>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</sst>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5" formatCode="0.0"/>
    <numFmt numFmtId="166" formatCode="&quot;$&quot;#,##0"/>
    <numFmt numFmtId="167" formatCode="yyyy\-mm\-dd"/>
    <numFmt numFmtId="168" formatCode="yyyy\-mm\-dd\ h:mm:ss"/>
  </numFmts>
  <fonts count="5">
    <font>
      <sz val="10"/>
      <color rgb="FF000000"/>
      <name val="Arial"/>
      <scheme val="minor"/>
    </font>
    <font>
      <b/>
      <sz val="10"/>
      <color theme="1"/>
      <name val="Arial"/>
      <family val="2"/>
      <scheme val="minor"/>
    </font>
    <font>
      <sz val="10"/>
      <color theme="1"/>
      <name val="Arial"/>
      <family val="2"/>
      <scheme val="minor"/>
    </font>
    <font>
      <i/>
      <sz val="10"/>
      <color theme="1"/>
      <name val="Arial"/>
      <family val="2"/>
      <scheme val="minor"/>
    </font>
    <font>
      <sz val="11"/>
      <color rgb="FF001D35"/>
      <name val="Monospace"/>
    </font>
  </fonts>
  <fills count="4">
    <fill>
      <patternFill patternType="none"/>
    </fill>
    <fill>
      <patternFill patternType="gray125"/>
    </fill>
    <fill>
      <patternFill patternType="solid">
        <fgColor rgb="FFCFE2F3"/>
        <bgColor rgb="FFCFE2F3"/>
      </patternFill>
    </fill>
    <fill>
      <patternFill patternType="solid">
        <fgColor rgb="FFF5F8FF"/>
        <bgColor rgb="FFF5F8FF"/>
      </patternFill>
    </fill>
  </fills>
  <borders count="9">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31">
    <xf numFmtId="0" fontId="0" fillId="0" borderId="0" xfId="0"/>
    <xf numFmtId="0" fontId="1" fillId="0" borderId="0" xfId="0" applyFont="1"/>
    <xf numFmtId="0" fontId="1" fillId="2" borderId="1" xfId="0" applyFont="1" applyFill="1" applyBorder="1"/>
    <xf numFmtId="0" fontId="2" fillId="2" borderId="2" xfId="0" applyFont="1" applyFill="1" applyBorder="1"/>
    <xf numFmtId="0" fontId="2" fillId="2" borderId="3" xfId="0" applyFont="1" applyFill="1" applyBorder="1"/>
    <xf numFmtId="164" fontId="2" fillId="2" borderId="4" xfId="0" applyNumberFormat="1" applyFont="1" applyFill="1" applyBorder="1"/>
    <xf numFmtId="0" fontId="2" fillId="2" borderId="4" xfId="0" applyFont="1" applyFill="1" applyBorder="1"/>
    <xf numFmtId="0" fontId="2" fillId="2" borderId="5" xfId="0" applyFont="1" applyFill="1" applyBorder="1"/>
    <xf numFmtId="165" fontId="2" fillId="2" borderId="6" xfId="0" applyNumberFormat="1" applyFont="1" applyFill="1" applyBorder="1"/>
    <xf numFmtId="0" fontId="3" fillId="2" borderId="3" xfId="0" applyFont="1" applyFill="1" applyBorder="1" applyAlignment="1">
      <alignment horizontal="right"/>
    </xf>
    <xf numFmtId="3" fontId="2" fillId="2" borderId="4" xfId="0" applyNumberFormat="1" applyFont="1" applyFill="1" applyBorder="1"/>
    <xf numFmtId="0" fontId="3" fillId="2" borderId="5" xfId="0" applyFont="1" applyFill="1" applyBorder="1" applyAlignment="1">
      <alignment horizontal="right"/>
    </xf>
    <xf numFmtId="0" fontId="2" fillId="2" borderId="7" xfId="0" applyFont="1" applyFill="1" applyBorder="1"/>
    <xf numFmtId="0" fontId="2" fillId="2" borderId="3" xfId="0" applyFont="1" applyFill="1" applyBorder="1" applyAlignment="1">
      <alignment horizontal="right"/>
    </xf>
    <xf numFmtId="0" fontId="2" fillId="2" borderId="0" xfId="0" applyFont="1" applyFill="1"/>
    <xf numFmtId="166" fontId="2" fillId="2" borderId="6" xfId="0" applyNumberFormat="1" applyFont="1" applyFill="1" applyBorder="1"/>
    <xf numFmtId="0" fontId="2" fillId="2" borderId="5" xfId="0" applyFont="1" applyFill="1" applyBorder="1" applyAlignment="1">
      <alignment horizontal="right"/>
    </xf>
    <xf numFmtId="0" fontId="2" fillId="2" borderId="8" xfId="0" applyFont="1" applyFill="1" applyBorder="1"/>
    <xf numFmtId="3" fontId="2" fillId="2" borderId="6" xfId="0" applyNumberFormat="1" applyFont="1" applyFill="1" applyBorder="1"/>
    <xf numFmtId="0" fontId="2" fillId="2" borderId="6" xfId="0" applyFont="1" applyFill="1" applyBorder="1"/>
    <xf numFmtId="0" fontId="2" fillId="0" borderId="0" xfId="0" applyFont="1"/>
    <xf numFmtId="167" fontId="2" fillId="0" borderId="0" xfId="0" applyNumberFormat="1" applyFont="1"/>
    <xf numFmtId="168" fontId="2" fillId="0" borderId="0" xfId="0" applyNumberFormat="1" applyFont="1"/>
    <xf numFmtId="22" fontId="2" fillId="0" borderId="0" xfId="0" applyNumberFormat="1" applyFont="1"/>
    <xf numFmtId="14" fontId="2" fillId="0" borderId="0" xfId="0" applyNumberFormat="1" applyFont="1"/>
    <xf numFmtId="3" fontId="2" fillId="0" borderId="0" xfId="0" applyNumberFormat="1" applyFont="1"/>
    <xf numFmtId="11" fontId="2" fillId="0" borderId="0" xfId="0" applyNumberFormat="1" applyFont="1"/>
    <xf numFmtId="0" fontId="4" fillId="3" borderId="0" xfId="0" applyFont="1" applyFill="1"/>
    <xf numFmtId="0" fontId="2" fillId="0" borderId="0" xfId="0" applyFont="1" applyAlignment="1">
      <alignment horizontal="left"/>
    </xf>
    <xf numFmtId="166" fontId="2" fillId="0" borderId="0" xfId="0" applyNumberFormat="1" applyFont="1"/>
    <xf numFmtId="168" fontId="2"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5"/>
  <sheetViews>
    <sheetView workbookViewId="0">
      <selection activeCell="C27" sqref="C27"/>
    </sheetView>
  </sheetViews>
  <sheetFormatPr baseColWidth="10" defaultColWidth="12.6640625" defaultRowHeight="15.75" customHeight="1"/>
  <cols>
    <col min="1" max="1" width="37.6640625" customWidth="1"/>
    <col min="2" max="2" width="12.6640625" customWidth="1"/>
    <col min="5" max="5" width="25.1640625" customWidth="1"/>
  </cols>
  <sheetData>
    <row r="1" spans="1:6" ht="15.75" customHeight="1">
      <c r="A1" s="1" t="s">
        <v>0</v>
      </c>
    </row>
    <row r="3" spans="1:6" ht="15.75" customHeight="1">
      <c r="A3" s="2" t="s">
        <v>1</v>
      </c>
      <c r="B3" s="3">
        <f>COUNT('PHMSA records'!A:A)</f>
        <v>300</v>
      </c>
      <c r="E3" s="2" t="s">
        <v>2</v>
      </c>
      <c r="F3" s="3"/>
    </row>
    <row r="4" spans="1:6" ht="15.75" customHeight="1">
      <c r="A4" s="4" t="s">
        <v>3</v>
      </c>
      <c r="B4" s="5">
        <v>43101</v>
      </c>
      <c r="E4" s="4" t="s">
        <v>4</v>
      </c>
      <c r="F4" s="6">
        <f>COUNTIF('PHMSA records'!AG:AG, "YES")</f>
        <v>2</v>
      </c>
    </row>
    <row r="5" spans="1:6" ht="15.75" customHeight="1">
      <c r="A5" s="4" t="s">
        <v>5</v>
      </c>
      <c r="B5" s="5">
        <v>45838</v>
      </c>
      <c r="E5" s="4" t="s">
        <v>6</v>
      </c>
      <c r="F5" s="6">
        <f>COUNTIF('PHMSA records'!Z:Z, "YES")</f>
        <v>1</v>
      </c>
    </row>
    <row r="6" spans="1:6" ht="15.75" customHeight="1">
      <c r="A6" s="7" t="s">
        <v>7</v>
      </c>
      <c r="B6" s="8">
        <f>(B5-B4)/B3</f>
        <v>9.1233333333333331</v>
      </c>
      <c r="E6" s="4" t="s">
        <v>8</v>
      </c>
      <c r="F6" s="6">
        <f>COUNTIF('PHMSA records'!BH:BH, "YES")</f>
        <v>10</v>
      </c>
    </row>
    <row r="7" spans="1:6" ht="15.75" customHeight="1">
      <c r="E7" s="4" t="s">
        <v>9</v>
      </c>
      <c r="F7" s="6">
        <f>COUNTIF('PHMSA records'!BM:BM, "YES")</f>
        <v>2</v>
      </c>
    </row>
    <row r="8" spans="1:6" ht="15.75" customHeight="1">
      <c r="A8" s="2" t="s">
        <v>10</v>
      </c>
      <c r="B8" s="3"/>
      <c r="E8" s="4" t="s">
        <v>11</v>
      </c>
      <c r="F8" s="6">
        <f>COUNTIF('PHMSA records'!FY:FY, "YES")</f>
        <v>6</v>
      </c>
    </row>
    <row r="9" spans="1:6" ht="15.75" customHeight="1">
      <c r="A9" s="9" t="s">
        <v>12</v>
      </c>
      <c r="B9" s="10">
        <f>SUM('PHMSA records'!W:W)</f>
        <v>91290.14</v>
      </c>
      <c r="E9" s="4" t="s">
        <v>13</v>
      </c>
      <c r="F9" s="6">
        <f>COUNTIF('PHMSA records'!GC:GC, "YES")</f>
        <v>246</v>
      </c>
    </row>
    <row r="10" spans="1:6" ht="15.75" customHeight="1">
      <c r="A10" s="9" t="s">
        <v>14</v>
      </c>
      <c r="B10" s="10">
        <f>B9*42</f>
        <v>3834185.88</v>
      </c>
      <c r="E10" s="4" t="s">
        <v>15</v>
      </c>
      <c r="F10" s="6">
        <f>COUNTIF('PHMSA records'!GK:GK, "YES")</f>
        <v>25</v>
      </c>
    </row>
    <row r="11" spans="1:6" ht="15.75" customHeight="1">
      <c r="A11" s="11" t="s">
        <v>16</v>
      </c>
      <c r="B11" s="8">
        <f>B10/660000</f>
        <v>5.8093725454545453</v>
      </c>
      <c r="E11" s="4" t="s">
        <v>17</v>
      </c>
      <c r="F11" s="6">
        <f>COUNTIF('PHMSA records'!GN:GN, "YES")</f>
        <v>7</v>
      </c>
    </row>
    <row r="12" spans="1:6" ht="15.75" customHeight="1">
      <c r="E12" s="4" t="s">
        <v>18</v>
      </c>
      <c r="F12" s="6">
        <f>COUNTIF('PHMSA records'!GO:GO, "YES")</f>
        <v>1</v>
      </c>
    </row>
    <row r="13" spans="1:6" ht="15.75" customHeight="1">
      <c r="A13" s="2" t="s">
        <v>19</v>
      </c>
      <c r="B13" s="12" t="s">
        <v>20</v>
      </c>
      <c r="C13" s="3" t="s">
        <v>21</v>
      </c>
      <c r="E13" s="4" t="s">
        <v>22</v>
      </c>
      <c r="F13" s="6">
        <f>COUNTIF('PHMSA records'!GU:GU, "YES")</f>
        <v>129</v>
      </c>
    </row>
    <row r="14" spans="1:6" ht="15.75" customHeight="1">
      <c r="A14" s="13" t="s">
        <v>23</v>
      </c>
      <c r="B14" s="14">
        <f>COUNTIF('PHMSA records'!R:R, "CRUDE OIL")</f>
        <v>249</v>
      </c>
      <c r="C14" s="10">
        <f>SUMIF('PHMSA records'!R:R, "CRUDE OIL", 'PHMSA records'!W:W)</f>
        <v>31859.720000000008</v>
      </c>
      <c r="E14" s="4" t="s">
        <v>24</v>
      </c>
      <c r="F14" s="6">
        <f>COUNTIF('PHMSA records'!GX:GX, "YES")</f>
        <v>96</v>
      </c>
    </row>
    <row r="15" spans="1:6" ht="15.75" customHeight="1">
      <c r="A15" s="13" t="s">
        <v>25</v>
      </c>
      <c r="B15" s="14">
        <f>COUNTIF('PHMSA records'!R:R, "REFINED AND/OR PETROLEUM PRODUCT (NON-HVL) WHICH IS A LIQUID AT AMBIENT CONDITIONS")</f>
        <v>30</v>
      </c>
      <c r="C15" s="10">
        <f>SUMIF('PHMSA records'!R:R, "REFINED AND/OR PETROLEUM PRODUCT (NON-HVL) WHICH IS A LIQUID AT AMBIENT CONDITIONS", 'PHMSA records'!W:W)</f>
        <v>6837.5900000000011</v>
      </c>
      <c r="E15" s="7" t="s">
        <v>26</v>
      </c>
      <c r="F15" s="15">
        <f>SUM('PHMSA records'!HM:HM)</f>
        <v>96458844</v>
      </c>
    </row>
    <row r="16" spans="1:6" ht="15.75" customHeight="1">
      <c r="A16" s="16" t="s">
        <v>27</v>
      </c>
      <c r="B16" s="17">
        <f>COUNTIF('PHMSA records'!R:R, "HVL OR OTHER FLAMMABLE OR TOXIC FLUID WHICH IS A GAS AT AMBIENT CONDITIONS")</f>
        <v>21</v>
      </c>
      <c r="C16" s="18">
        <f>SUMIF('PHMSA records'!R:R, "HVL OR OTHER FLAMMABLE OR TOXIC FLUID WHICH IS A GAS AT AMBIENT CONDITIONS", 'PHMSA records'!W:W)</f>
        <v>52592.83</v>
      </c>
    </row>
    <row r="17" spans="1:6" ht="15.75" customHeight="1">
      <c r="E17" s="2" t="s">
        <v>28</v>
      </c>
      <c r="F17" s="3"/>
    </row>
    <row r="18" spans="1:6" ht="15.75" customHeight="1">
      <c r="A18" s="2" t="s">
        <v>29</v>
      </c>
      <c r="B18" s="3"/>
      <c r="E18" s="4" t="s">
        <v>30</v>
      </c>
      <c r="F18" s="6">
        <f>COUNTIF('PHMSA records'!JX:JX, "EQUIPMENT FAILURE")</f>
        <v>109</v>
      </c>
    </row>
    <row r="19" spans="1:6" ht="15.75" customHeight="1">
      <c r="A19" s="13" t="s">
        <v>31</v>
      </c>
      <c r="B19" s="6">
        <f>COUNTIF('PHMSA records'!F:F, "ORIGINAL")</f>
        <v>19</v>
      </c>
      <c r="E19" s="4" t="s">
        <v>32</v>
      </c>
      <c r="F19" s="6">
        <f>COUNTIF('PHMSA records'!JX:JX, "CORROSION FAILURE")</f>
        <v>101</v>
      </c>
    </row>
    <row r="20" spans="1:6" ht="15.75" customHeight="1">
      <c r="A20" s="13" t="s">
        <v>33</v>
      </c>
      <c r="B20" s="6">
        <f>COUNTIF('PHMSA records'!F:F, "ORIGINAL FINAL")</f>
        <v>145</v>
      </c>
      <c r="E20" s="4" t="s">
        <v>34</v>
      </c>
      <c r="F20" s="6">
        <f>COUNTIF('PHMSA records'!JX:JX, "INCORRECT OPERATION")</f>
        <v>34</v>
      </c>
    </row>
    <row r="21" spans="1:6" ht="15.75" customHeight="1">
      <c r="A21" s="13" t="s">
        <v>35</v>
      </c>
      <c r="B21" s="6">
        <f>COUNTIF('PHMSA records'!F:F, "SUPPLEMENTAL")</f>
        <v>5</v>
      </c>
      <c r="E21" s="4" t="s">
        <v>36</v>
      </c>
      <c r="F21" s="6">
        <f>COUNTIF('PHMSA records'!JX:JX, "OTHER ACCIDENT CAUSE")</f>
        <v>17</v>
      </c>
    </row>
    <row r="22" spans="1:6" ht="15.75" customHeight="1">
      <c r="A22" s="16" t="s">
        <v>37</v>
      </c>
      <c r="B22" s="19">
        <f>COUNTIF('PHMSA records'!F:F, "SUPPLEMENTAL FINAL")</f>
        <v>131</v>
      </c>
      <c r="E22" s="4" t="s">
        <v>38</v>
      </c>
      <c r="F22" s="6">
        <f>COUNTIF('PHMSA records'!JX:JX, "MATERIAL FAILURE OF PIPE OR WELD")</f>
        <v>15</v>
      </c>
    </row>
    <row r="23" spans="1:6" ht="15.75" customHeight="1">
      <c r="E23" s="4" t="s">
        <v>39</v>
      </c>
      <c r="F23" s="6">
        <f>COUNTIF('PHMSA records'!JX:JX, "EXCAVATION DAMAGE")</f>
        <v>9</v>
      </c>
    </row>
    <row r="24" spans="1:6" ht="15.75" customHeight="1">
      <c r="E24" s="4" t="s">
        <v>40</v>
      </c>
      <c r="F24" s="6">
        <f>COUNTIF('PHMSA records'!JX:JX, "NATURAL FORCE DAMAGE")</f>
        <v>8</v>
      </c>
    </row>
    <row r="25" spans="1:6" ht="15.75" customHeight="1">
      <c r="E25" s="7" t="s">
        <v>41</v>
      </c>
      <c r="F25" s="19">
        <f>COUNTIF('PHMSA records'!JX:JX, "OTHER OUTSIDE FORCE DAMAGE")</f>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Y302"/>
  <sheetViews>
    <sheetView tabSelected="1" workbookViewId="0">
      <pane ySplit="1" topLeftCell="A2" activePane="bottomLeft" state="frozen"/>
      <selection pane="bottomLeft" activeCell="E19" sqref="E19"/>
    </sheetView>
  </sheetViews>
  <sheetFormatPr baseColWidth="10" defaultColWidth="12.6640625" defaultRowHeight="15.75" customHeight="1"/>
  <sheetData>
    <row r="1" spans="1:649" ht="15.75" customHeight="1">
      <c r="B1" s="20" t="s">
        <v>42</v>
      </c>
      <c r="C1" s="20" t="s">
        <v>43</v>
      </c>
      <c r="D1" s="20" t="s">
        <v>44</v>
      </c>
      <c r="E1" s="20" t="s">
        <v>45</v>
      </c>
      <c r="F1" s="20" t="s">
        <v>46</v>
      </c>
      <c r="G1" s="20" t="s">
        <v>47</v>
      </c>
      <c r="H1" s="20" t="s">
        <v>48</v>
      </c>
      <c r="I1" s="20" t="s">
        <v>49</v>
      </c>
      <c r="J1" s="20" t="s">
        <v>50</v>
      </c>
      <c r="K1" s="20" t="s">
        <v>51</v>
      </c>
      <c r="L1" s="20" t="s">
        <v>52</v>
      </c>
      <c r="M1" s="20" t="s">
        <v>53</v>
      </c>
      <c r="N1" s="20" t="s">
        <v>54</v>
      </c>
      <c r="O1" s="20" t="s">
        <v>55</v>
      </c>
      <c r="P1" s="20" t="s">
        <v>56</v>
      </c>
      <c r="Q1" s="20" t="s">
        <v>57</v>
      </c>
      <c r="R1" s="20" t="s">
        <v>58</v>
      </c>
      <c r="S1" s="20" t="s">
        <v>59</v>
      </c>
      <c r="T1" s="20" t="s">
        <v>60</v>
      </c>
      <c r="U1" s="20" t="s">
        <v>61</v>
      </c>
      <c r="V1" s="20" t="s">
        <v>62</v>
      </c>
      <c r="W1" s="20" t="s">
        <v>63</v>
      </c>
      <c r="X1" s="20" t="s">
        <v>64</v>
      </c>
      <c r="Y1" s="20" t="s">
        <v>65</v>
      </c>
      <c r="Z1" s="20" t="s">
        <v>66</v>
      </c>
      <c r="AA1" s="20" t="s">
        <v>67</v>
      </c>
      <c r="AB1" s="20" t="s">
        <v>68</v>
      </c>
      <c r="AC1" s="20" t="s">
        <v>69</v>
      </c>
      <c r="AD1" s="20" t="s">
        <v>70</v>
      </c>
      <c r="AE1" s="20" t="s">
        <v>71</v>
      </c>
      <c r="AF1" s="20" t="s">
        <v>72</v>
      </c>
      <c r="AG1" s="20" t="s">
        <v>73</v>
      </c>
      <c r="AH1" s="20" t="s">
        <v>74</v>
      </c>
      <c r="AI1" s="20" t="s">
        <v>75</v>
      </c>
      <c r="AJ1" s="20" t="s">
        <v>76</v>
      </c>
      <c r="AK1" s="20" t="s">
        <v>77</v>
      </c>
      <c r="AL1" s="20" t="s">
        <v>78</v>
      </c>
      <c r="AM1" s="20" t="s">
        <v>79</v>
      </c>
      <c r="AN1" s="20" t="s">
        <v>80</v>
      </c>
      <c r="AO1" s="20" t="s">
        <v>81</v>
      </c>
      <c r="AP1" s="20" t="s">
        <v>82</v>
      </c>
      <c r="AQ1" s="20" t="s">
        <v>83</v>
      </c>
      <c r="AR1" s="20" t="s">
        <v>84</v>
      </c>
      <c r="AS1" s="20" t="s">
        <v>85</v>
      </c>
      <c r="AT1" s="20" t="s">
        <v>86</v>
      </c>
      <c r="AU1" s="20" t="s">
        <v>87</v>
      </c>
      <c r="AV1" s="20" t="s">
        <v>88</v>
      </c>
      <c r="AW1" s="20" t="s">
        <v>89</v>
      </c>
      <c r="AX1" s="20" t="s">
        <v>90</v>
      </c>
      <c r="AY1" s="20" t="s">
        <v>91</v>
      </c>
      <c r="AZ1" s="20" t="s">
        <v>92</v>
      </c>
      <c r="BA1" s="20" t="s">
        <v>93</v>
      </c>
      <c r="BB1" s="20" t="s">
        <v>94</v>
      </c>
      <c r="BC1" s="20" t="s">
        <v>95</v>
      </c>
      <c r="BD1" s="20" t="s">
        <v>96</v>
      </c>
      <c r="BE1" s="20" t="s">
        <v>97</v>
      </c>
      <c r="BF1" s="20" t="s">
        <v>98</v>
      </c>
      <c r="BG1" s="20" t="s">
        <v>99</v>
      </c>
      <c r="BH1" s="20" t="s">
        <v>100</v>
      </c>
      <c r="BI1" s="20" t="s">
        <v>101</v>
      </c>
      <c r="BJ1" s="20" t="s">
        <v>102</v>
      </c>
      <c r="BK1" s="20" t="s">
        <v>103</v>
      </c>
      <c r="BL1" s="20" t="s">
        <v>104</v>
      </c>
      <c r="BM1" s="20" t="s">
        <v>105</v>
      </c>
      <c r="BN1" s="20" t="s">
        <v>106</v>
      </c>
      <c r="BO1" s="20" t="s">
        <v>107</v>
      </c>
      <c r="BP1" s="20" t="s">
        <v>108</v>
      </c>
      <c r="BQ1" s="20" t="s">
        <v>109</v>
      </c>
      <c r="BR1" s="20" t="s">
        <v>110</v>
      </c>
      <c r="BS1" s="20" t="s">
        <v>111</v>
      </c>
      <c r="BT1" s="20" t="s">
        <v>112</v>
      </c>
      <c r="BU1" s="20" t="s">
        <v>113</v>
      </c>
      <c r="BV1" s="20" t="s">
        <v>114</v>
      </c>
      <c r="BW1" s="20" t="s">
        <v>115</v>
      </c>
      <c r="BX1" s="20" t="s">
        <v>116</v>
      </c>
      <c r="BY1" s="20" t="s">
        <v>117</v>
      </c>
      <c r="BZ1" s="20" t="s">
        <v>118</v>
      </c>
      <c r="CA1" s="20" t="s">
        <v>119</v>
      </c>
      <c r="CB1" s="20" t="s">
        <v>120</v>
      </c>
      <c r="CC1" s="20" t="s">
        <v>121</v>
      </c>
      <c r="CD1" s="20" t="s">
        <v>122</v>
      </c>
      <c r="CE1" s="20" t="s">
        <v>123</v>
      </c>
      <c r="CF1" s="20" t="s">
        <v>124</v>
      </c>
      <c r="CG1" s="20" t="s">
        <v>125</v>
      </c>
      <c r="CH1" s="20" t="s">
        <v>126</v>
      </c>
      <c r="CI1" s="20" t="s">
        <v>127</v>
      </c>
      <c r="CJ1" s="20" t="s">
        <v>128</v>
      </c>
      <c r="CK1" s="20" t="s">
        <v>129</v>
      </c>
      <c r="CL1" s="20" t="s">
        <v>130</v>
      </c>
      <c r="CM1" s="20" t="s">
        <v>131</v>
      </c>
      <c r="CN1" s="20" t="s">
        <v>132</v>
      </c>
      <c r="CO1" s="20" t="s">
        <v>133</v>
      </c>
      <c r="CP1" s="20" t="s">
        <v>134</v>
      </c>
      <c r="CQ1" s="20" t="s">
        <v>135</v>
      </c>
      <c r="CR1" s="20" t="s">
        <v>136</v>
      </c>
      <c r="CS1" s="20" t="s">
        <v>137</v>
      </c>
      <c r="CT1" s="20" t="s">
        <v>138</v>
      </c>
      <c r="CU1" s="20" t="s">
        <v>139</v>
      </c>
      <c r="CV1" s="20" t="s">
        <v>140</v>
      </c>
      <c r="CW1" s="20" t="s">
        <v>141</v>
      </c>
      <c r="CX1" s="20" t="s">
        <v>142</v>
      </c>
      <c r="CY1" s="20" t="s">
        <v>143</v>
      </c>
      <c r="CZ1" s="20" t="s">
        <v>144</v>
      </c>
      <c r="DA1" s="20" t="s">
        <v>145</v>
      </c>
      <c r="DB1" s="20" t="s">
        <v>146</v>
      </c>
      <c r="DC1" s="20" t="s">
        <v>147</v>
      </c>
      <c r="DD1" s="20" t="s">
        <v>148</v>
      </c>
      <c r="DE1" s="20" t="s">
        <v>149</v>
      </c>
      <c r="DF1" s="20" t="s">
        <v>150</v>
      </c>
      <c r="DG1" s="20" t="s">
        <v>151</v>
      </c>
      <c r="DH1" s="20" t="s">
        <v>152</v>
      </c>
      <c r="DI1" s="20" t="s">
        <v>153</v>
      </c>
      <c r="DJ1" s="20" t="s">
        <v>154</v>
      </c>
      <c r="DK1" s="20" t="s">
        <v>155</v>
      </c>
      <c r="DL1" s="20" t="s">
        <v>156</v>
      </c>
      <c r="DM1" s="20" t="s">
        <v>157</v>
      </c>
      <c r="DN1" s="20" t="s">
        <v>158</v>
      </c>
      <c r="DO1" s="20" t="s">
        <v>159</v>
      </c>
      <c r="DP1" s="20" t="s">
        <v>160</v>
      </c>
      <c r="DQ1" s="20" t="s">
        <v>161</v>
      </c>
      <c r="DR1" s="20" t="s">
        <v>162</v>
      </c>
      <c r="DS1" s="20" t="s">
        <v>163</v>
      </c>
      <c r="DT1" s="20" t="s">
        <v>164</v>
      </c>
      <c r="DU1" s="20" t="s">
        <v>165</v>
      </c>
      <c r="DV1" s="20" t="s">
        <v>166</v>
      </c>
      <c r="DW1" s="20" t="s">
        <v>167</v>
      </c>
      <c r="DX1" s="20" t="s">
        <v>168</v>
      </c>
      <c r="DY1" s="20" t="s">
        <v>169</v>
      </c>
      <c r="DZ1" s="20" t="s">
        <v>170</v>
      </c>
      <c r="EA1" s="20" t="s">
        <v>171</v>
      </c>
      <c r="EB1" s="20" t="s">
        <v>172</v>
      </c>
      <c r="EC1" s="20" t="s">
        <v>173</v>
      </c>
      <c r="ED1" s="20" t="s">
        <v>174</v>
      </c>
      <c r="EE1" s="20" t="s">
        <v>175</v>
      </c>
      <c r="EF1" s="20" t="s">
        <v>176</v>
      </c>
      <c r="EG1" s="20" t="s">
        <v>177</v>
      </c>
      <c r="EH1" s="20" t="s">
        <v>178</v>
      </c>
      <c r="EI1" s="20" t="s">
        <v>179</v>
      </c>
      <c r="EJ1" s="20" t="s">
        <v>180</v>
      </c>
      <c r="EK1" s="20" t="s">
        <v>181</v>
      </c>
      <c r="EL1" s="20" t="s">
        <v>182</v>
      </c>
      <c r="EM1" s="20" t="s">
        <v>183</v>
      </c>
      <c r="EN1" s="20" t="s">
        <v>184</v>
      </c>
      <c r="EO1" s="20" t="s">
        <v>185</v>
      </c>
      <c r="EP1" s="20" t="s">
        <v>186</v>
      </c>
      <c r="EQ1" s="20" t="s">
        <v>187</v>
      </c>
      <c r="ER1" s="20" t="s">
        <v>188</v>
      </c>
      <c r="ES1" s="20" t="s">
        <v>189</v>
      </c>
      <c r="ET1" s="20" t="s">
        <v>190</v>
      </c>
      <c r="EU1" s="20" t="s">
        <v>191</v>
      </c>
      <c r="EV1" s="20" t="s">
        <v>192</v>
      </c>
      <c r="EW1" s="20" t="s">
        <v>193</v>
      </c>
      <c r="EX1" s="20" t="s">
        <v>194</v>
      </c>
      <c r="EY1" s="20" t="s">
        <v>195</v>
      </c>
      <c r="EZ1" s="20" t="s">
        <v>196</v>
      </c>
      <c r="FA1" s="20" t="s">
        <v>197</v>
      </c>
      <c r="FB1" s="20" t="s">
        <v>198</v>
      </c>
      <c r="FC1" s="20" t="s">
        <v>199</v>
      </c>
      <c r="FD1" s="20" t="s">
        <v>200</v>
      </c>
      <c r="FE1" s="20" t="s">
        <v>201</v>
      </c>
      <c r="FF1" s="20" t="s">
        <v>202</v>
      </c>
      <c r="FG1" s="20" t="s">
        <v>203</v>
      </c>
      <c r="FH1" s="20" t="s">
        <v>204</v>
      </c>
      <c r="FI1" s="20" t="s">
        <v>205</v>
      </c>
      <c r="FJ1" s="20" t="s">
        <v>206</v>
      </c>
      <c r="FK1" s="20" t="s">
        <v>207</v>
      </c>
      <c r="FL1" s="20" t="s">
        <v>208</v>
      </c>
      <c r="FM1" s="20" t="s">
        <v>209</v>
      </c>
      <c r="FN1" s="20" t="s">
        <v>210</v>
      </c>
      <c r="FO1" s="20" t="s">
        <v>211</v>
      </c>
      <c r="FP1" s="20" t="s">
        <v>212</v>
      </c>
      <c r="FQ1" s="20" t="s">
        <v>213</v>
      </c>
      <c r="FR1" s="20" t="s">
        <v>214</v>
      </c>
      <c r="FS1" s="20" t="s">
        <v>215</v>
      </c>
      <c r="FT1" s="20" t="s">
        <v>216</v>
      </c>
      <c r="FU1" s="20" t="s">
        <v>217</v>
      </c>
      <c r="FV1" s="20" t="s">
        <v>218</v>
      </c>
      <c r="FW1" s="20" t="s">
        <v>219</v>
      </c>
      <c r="FX1" s="20" t="s">
        <v>220</v>
      </c>
      <c r="FY1" s="20" t="s">
        <v>221</v>
      </c>
      <c r="FZ1" s="20" t="s">
        <v>222</v>
      </c>
      <c r="GA1" s="20" t="s">
        <v>223</v>
      </c>
      <c r="GB1" s="20" t="s">
        <v>224</v>
      </c>
      <c r="GC1" s="20" t="s">
        <v>225</v>
      </c>
      <c r="GD1" s="20" t="s">
        <v>226</v>
      </c>
      <c r="GE1" s="20" t="s">
        <v>227</v>
      </c>
      <c r="GF1" s="20" t="s">
        <v>228</v>
      </c>
      <c r="GG1" s="20" t="s">
        <v>229</v>
      </c>
      <c r="GH1" s="20" t="s">
        <v>230</v>
      </c>
      <c r="GI1" s="20" t="s">
        <v>231</v>
      </c>
      <c r="GJ1" s="20" t="s">
        <v>232</v>
      </c>
      <c r="GK1" s="20" t="s">
        <v>233</v>
      </c>
      <c r="GL1" s="20" t="s">
        <v>234</v>
      </c>
      <c r="GM1" s="20" t="s">
        <v>235</v>
      </c>
      <c r="GN1" s="20" t="s">
        <v>236</v>
      </c>
      <c r="GO1" s="20" t="s">
        <v>237</v>
      </c>
      <c r="GP1" s="20" t="s">
        <v>238</v>
      </c>
      <c r="GQ1" s="20" t="s">
        <v>239</v>
      </c>
      <c r="GR1" s="20" t="s">
        <v>240</v>
      </c>
      <c r="GS1" s="20" t="s">
        <v>241</v>
      </c>
      <c r="GT1" s="20" t="s">
        <v>242</v>
      </c>
      <c r="GU1" s="20" t="s">
        <v>243</v>
      </c>
      <c r="GV1" s="20" t="s">
        <v>244</v>
      </c>
      <c r="GW1" s="20" t="s">
        <v>245</v>
      </c>
      <c r="GX1" s="20" t="s">
        <v>246</v>
      </c>
      <c r="GY1" s="20" t="s">
        <v>247</v>
      </c>
      <c r="GZ1" s="20" t="s">
        <v>248</v>
      </c>
      <c r="HA1" s="20" t="s">
        <v>249</v>
      </c>
      <c r="HB1" s="20" t="s">
        <v>250</v>
      </c>
      <c r="HC1" s="20" t="s">
        <v>251</v>
      </c>
      <c r="HD1" s="20" t="s">
        <v>252</v>
      </c>
      <c r="HE1" s="20" t="s">
        <v>253</v>
      </c>
      <c r="HF1" s="20" t="s">
        <v>254</v>
      </c>
      <c r="HG1" s="20" t="s">
        <v>255</v>
      </c>
      <c r="HH1" s="20" t="s">
        <v>256</v>
      </c>
      <c r="HI1" s="20" t="s">
        <v>257</v>
      </c>
      <c r="HJ1" s="20" t="s">
        <v>258</v>
      </c>
      <c r="HK1" s="20" t="s">
        <v>259</v>
      </c>
      <c r="HL1" s="20" t="s">
        <v>260</v>
      </c>
      <c r="HM1" s="20" t="s">
        <v>261</v>
      </c>
      <c r="HN1" s="20" t="s">
        <v>262</v>
      </c>
      <c r="HO1" s="20" t="s">
        <v>263</v>
      </c>
      <c r="HP1" s="20" t="s">
        <v>264</v>
      </c>
      <c r="HQ1" s="20" t="s">
        <v>265</v>
      </c>
      <c r="HR1" s="20" t="s">
        <v>266</v>
      </c>
      <c r="HS1" s="20" t="s">
        <v>267</v>
      </c>
      <c r="HT1" s="20" t="s">
        <v>268</v>
      </c>
      <c r="HU1" s="20" t="s">
        <v>269</v>
      </c>
      <c r="HV1" s="20" t="s">
        <v>270</v>
      </c>
      <c r="HW1" s="20" t="s">
        <v>271</v>
      </c>
      <c r="HX1" s="20" t="s">
        <v>272</v>
      </c>
      <c r="HY1" s="20" t="s">
        <v>273</v>
      </c>
      <c r="HZ1" s="20" t="s">
        <v>274</v>
      </c>
      <c r="IA1" s="20" t="s">
        <v>275</v>
      </c>
      <c r="IB1" s="20" t="s">
        <v>276</v>
      </c>
      <c r="IC1" s="20" t="s">
        <v>277</v>
      </c>
      <c r="ID1" s="20" t="s">
        <v>278</v>
      </c>
      <c r="IE1" s="20" t="s">
        <v>279</v>
      </c>
      <c r="IF1" s="20" t="s">
        <v>280</v>
      </c>
      <c r="IG1" s="20" t="s">
        <v>281</v>
      </c>
      <c r="IH1" s="20" t="s">
        <v>282</v>
      </c>
      <c r="II1" s="20" t="s">
        <v>283</v>
      </c>
      <c r="IJ1" s="20" t="s">
        <v>284</v>
      </c>
      <c r="IK1" s="20" t="s">
        <v>285</v>
      </c>
      <c r="IL1" s="20" t="s">
        <v>286</v>
      </c>
      <c r="IM1" s="20" t="s">
        <v>287</v>
      </c>
      <c r="IN1" s="20" t="s">
        <v>288</v>
      </c>
      <c r="IO1" s="20" t="s">
        <v>289</v>
      </c>
      <c r="IP1" s="20" t="s">
        <v>290</v>
      </c>
      <c r="IQ1" s="20" t="s">
        <v>291</v>
      </c>
      <c r="IR1" s="20" t="s">
        <v>292</v>
      </c>
      <c r="IS1" s="20" t="s">
        <v>293</v>
      </c>
      <c r="IT1" s="20" t="s">
        <v>294</v>
      </c>
      <c r="IU1" s="20" t="s">
        <v>295</v>
      </c>
      <c r="IV1" s="20" t="s">
        <v>296</v>
      </c>
      <c r="IW1" s="20" t="s">
        <v>297</v>
      </c>
      <c r="IX1" s="20" t="s">
        <v>298</v>
      </c>
      <c r="IY1" s="20" t="s">
        <v>299</v>
      </c>
      <c r="IZ1" s="20" t="s">
        <v>300</v>
      </c>
      <c r="JA1" s="20" t="s">
        <v>301</v>
      </c>
      <c r="JB1" s="20" t="s">
        <v>302</v>
      </c>
      <c r="JC1" s="20" t="s">
        <v>303</v>
      </c>
      <c r="JD1" s="20" t="s">
        <v>304</v>
      </c>
      <c r="JE1" s="20" t="s">
        <v>305</v>
      </c>
      <c r="JF1" s="20" t="s">
        <v>306</v>
      </c>
      <c r="JG1" s="20" t="s">
        <v>307</v>
      </c>
      <c r="JH1" s="20" t="s">
        <v>308</v>
      </c>
      <c r="JI1" s="20" t="s">
        <v>309</v>
      </c>
      <c r="JJ1" s="20" t="s">
        <v>310</v>
      </c>
      <c r="JK1" s="20" t="s">
        <v>311</v>
      </c>
      <c r="JL1" s="20" t="s">
        <v>312</v>
      </c>
      <c r="JM1" s="20" t="s">
        <v>313</v>
      </c>
      <c r="JN1" s="20" t="s">
        <v>314</v>
      </c>
      <c r="JO1" s="20" t="s">
        <v>315</v>
      </c>
      <c r="JP1" s="20" t="s">
        <v>316</v>
      </c>
      <c r="JQ1" s="20" t="s">
        <v>317</v>
      </c>
      <c r="JR1" s="20" t="s">
        <v>318</v>
      </c>
      <c r="JS1" s="20" t="s">
        <v>319</v>
      </c>
      <c r="JT1" s="20" t="s">
        <v>320</v>
      </c>
      <c r="JU1" s="20" t="s">
        <v>321</v>
      </c>
      <c r="JV1" s="20" t="s">
        <v>322</v>
      </c>
      <c r="JW1" s="20" t="s">
        <v>323</v>
      </c>
      <c r="JX1" s="20" t="s">
        <v>324</v>
      </c>
      <c r="JY1" s="20" t="s">
        <v>325</v>
      </c>
      <c r="JZ1" s="20" t="s">
        <v>326</v>
      </c>
      <c r="KA1" s="20" t="s">
        <v>327</v>
      </c>
      <c r="KB1" s="20" t="s">
        <v>328</v>
      </c>
      <c r="KC1" s="20" t="s">
        <v>329</v>
      </c>
      <c r="KD1" s="20" t="s">
        <v>330</v>
      </c>
      <c r="KE1" s="20" t="s">
        <v>331</v>
      </c>
      <c r="KF1" s="20" t="s">
        <v>332</v>
      </c>
      <c r="KG1" s="20" t="s">
        <v>333</v>
      </c>
      <c r="KH1" s="20" t="s">
        <v>334</v>
      </c>
      <c r="KI1" s="20" t="s">
        <v>335</v>
      </c>
      <c r="KJ1" s="20" t="s">
        <v>336</v>
      </c>
      <c r="KK1" s="20" t="s">
        <v>337</v>
      </c>
      <c r="KL1" s="20" t="s">
        <v>338</v>
      </c>
      <c r="KM1" s="20" t="s">
        <v>339</v>
      </c>
      <c r="KN1" s="20" t="s">
        <v>340</v>
      </c>
      <c r="KO1" s="20" t="s">
        <v>341</v>
      </c>
      <c r="KP1" s="20" t="s">
        <v>342</v>
      </c>
      <c r="KQ1" s="20" t="s">
        <v>343</v>
      </c>
      <c r="KR1" s="20" t="s">
        <v>344</v>
      </c>
      <c r="KS1" s="20" t="s">
        <v>345</v>
      </c>
      <c r="KT1" s="20" t="s">
        <v>346</v>
      </c>
      <c r="KU1" s="20" t="s">
        <v>347</v>
      </c>
      <c r="KV1" s="20" t="s">
        <v>348</v>
      </c>
      <c r="KW1" s="20" t="s">
        <v>349</v>
      </c>
      <c r="KX1" s="20" t="s">
        <v>350</v>
      </c>
      <c r="KY1" s="20" t="s">
        <v>351</v>
      </c>
      <c r="KZ1" s="20" t="s">
        <v>352</v>
      </c>
      <c r="LA1" s="20" t="s">
        <v>353</v>
      </c>
      <c r="LB1" s="20" t="s">
        <v>354</v>
      </c>
      <c r="LC1" s="20" t="s">
        <v>355</v>
      </c>
      <c r="LD1" s="20" t="s">
        <v>356</v>
      </c>
      <c r="LE1" s="20" t="s">
        <v>357</v>
      </c>
      <c r="LF1" s="20" t="s">
        <v>358</v>
      </c>
      <c r="LG1" s="20" t="s">
        <v>359</v>
      </c>
      <c r="LH1" s="20" t="s">
        <v>360</v>
      </c>
      <c r="LI1" s="20" t="s">
        <v>361</v>
      </c>
      <c r="LJ1" s="20" t="s">
        <v>362</v>
      </c>
      <c r="LK1" s="20" t="s">
        <v>363</v>
      </c>
      <c r="LL1" s="20" t="s">
        <v>364</v>
      </c>
      <c r="LM1" s="20" t="s">
        <v>365</v>
      </c>
      <c r="LN1" s="20" t="s">
        <v>366</v>
      </c>
      <c r="LO1" s="20" t="s">
        <v>367</v>
      </c>
      <c r="LP1" s="20" t="s">
        <v>368</v>
      </c>
      <c r="LQ1" s="20" t="s">
        <v>369</v>
      </c>
      <c r="LR1" s="20" t="s">
        <v>370</v>
      </c>
      <c r="LS1" s="20" t="s">
        <v>371</v>
      </c>
      <c r="LT1" s="20" t="s">
        <v>372</v>
      </c>
      <c r="LU1" s="20" t="s">
        <v>373</v>
      </c>
      <c r="LV1" s="20" t="s">
        <v>374</v>
      </c>
      <c r="LW1" s="20" t="s">
        <v>375</v>
      </c>
      <c r="LX1" s="20" t="s">
        <v>376</v>
      </c>
      <c r="LY1" s="20" t="s">
        <v>377</v>
      </c>
      <c r="LZ1" s="20" t="s">
        <v>378</v>
      </c>
      <c r="MA1" s="20" t="s">
        <v>379</v>
      </c>
      <c r="MB1" s="20" t="s">
        <v>380</v>
      </c>
      <c r="MC1" s="20" t="s">
        <v>381</v>
      </c>
      <c r="MD1" s="20" t="s">
        <v>382</v>
      </c>
      <c r="ME1" s="20" t="s">
        <v>383</v>
      </c>
      <c r="MF1" s="20" t="s">
        <v>384</v>
      </c>
      <c r="MG1" s="20" t="s">
        <v>385</v>
      </c>
      <c r="MH1" s="20" t="s">
        <v>386</v>
      </c>
      <c r="MI1" s="20" t="s">
        <v>387</v>
      </c>
      <c r="MJ1" s="20" t="s">
        <v>388</v>
      </c>
      <c r="MK1" s="20" t="s">
        <v>389</v>
      </c>
      <c r="ML1" s="20" t="s">
        <v>390</v>
      </c>
      <c r="MM1" s="20" t="s">
        <v>391</v>
      </c>
      <c r="MN1" s="20" t="s">
        <v>392</v>
      </c>
      <c r="MO1" s="20" t="s">
        <v>393</v>
      </c>
      <c r="MP1" s="20" t="s">
        <v>394</v>
      </c>
      <c r="MQ1" s="20" t="s">
        <v>395</v>
      </c>
      <c r="MR1" s="20" t="s">
        <v>396</v>
      </c>
      <c r="MS1" s="20" t="s">
        <v>397</v>
      </c>
      <c r="MT1" s="20" t="s">
        <v>398</v>
      </c>
      <c r="MU1" s="20" t="s">
        <v>399</v>
      </c>
      <c r="MV1" s="20" t="s">
        <v>400</v>
      </c>
      <c r="MW1" s="20" t="s">
        <v>401</v>
      </c>
      <c r="MX1" s="20" t="s">
        <v>402</v>
      </c>
      <c r="MY1" s="20" t="s">
        <v>403</v>
      </c>
      <c r="MZ1" s="20" t="s">
        <v>404</v>
      </c>
      <c r="NA1" s="20" t="s">
        <v>405</v>
      </c>
      <c r="NB1" s="20" t="s">
        <v>406</v>
      </c>
      <c r="NC1" s="20" t="s">
        <v>407</v>
      </c>
      <c r="ND1" s="20" t="s">
        <v>408</v>
      </c>
      <c r="NE1" s="20" t="s">
        <v>409</v>
      </c>
      <c r="NF1" s="20" t="s">
        <v>410</v>
      </c>
      <c r="NG1" s="20" t="s">
        <v>411</v>
      </c>
      <c r="NH1" s="20" t="s">
        <v>412</v>
      </c>
      <c r="NI1" s="20" t="s">
        <v>413</v>
      </c>
      <c r="NJ1" s="20" t="s">
        <v>414</v>
      </c>
      <c r="NK1" s="20" t="s">
        <v>415</v>
      </c>
      <c r="NL1" s="20" t="s">
        <v>416</v>
      </c>
      <c r="NM1" s="20" t="s">
        <v>417</v>
      </c>
      <c r="NN1" s="20" t="s">
        <v>418</v>
      </c>
      <c r="NO1" s="20" t="s">
        <v>419</v>
      </c>
      <c r="NP1" s="20" t="s">
        <v>420</v>
      </c>
      <c r="NQ1" s="20" t="s">
        <v>421</v>
      </c>
      <c r="NR1" s="20" t="s">
        <v>422</v>
      </c>
      <c r="NS1" s="20" t="s">
        <v>423</v>
      </c>
      <c r="NT1" s="20" t="s">
        <v>424</v>
      </c>
      <c r="NU1" s="20" t="s">
        <v>425</v>
      </c>
      <c r="NV1" s="20" t="s">
        <v>426</v>
      </c>
      <c r="NW1" s="20" t="s">
        <v>427</v>
      </c>
      <c r="NX1" s="20" t="s">
        <v>428</v>
      </c>
      <c r="NY1" s="20" t="s">
        <v>429</v>
      </c>
      <c r="NZ1" s="20" t="s">
        <v>430</v>
      </c>
      <c r="OA1" s="20" t="s">
        <v>431</v>
      </c>
      <c r="OB1" s="20" t="s">
        <v>432</v>
      </c>
      <c r="OC1" s="20" t="s">
        <v>433</v>
      </c>
      <c r="OD1" s="20" t="s">
        <v>434</v>
      </c>
      <c r="OE1" s="20" t="s">
        <v>435</v>
      </c>
      <c r="OF1" s="20" t="s">
        <v>436</v>
      </c>
      <c r="OG1" s="20" t="s">
        <v>437</v>
      </c>
      <c r="OH1" s="20" t="s">
        <v>438</v>
      </c>
      <c r="OI1" s="20" t="s">
        <v>439</v>
      </c>
      <c r="OJ1" s="20" t="s">
        <v>440</v>
      </c>
      <c r="OK1" s="20" t="s">
        <v>441</v>
      </c>
      <c r="OL1" s="20" t="s">
        <v>442</v>
      </c>
      <c r="OM1" s="20" t="s">
        <v>443</v>
      </c>
      <c r="ON1" s="20" t="s">
        <v>444</v>
      </c>
      <c r="OO1" s="20" t="s">
        <v>445</v>
      </c>
      <c r="OP1" s="20" t="s">
        <v>446</v>
      </c>
      <c r="OQ1" s="20" t="s">
        <v>447</v>
      </c>
      <c r="OR1" s="20" t="s">
        <v>448</v>
      </c>
      <c r="OS1" s="20" t="s">
        <v>449</v>
      </c>
      <c r="OT1" s="20" t="s">
        <v>450</v>
      </c>
      <c r="OU1" s="20" t="s">
        <v>451</v>
      </c>
      <c r="OV1" s="20" t="s">
        <v>452</v>
      </c>
      <c r="OW1" s="20" t="s">
        <v>453</v>
      </c>
      <c r="OX1" s="20" t="s">
        <v>454</v>
      </c>
      <c r="OY1" s="20" t="s">
        <v>455</v>
      </c>
      <c r="OZ1" s="20" t="s">
        <v>456</v>
      </c>
      <c r="PA1" s="20" t="s">
        <v>457</v>
      </c>
      <c r="PB1" s="20" t="s">
        <v>458</v>
      </c>
      <c r="PC1" s="20" t="s">
        <v>459</v>
      </c>
      <c r="PD1" s="20" t="s">
        <v>460</v>
      </c>
      <c r="PE1" s="20" t="s">
        <v>461</v>
      </c>
      <c r="PF1" s="20" t="s">
        <v>462</v>
      </c>
      <c r="PG1" s="20" t="s">
        <v>463</v>
      </c>
      <c r="PH1" s="20" t="s">
        <v>464</v>
      </c>
      <c r="PI1" s="20" t="s">
        <v>465</v>
      </c>
      <c r="PJ1" s="20" t="s">
        <v>466</v>
      </c>
      <c r="PK1" s="20" t="s">
        <v>467</v>
      </c>
      <c r="PL1" s="20" t="s">
        <v>468</v>
      </c>
      <c r="PM1" s="20" t="s">
        <v>469</v>
      </c>
      <c r="PN1" s="20" t="s">
        <v>470</v>
      </c>
      <c r="PO1" s="20" t="s">
        <v>471</v>
      </c>
      <c r="PP1" s="20" t="s">
        <v>472</v>
      </c>
      <c r="PQ1" s="20" t="s">
        <v>473</v>
      </c>
      <c r="PR1" s="20" t="s">
        <v>474</v>
      </c>
      <c r="PS1" s="20" t="s">
        <v>475</v>
      </c>
      <c r="PT1" s="20" t="s">
        <v>476</v>
      </c>
      <c r="PU1" s="20" t="s">
        <v>477</v>
      </c>
      <c r="PV1" s="20" t="s">
        <v>478</v>
      </c>
      <c r="PW1" s="20" t="s">
        <v>479</v>
      </c>
      <c r="PX1" s="20" t="s">
        <v>480</v>
      </c>
      <c r="PY1" s="20" t="s">
        <v>481</v>
      </c>
      <c r="PZ1" s="20" t="s">
        <v>482</v>
      </c>
      <c r="QA1" s="20" t="s">
        <v>483</v>
      </c>
      <c r="QB1" s="20" t="s">
        <v>484</v>
      </c>
      <c r="QC1" s="20" t="s">
        <v>485</v>
      </c>
      <c r="QD1" s="20" t="s">
        <v>486</v>
      </c>
      <c r="QE1" s="20" t="s">
        <v>487</v>
      </c>
      <c r="QF1" s="20" t="s">
        <v>488</v>
      </c>
      <c r="QG1" s="20" t="s">
        <v>489</v>
      </c>
      <c r="QH1" s="20" t="s">
        <v>490</v>
      </c>
      <c r="QI1" s="20" t="s">
        <v>491</v>
      </c>
      <c r="QJ1" s="20" t="s">
        <v>492</v>
      </c>
      <c r="QK1" s="20" t="s">
        <v>493</v>
      </c>
      <c r="QL1" s="20" t="s">
        <v>494</v>
      </c>
      <c r="QM1" s="20" t="s">
        <v>495</v>
      </c>
      <c r="QN1" s="20" t="s">
        <v>496</v>
      </c>
      <c r="QO1" s="20" t="s">
        <v>497</v>
      </c>
      <c r="QP1" s="20" t="s">
        <v>498</v>
      </c>
      <c r="QQ1" s="20" t="s">
        <v>499</v>
      </c>
      <c r="QR1" s="20" t="s">
        <v>500</v>
      </c>
      <c r="QS1" s="20" t="s">
        <v>501</v>
      </c>
      <c r="QT1" s="20" t="s">
        <v>502</v>
      </c>
      <c r="QU1" s="20" t="s">
        <v>503</v>
      </c>
      <c r="QV1" s="20" t="s">
        <v>504</v>
      </c>
      <c r="QW1" s="20" t="s">
        <v>505</v>
      </c>
      <c r="QX1" s="20" t="s">
        <v>506</v>
      </c>
      <c r="QY1" s="20" t="s">
        <v>507</v>
      </c>
      <c r="QZ1" s="20" t="s">
        <v>508</v>
      </c>
      <c r="RA1" s="20" t="s">
        <v>509</v>
      </c>
      <c r="RB1" s="20" t="s">
        <v>510</v>
      </c>
      <c r="RC1" s="20" t="s">
        <v>511</v>
      </c>
      <c r="RD1" s="20" t="s">
        <v>512</v>
      </c>
      <c r="RE1" s="20" t="s">
        <v>513</v>
      </c>
      <c r="RF1" s="20" t="s">
        <v>514</v>
      </c>
      <c r="RG1" s="20" t="s">
        <v>515</v>
      </c>
      <c r="RH1" s="20" t="s">
        <v>516</v>
      </c>
      <c r="RI1" s="20" t="s">
        <v>517</v>
      </c>
      <c r="RJ1" s="20" t="s">
        <v>518</v>
      </c>
      <c r="RK1" s="20" t="s">
        <v>519</v>
      </c>
      <c r="RL1" s="20" t="s">
        <v>520</v>
      </c>
      <c r="RM1" s="20" t="s">
        <v>521</v>
      </c>
      <c r="RN1" s="20" t="s">
        <v>522</v>
      </c>
      <c r="RO1" s="20" t="s">
        <v>523</v>
      </c>
      <c r="RP1" s="20" t="s">
        <v>524</v>
      </c>
      <c r="RQ1" s="20" t="s">
        <v>525</v>
      </c>
      <c r="RR1" s="20" t="s">
        <v>526</v>
      </c>
      <c r="RS1" s="20" t="s">
        <v>527</v>
      </c>
      <c r="RT1" s="20" t="s">
        <v>528</v>
      </c>
      <c r="RU1" s="20" t="s">
        <v>529</v>
      </c>
      <c r="RV1" s="20" t="s">
        <v>530</v>
      </c>
      <c r="RW1" s="20" t="s">
        <v>531</v>
      </c>
      <c r="RX1" s="20" t="s">
        <v>532</v>
      </c>
      <c r="RY1" s="20" t="s">
        <v>533</v>
      </c>
      <c r="RZ1" s="20" t="s">
        <v>534</v>
      </c>
      <c r="SA1" s="20" t="s">
        <v>535</v>
      </c>
      <c r="SB1" s="20" t="s">
        <v>536</v>
      </c>
      <c r="SC1" s="20" t="s">
        <v>537</v>
      </c>
      <c r="SD1" s="20" t="s">
        <v>538</v>
      </c>
      <c r="SE1" s="20" t="s">
        <v>539</v>
      </c>
      <c r="SF1" s="20" t="s">
        <v>540</v>
      </c>
      <c r="SG1" s="20" t="s">
        <v>541</v>
      </c>
      <c r="SH1" s="20" t="s">
        <v>542</v>
      </c>
      <c r="SI1" s="20" t="s">
        <v>543</v>
      </c>
      <c r="SJ1" s="20" t="s">
        <v>544</v>
      </c>
      <c r="SK1" s="20" t="s">
        <v>545</v>
      </c>
      <c r="SL1" s="20" t="s">
        <v>546</v>
      </c>
      <c r="SM1" s="20" t="s">
        <v>547</v>
      </c>
      <c r="SN1" s="20" t="s">
        <v>548</v>
      </c>
      <c r="SO1" s="20" t="s">
        <v>549</v>
      </c>
      <c r="SP1" s="20" t="s">
        <v>550</v>
      </c>
      <c r="SQ1" s="20" t="s">
        <v>551</v>
      </c>
      <c r="SR1" s="20" t="s">
        <v>552</v>
      </c>
      <c r="SS1" s="20" t="s">
        <v>553</v>
      </c>
      <c r="ST1" s="20" t="s">
        <v>554</v>
      </c>
      <c r="SU1" s="20" t="s">
        <v>555</v>
      </c>
      <c r="SV1" s="20" t="s">
        <v>556</v>
      </c>
      <c r="SW1" s="20" t="s">
        <v>557</v>
      </c>
      <c r="SX1" s="20" t="s">
        <v>558</v>
      </c>
      <c r="SY1" s="20" t="s">
        <v>559</v>
      </c>
      <c r="SZ1" s="20" t="s">
        <v>560</v>
      </c>
      <c r="TA1" s="20" t="s">
        <v>561</v>
      </c>
      <c r="TB1" s="20" t="s">
        <v>562</v>
      </c>
      <c r="TC1" s="20" t="s">
        <v>563</v>
      </c>
      <c r="TD1" s="20" t="s">
        <v>564</v>
      </c>
      <c r="TE1" s="20" t="s">
        <v>565</v>
      </c>
      <c r="TF1" s="20" t="s">
        <v>566</v>
      </c>
      <c r="TG1" s="20" t="s">
        <v>567</v>
      </c>
      <c r="TH1" s="20" t="s">
        <v>568</v>
      </c>
      <c r="TI1" s="20" t="s">
        <v>569</v>
      </c>
      <c r="TJ1" s="20" t="s">
        <v>570</v>
      </c>
      <c r="TK1" s="20" t="s">
        <v>571</v>
      </c>
      <c r="TL1" s="20" t="s">
        <v>572</v>
      </c>
      <c r="TM1" s="20" t="s">
        <v>573</v>
      </c>
      <c r="TN1" s="20" t="s">
        <v>574</v>
      </c>
      <c r="TO1" s="20" t="s">
        <v>575</v>
      </c>
      <c r="TP1" s="20" t="s">
        <v>576</v>
      </c>
      <c r="TQ1" s="20" t="s">
        <v>577</v>
      </c>
      <c r="TR1" s="20" t="s">
        <v>578</v>
      </c>
      <c r="TS1" s="20" t="s">
        <v>579</v>
      </c>
      <c r="TT1" s="20" t="s">
        <v>580</v>
      </c>
      <c r="TU1" s="20" t="s">
        <v>581</v>
      </c>
      <c r="TV1" s="20" t="s">
        <v>582</v>
      </c>
      <c r="TW1" s="20" t="s">
        <v>583</v>
      </c>
      <c r="TX1" s="20" t="s">
        <v>584</v>
      </c>
      <c r="TY1" s="20" t="s">
        <v>585</v>
      </c>
      <c r="TZ1" s="20" t="s">
        <v>586</v>
      </c>
      <c r="UA1" s="20" t="s">
        <v>587</v>
      </c>
      <c r="UB1" s="20" t="s">
        <v>588</v>
      </c>
      <c r="UC1" s="20" t="s">
        <v>589</v>
      </c>
      <c r="UD1" s="20" t="s">
        <v>590</v>
      </c>
      <c r="UE1" s="20" t="s">
        <v>591</v>
      </c>
      <c r="UF1" s="20" t="s">
        <v>592</v>
      </c>
      <c r="UG1" s="20" t="s">
        <v>593</v>
      </c>
      <c r="UH1" s="20" t="s">
        <v>594</v>
      </c>
      <c r="UI1" s="20" t="s">
        <v>595</v>
      </c>
      <c r="UJ1" s="20" t="s">
        <v>596</v>
      </c>
      <c r="UK1" s="20" t="s">
        <v>597</v>
      </c>
      <c r="UL1" s="20" t="s">
        <v>598</v>
      </c>
      <c r="UM1" s="20" t="s">
        <v>599</v>
      </c>
      <c r="UN1" s="20" t="s">
        <v>600</v>
      </c>
      <c r="UO1" s="20" t="s">
        <v>601</v>
      </c>
      <c r="UP1" s="20" t="s">
        <v>602</v>
      </c>
      <c r="UQ1" s="20" t="s">
        <v>603</v>
      </c>
      <c r="UR1" s="20" t="s">
        <v>604</v>
      </c>
      <c r="US1" s="20" t="s">
        <v>605</v>
      </c>
      <c r="UT1" s="20" t="s">
        <v>606</v>
      </c>
      <c r="UU1" s="20" t="s">
        <v>607</v>
      </c>
      <c r="UV1" s="20" t="s">
        <v>608</v>
      </c>
      <c r="UW1" s="20" t="s">
        <v>609</v>
      </c>
      <c r="UX1" s="20" t="s">
        <v>610</v>
      </c>
      <c r="UY1" s="20" t="s">
        <v>611</v>
      </c>
      <c r="UZ1" s="20" t="s">
        <v>612</v>
      </c>
      <c r="VA1" s="20" t="s">
        <v>613</v>
      </c>
      <c r="VB1" s="20" t="s">
        <v>614</v>
      </c>
      <c r="VC1" s="20" t="s">
        <v>615</v>
      </c>
      <c r="VD1" s="20" t="s">
        <v>616</v>
      </c>
      <c r="VE1" s="20" t="s">
        <v>617</v>
      </c>
      <c r="VF1" s="20" t="s">
        <v>618</v>
      </c>
      <c r="VG1" s="20" t="s">
        <v>619</v>
      </c>
      <c r="VH1" s="20" t="s">
        <v>620</v>
      </c>
      <c r="VI1" s="20" t="s">
        <v>621</v>
      </c>
      <c r="VJ1" s="20" t="s">
        <v>622</v>
      </c>
      <c r="VK1" s="20" t="s">
        <v>623</v>
      </c>
      <c r="VL1" s="20" t="s">
        <v>624</v>
      </c>
      <c r="VM1" s="20" t="s">
        <v>625</v>
      </c>
      <c r="VN1" s="20" t="s">
        <v>626</v>
      </c>
      <c r="VO1" s="20" t="s">
        <v>627</v>
      </c>
      <c r="VP1" s="20" t="s">
        <v>628</v>
      </c>
      <c r="VQ1" s="20" t="s">
        <v>629</v>
      </c>
      <c r="VR1" s="20" t="s">
        <v>630</v>
      </c>
      <c r="VS1" s="20" t="s">
        <v>631</v>
      </c>
      <c r="VT1" s="20" t="s">
        <v>632</v>
      </c>
      <c r="VU1" s="20" t="s">
        <v>633</v>
      </c>
      <c r="VV1" s="20" t="s">
        <v>634</v>
      </c>
      <c r="VW1" s="20" t="s">
        <v>635</v>
      </c>
      <c r="VX1" s="20" t="s">
        <v>636</v>
      </c>
      <c r="VY1" s="20" t="s">
        <v>637</v>
      </c>
      <c r="VZ1" s="20" t="s">
        <v>638</v>
      </c>
      <c r="WA1" s="20" t="s">
        <v>639</v>
      </c>
      <c r="WB1" s="20" t="s">
        <v>640</v>
      </c>
      <c r="WC1" s="20" t="s">
        <v>641</v>
      </c>
      <c r="WD1" s="20" t="s">
        <v>642</v>
      </c>
      <c r="WE1" s="20" t="s">
        <v>643</v>
      </c>
      <c r="WF1" s="20" t="s">
        <v>644</v>
      </c>
      <c r="WG1" s="20" t="s">
        <v>645</v>
      </c>
      <c r="WH1" s="20" t="s">
        <v>646</v>
      </c>
      <c r="WI1" s="20" t="s">
        <v>647</v>
      </c>
      <c r="WJ1" s="20" t="s">
        <v>648</v>
      </c>
      <c r="WK1" s="20" t="s">
        <v>649</v>
      </c>
      <c r="WL1" s="20" t="s">
        <v>650</v>
      </c>
      <c r="WM1" s="20" t="s">
        <v>651</v>
      </c>
      <c r="WN1" s="20" t="s">
        <v>652</v>
      </c>
      <c r="WO1" s="20" t="s">
        <v>653</v>
      </c>
      <c r="WP1" s="20" t="s">
        <v>654</v>
      </c>
      <c r="WQ1" s="20" t="s">
        <v>655</v>
      </c>
      <c r="WR1" s="20" t="s">
        <v>656</v>
      </c>
      <c r="WS1" s="20" t="s">
        <v>657</v>
      </c>
      <c r="WT1" s="20" t="s">
        <v>658</v>
      </c>
      <c r="WU1" s="20" t="s">
        <v>659</v>
      </c>
      <c r="WV1" s="20" t="s">
        <v>660</v>
      </c>
      <c r="WW1" s="20" t="s">
        <v>661</v>
      </c>
      <c r="WX1" s="20" t="s">
        <v>662</v>
      </c>
      <c r="WY1" s="20" t="s">
        <v>663</v>
      </c>
      <c r="WZ1" s="20" t="s">
        <v>664</v>
      </c>
      <c r="XA1" s="20" t="s">
        <v>665</v>
      </c>
      <c r="XB1" s="20" t="s">
        <v>666</v>
      </c>
      <c r="XC1" s="20" t="s">
        <v>667</v>
      </c>
      <c r="XD1" s="20" t="s">
        <v>668</v>
      </c>
      <c r="XE1" s="20" t="s">
        <v>669</v>
      </c>
      <c r="XF1" s="20" t="s">
        <v>670</v>
      </c>
      <c r="XG1" s="20" t="s">
        <v>671</v>
      </c>
      <c r="XH1" s="20" t="s">
        <v>672</v>
      </c>
      <c r="XI1" s="20" t="s">
        <v>673</v>
      </c>
      <c r="XJ1" s="20" t="s">
        <v>674</v>
      </c>
      <c r="XK1" s="20" t="s">
        <v>675</v>
      </c>
      <c r="XL1" s="20" t="s">
        <v>676</v>
      </c>
      <c r="XM1" s="20" t="s">
        <v>677</v>
      </c>
      <c r="XN1" s="20" t="s">
        <v>678</v>
      </c>
      <c r="XO1" s="20" t="s">
        <v>679</v>
      </c>
      <c r="XP1" s="20" t="s">
        <v>680</v>
      </c>
      <c r="XQ1" s="20" t="s">
        <v>681</v>
      </c>
      <c r="XR1" s="20" t="s">
        <v>682</v>
      </c>
      <c r="XS1" s="20" t="s">
        <v>683</v>
      </c>
      <c r="XT1" s="20" t="s">
        <v>684</v>
      </c>
      <c r="XU1" s="20" t="s">
        <v>685</v>
      </c>
      <c r="XV1" s="20" t="s">
        <v>686</v>
      </c>
      <c r="XW1" s="20" t="s">
        <v>687</v>
      </c>
      <c r="XX1" s="20" t="s">
        <v>688</v>
      </c>
      <c r="XY1" s="20" t="s">
        <v>689</v>
      </c>
    </row>
    <row r="2" spans="1:649" ht="15.75" customHeight="1">
      <c r="A2" s="20">
        <v>0</v>
      </c>
      <c r="B2" s="21">
        <v>45838</v>
      </c>
      <c r="C2" s="20">
        <v>2025</v>
      </c>
      <c r="D2" s="20">
        <v>20250158</v>
      </c>
      <c r="E2" s="20">
        <v>41089</v>
      </c>
      <c r="F2" s="20" t="s">
        <v>690</v>
      </c>
      <c r="G2" s="20">
        <v>39368</v>
      </c>
      <c r="H2" s="20" t="s">
        <v>691</v>
      </c>
      <c r="I2" s="20" t="s">
        <v>692</v>
      </c>
      <c r="J2" s="20" t="s">
        <v>693</v>
      </c>
      <c r="K2" s="20" t="s">
        <v>694</v>
      </c>
      <c r="L2" s="20">
        <v>77002</v>
      </c>
      <c r="M2" s="22">
        <v>45814.732638888891</v>
      </c>
      <c r="N2" s="20" t="s">
        <v>695</v>
      </c>
      <c r="O2" s="20" t="s">
        <v>696</v>
      </c>
      <c r="P2" s="20">
        <v>47.802880000000002</v>
      </c>
      <c r="Q2" s="20">
        <v>-102.8753</v>
      </c>
      <c r="R2" s="20" t="s">
        <v>697</v>
      </c>
      <c r="W2" s="20">
        <v>0.1</v>
      </c>
      <c r="Y2" s="20">
        <v>0.1</v>
      </c>
      <c r="Z2" s="20" t="s">
        <v>698</v>
      </c>
      <c r="AF2" s="20">
        <v>0</v>
      </c>
      <c r="AG2" s="20" t="s">
        <v>698</v>
      </c>
      <c r="AM2" s="20">
        <v>0</v>
      </c>
      <c r="AN2" s="20" t="s">
        <v>699</v>
      </c>
      <c r="AP2" s="20" t="s">
        <v>700</v>
      </c>
      <c r="AQ2" s="23">
        <v>45814.732638888891</v>
      </c>
      <c r="AR2" s="20" t="s">
        <v>701</v>
      </c>
      <c r="AS2" s="20" t="s">
        <v>702</v>
      </c>
      <c r="AT2" s="20" t="s">
        <v>703</v>
      </c>
      <c r="AU2" s="20" t="s">
        <v>696</v>
      </c>
      <c r="AW2" s="23">
        <v>45814.732638888891</v>
      </c>
      <c r="AX2" s="23">
        <v>45815.326388888891</v>
      </c>
      <c r="AZ2" s="20" t="s">
        <v>698</v>
      </c>
      <c r="BC2" s="23">
        <v>45814.732638888891</v>
      </c>
      <c r="BD2" s="23">
        <v>45814.732638888891</v>
      </c>
      <c r="BE2" s="23">
        <v>45814.762499999997</v>
      </c>
      <c r="BF2" s="20">
        <v>1433356</v>
      </c>
      <c r="BG2" s="20">
        <v>1433488</v>
      </c>
      <c r="BH2" s="20" t="s">
        <v>696</v>
      </c>
      <c r="BI2" s="23">
        <v>45814.732638888891</v>
      </c>
      <c r="BJ2" s="20" t="s">
        <v>704</v>
      </c>
      <c r="BL2" s="20">
        <v>0.1</v>
      </c>
      <c r="BM2" s="20" t="s">
        <v>698</v>
      </c>
      <c r="BV2" s="20" t="s">
        <v>696</v>
      </c>
      <c r="BW2" s="23">
        <v>45814.736111111109</v>
      </c>
      <c r="BX2" s="20" t="s">
        <v>698</v>
      </c>
      <c r="CA2" s="20">
        <v>0</v>
      </c>
      <c r="CB2" s="20" t="s">
        <v>705</v>
      </c>
      <c r="CC2" s="20" t="s">
        <v>706</v>
      </c>
      <c r="CD2" s="20" t="s">
        <v>707</v>
      </c>
      <c r="CE2" s="20">
        <v>58847</v>
      </c>
      <c r="CF2" s="20" t="s">
        <v>708</v>
      </c>
      <c r="CG2" s="20" t="s">
        <v>709</v>
      </c>
      <c r="CH2" s="20" t="s">
        <v>710</v>
      </c>
      <c r="CI2" s="20" t="s">
        <v>711</v>
      </c>
      <c r="CJ2" s="20" t="s">
        <v>698</v>
      </c>
      <c r="CK2" s="20" t="s">
        <v>712</v>
      </c>
      <c r="CL2" s="20" t="s">
        <v>713</v>
      </c>
      <c r="CM2" s="20" t="s">
        <v>714</v>
      </c>
      <c r="CP2" s="20" t="s">
        <v>698</v>
      </c>
      <c r="DM2" s="20" t="s">
        <v>715</v>
      </c>
      <c r="DN2" s="20" t="s">
        <v>716</v>
      </c>
      <c r="EQ2" s="20" t="s">
        <v>717</v>
      </c>
      <c r="ES2" s="20" t="s">
        <v>718</v>
      </c>
      <c r="FK2" s="20">
        <v>2018</v>
      </c>
      <c r="FL2" s="20">
        <v>2018</v>
      </c>
      <c r="FM2" s="20" t="s">
        <v>719</v>
      </c>
      <c r="FO2" s="20" t="s">
        <v>720</v>
      </c>
      <c r="FR2" s="20" t="s">
        <v>721</v>
      </c>
      <c r="FY2" s="20" t="s">
        <v>698</v>
      </c>
      <c r="GC2" s="20" t="s">
        <v>698</v>
      </c>
      <c r="GD2" s="20" t="s">
        <v>698</v>
      </c>
      <c r="GE2" s="20" t="s">
        <v>698</v>
      </c>
      <c r="GK2" s="20" t="s">
        <v>698</v>
      </c>
      <c r="GT2" s="20" t="s">
        <v>698</v>
      </c>
      <c r="GU2" s="20" t="s">
        <v>698</v>
      </c>
      <c r="HF2" s="20">
        <v>0</v>
      </c>
      <c r="HG2" s="20">
        <v>5</v>
      </c>
      <c r="HH2" s="20">
        <v>25000</v>
      </c>
      <c r="HI2" s="20">
        <v>100</v>
      </c>
      <c r="HJ2" s="20">
        <v>0</v>
      </c>
      <c r="HK2" s="20">
        <v>0</v>
      </c>
      <c r="HM2" s="20">
        <v>25105</v>
      </c>
      <c r="HN2" s="20">
        <v>0</v>
      </c>
      <c r="HO2" s="20">
        <v>0</v>
      </c>
      <c r="HP2" s="20">
        <v>0</v>
      </c>
      <c r="HQ2" s="20">
        <v>0</v>
      </c>
      <c r="HR2" s="20">
        <v>256</v>
      </c>
      <c r="HS2" s="20">
        <v>740</v>
      </c>
      <c r="HT2" s="20" t="s">
        <v>722</v>
      </c>
      <c r="HV2" s="24">
        <v>42838</v>
      </c>
      <c r="HW2" s="20" t="s">
        <v>698</v>
      </c>
      <c r="HY2" s="20" t="s">
        <v>723</v>
      </c>
      <c r="HZ2" s="20" t="s">
        <v>698</v>
      </c>
      <c r="IS2" s="20" t="s">
        <v>724</v>
      </c>
      <c r="IT2" s="20" t="s">
        <v>696</v>
      </c>
      <c r="IU2" s="20" t="s">
        <v>696</v>
      </c>
      <c r="IV2" s="20" t="s">
        <v>696</v>
      </c>
      <c r="IW2" s="20" t="s">
        <v>696</v>
      </c>
      <c r="IX2" s="20" t="s">
        <v>698</v>
      </c>
      <c r="IY2" s="20" t="s">
        <v>696</v>
      </c>
      <c r="IZ2" s="20" t="s">
        <v>696</v>
      </c>
      <c r="JA2" s="20" t="s">
        <v>696</v>
      </c>
      <c r="JB2" s="20" t="s">
        <v>698</v>
      </c>
      <c r="JC2" s="20" t="s">
        <v>698</v>
      </c>
      <c r="JD2" s="20" t="s">
        <v>725</v>
      </c>
      <c r="JE2" s="20" t="s">
        <v>726</v>
      </c>
      <c r="JR2" s="20" t="s">
        <v>698</v>
      </c>
      <c r="JS2" s="20" t="s">
        <v>698</v>
      </c>
      <c r="JX2" s="20" t="s">
        <v>727</v>
      </c>
      <c r="JY2" s="20" t="s">
        <v>728</v>
      </c>
      <c r="RY2" s="20" t="s">
        <v>728</v>
      </c>
      <c r="SA2" s="20" t="s">
        <v>729</v>
      </c>
      <c r="XL2" s="20" t="s">
        <v>730</v>
      </c>
      <c r="XM2" s="20" t="s">
        <v>731</v>
      </c>
      <c r="XN2" s="20" t="s">
        <v>732</v>
      </c>
      <c r="XO2" s="20" t="s">
        <v>733</v>
      </c>
      <c r="XQ2" s="24">
        <v>45838</v>
      </c>
      <c r="XU2" s="20" t="s">
        <v>730</v>
      </c>
      <c r="XV2" s="20" t="s">
        <v>733</v>
      </c>
      <c r="XW2" s="20" t="s">
        <v>731</v>
      </c>
      <c r="XX2" s="20" t="s">
        <v>732</v>
      </c>
      <c r="XY2" s="20" t="s">
        <v>734</v>
      </c>
    </row>
    <row r="3" spans="1:649" ht="15.75" customHeight="1">
      <c r="A3" s="20">
        <v>5</v>
      </c>
      <c r="B3" s="21">
        <v>45824</v>
      </c>
      <c r="C3" s="20">
        <v>2025</v>
      </c>
      <c r="D3" s="20">
        <v>20250148</v>
      </c>
      <c r="E3" s="20">
        <v>41029</v>
      </c>
      <c r="F3" s="20" t="s">
        <v>690</v>
      </c>
      <c r="G3" s="20">
        <v>31476</v>
      </c>
      <c r="H3" s="20" t="s">
        <v>735</v>
      </c>
      <c r="I3" s="20" t="s">
        <v>692</v>
      </c>
      <c r="J3" s="20" t="s">
        <v>693</v>
      </c>
      <c r="K3" s="20" t="s">
        <v>694</v>
      </c>
      <c r="L3" s="20">
        <v>77002</v>
      </c>
      <c r="M3" s="22">
        <v>45800.635416666664</v>
      </c>
      <c r="N3" s="20" t="s">
        <v>695</v>
      </c>
      <c r="O3" s="20" t="s">
        <v>696</v>
      </c>
      <c r="P3" s="20">
        <v>36.017499999999998</v>
      </c>
      <c r="Q3" s="20">
        <v>-96.753889000000001</v>
      </c>
      <c r="R3" s="20" t="s">
        <v>697</v>
      </c>
      <c r="W3" s="20">
        <v>80</v>
      </c>
      <c r="Y3" s="20">
        <v>80</v>
      </c>
      <c r="Z3" s="20" t="s">
        <v>698</v>
      </c>
      <c r="AF3" s="20">
        <v>0</v>
      </c>
      <c r="AG3" s="20" t="s">
        <v>698</v>
      </c>
      <c r="AM3" s="20">
        <v>0</v>
      </c>
      <c r="AN3" s="20" t="s">
        <v>699</v>
      </c>
      <c r="AP3" s="20" t="s">
        <v>700</v>
      </c>
      <c r="AQ3" s="23">
        <v>45800.635416666664</v>
      </c>
      <c r="AR3" s="20" t="s">
        <v>736</v>
      </c>
      <c r="AS3" s="20" t="s">
        <v>702</v>
      </c>
      <c r="AT3" s="20" t="s">
        <v>703</v>
      </c>
      <c r="AU3" s="20" t="s">
        <v>696</v>
      </c>
      <c r="AW3" s="23">
        <v>45800.635416666664</v>
      </c>
      <c r="AY3" s="20" t="s">
        <v>696</v>
      </c>
      <c r="AZ3" s="20" t="s">
        <v>698</v>
      </c>
      <c r="BC3" s="23">
        <v>45800.635416666664</v>
      </c>
      <c r="BD3" s="23">
        <v>45800.635416666664</v>
      </c>
      <c r="BE3" s="23">
        <v>45800.664583333331</v>
      </c>
      <c r="BF3" s="20">
        <v>1432002</v>
      </c>
      <c r="BG3" s="20">
        <v>1432157</v>
      </c>
      <c r="BH3" s="20" t="s">
        <v>698</v>
      </c>
      <c r="BV3" s="20" t="s">
        <v>696</v>
      </c>
      <c r="BW3" s="23">
        <v>45800.635416666664</v>
      </c>
      <c r="BX3" s="20" t="s">
        <v>696</v>
      </c>
      <c r="BY3" s="23">
        <v>45800.638888888891</v>
      </c>
      <c r="BZ3" s="23">
        <v>45800.704861111109</v>
      </c>
      <c r="CA3" s="20">
        <v>0</v>
      </c>
      <c r="CB3" s="20" t="s">
        <v>737</v>
      </c>
      <c r="CC3" s="20" t="s">
        <v>738</v>
      </c>
      <c r="CD3" s="20" t="s">
        <v>739</v>
      </c>
      <c r="CE3" s="20">
        <v>74023</v>
      </c>
      <c r="CF3" s="20" t="s">
        <v>708</v>
      </c>
      <c r="CG3" s="20" t="s">
        <v>740</v>
      </c>
      <c r="CH3" s="20" t="s">
        <v>710</v>
      </c>
      <c r="CI3" s="20" t="s">
        <v>711</v>
      </c>
      <c r="CJ3" s="20" t="s">
        <v>698</v>
      </c>
      <c r="CK3" s="20" t="s">
        <v>712</v>
      </c>
      <c r="CL3" s="20" t="s">
        <v>741</v>
      </c>
      <c r="CM3" s="20" t="s">
        <v>742</v>
      </c>
      <c r="CO3" s="20">
        <v>42</v>
      </c>
      <c r="CP3" s="20" t="s">
        <v>698</v>
      </c>
      <c r="DM3" s="20" t="s">
        <v>743</v>
      </c>
      <c r="DN3" s="20" t="s">
        <v>744</v>
      </c>
      <c r="DO3" s="20" t="s">
        <v>745</v>
      </c>
      <c r="DP3" s="20" t="s">
        <v>698</v>
      </c>
      <c r="DQ3" s="20">
        <v>8</v>
      </c>
      <c r="DR3" s="20">
        <v>0.312</v>
      </c>
      <c r="DS3" s="20">
        <v>35000</v>
      </c>
      <c r="DT3" s="20" t="s">
        <v>746</v>
      </c>
      <c r="DU3" s="20" t="s">
        <v>747</v>
      </c>
      <c r="DW3" s="20" t="s">
        <v>728</v>
      </c>
      <c r="DX3" s="20" t="s">
        <v>748</v>
      </c>
      <c r="DZ3" s="20" t="s">
        <v>698</v>
      </c>
      <c r="FK3" s="20" t="s">
        <v>728</v>
      </c>
      <c r="FL3" s="20" t="s">
        <v>728</v>
      </c>
      <c r="FM3" s="20" t="s">
        <v>719</v>
      </c>
      <c r="FO3" s="20" t="s">
        <v>720</v>
      </c>
      <c r="FR3" s="20" t="s">
        <v>749</v>
      </c>
      <c r="FY3" s="20" t="s">
        <v>698</v>
      </c>
      <c r="GC3" s="20" t="s">
        <v>696</v>
      </c>
      <c r="GD3" s="20" t="s">
        <v>698</v>
      </c>
      <c r="GE3" s="20" t="s">
        <v>696</v>
      </c>
      <c r="GH3" s="20" t="s">
        <v>696</v>
      </c>
      <c r="GK3" s="20" t="s">
        <v>698</v>
      </c>
      <c r="GT3" s="20" t="s">
        <v>698</v>
      </c>
      <c r="GU3" s="20" t="s">
        <v>698</v>
      </c>
      <c r="HF3" s="20">
        <v>0</v>
      </c>
      <c r="HG3" s="20">
        <v>50</v>
      </c>
      <c r="HH3" s="20">
        <v>5000</v>
      </c>
      <c r="HI3" s="20">
        <v>60000</v>
      </c>
      <c r="HJ3" s="20">
        <v>30000</v>
      </c>
      <c r="HK3" s="20">
        <v>0</v>
      </c>
      <c r="HM3" s="20">
        <v>95050</v>
      </c>
      <c r="HN3" s="20">
        <v>0</v>
      </c>
      <c r="HO3" s="20">
        <v>0</v>
      </c>
      <c r="HP3" s="20">
        <v>0</v>
      </c>
      <c r="HQ3" s="20">
        <v>0</v>
      </c>
      <c r="HR3" s="20">
        <v>117</v>
      </c>
      <c r="HS3" s="20">
        <v>285</v>
      </c>
      <c r="HT3" s="20" t="s">
        <v>750</v>
      </c>
      <c r="HV3" s="24">
        <v>42736</v>
      </c>
      <c r="HW3" s="20" t="s">
        <v>698</v>
      </c>
      <c r="HY3" s="20" t="s">
        <v>723</v>
      </c>
      <c r="HZ3" s="20" t="s">
        <v>698</v>
      </c>
      <c r="IS3" s="20" t="s">
        <v>724</v>
      </c>
      <c r="IT3" s="20" t="s">
        <v>696</v>
      </c>
      <c r="IU3" s="20" t="s">
        <v>696</v>
      </c>
      <c r="IV3" s="20" t="s">
        <v>696</v>
      </c>
      <c r="IW3" s="20" t="s">
        <v>698</v>
      </c>
      <c r="IX3" s="20" t="s">
        <v>698</v>
      </c>
      <c r="IY3" s="20" t="s">
        <v>698</v>
      </c>
      <c r="JD3" s="20" t="s">
        <v>725</v>
      </c>
      <c r="JE3" s="20" t="s">
        <v>726</v>
      </c>
      <c r="JR3" s="20" t="s">
        <v>698</v>
      </c>
      <c r="JS3" s="20" t="s">
        <v>698</v>
      </c>
      <c r="JX3" s="20" t="s">
        <v>727</v>
      </c>
      <c r="JY3" s="20" t="s">
        <v>728</v>
      </c>
      <c r="RY3" s="20" t="s">
        <v>728</v>
      </c>
      <c r="SA3" s="20" t="s">
        <v>729</v>
      </c>
      <c r="XL3" s="20" t="s">
        <v>730</v>
      </c>
      <c r="XM3" s="20" t="s">
        <v>731</v>
      </c>
      <c r="XN3" s="20" t="s">
        <v>732</v>
      </c>
      <c r="XO3" s="20" t="s">
        <v>733</v>
      </c>
      <c r="XQ3" s="24">
        <v>45824</v>
      </c>
      <c r="XU3" s="20" t="s">
        <v>730</v>
      </c>
      <c r="XV3" s="20" t="s">
        <v>733</v>
      </c>
      <c r="XW3" s="20" t="s">
        <v>731</v>
      </c>
      <c r="XX3" s="20" t="s">
        <v>732</v>
      </c>
      <c r="XY3" s="20" t="s">
        <v>751</v>
      </c>
    </row>
    <row r="4" spans="1:649" ht="15.75" customHeight="1">
      <c r="A4" s="20">
        <v>7</v>
      </c>
      <c r="B4" s="21">
        <v>45826</v>
      </c>
      <c r="C4" s="20">
        <v>2025</v>
      </c>
      <c r="D4" s="20">
        <v>20250151</v>
      </c>
      <c r="E4" s="20">
        <v>41054</v>
      </c>
      <c r="F4" s="20" t="s">
        <v>690</v>
      </c>
      <c r="G4" s="20">
        <v>32099</v>
      </c>
      <c r="H4" s="20" t="s">
        <v>752</v>
      </c>
      <c r="I4" s="20" t="s">
        <v>692</v>
      </c>
      <c r="J4" s="20" t="s">
        <v>693</v>
      </c>
      <c r="K4" s="20" t="s">
        <v>694</v>
      </c>
      <c r="L4" s="20">
        <v>77002</v>
      </c>
      <c r="M4" s="22">
        <v>45800.331944444442</v>
      </c>
      <c r="N4" s="20" t="s">
        <v>695</v>
      </c>
      <c r="O4" s="20" t="s">
        <v>696</v>
      </c>
      <c r="P4" s="20">
        <v>32.009590000000003</v>
      </c>
      <c r="Q4" s="20">
        <v>-102.03685</v>
      </c>
      <c r="R4" s="20" t="s">
        <v>697</v>
      </c>
      <c r="W4" s="20">
        <v>1</v>
      </c>
      <c r="Y4" s="20">
        <v>1</v>
      </c>
      <c r="Z4" s="20" t="s">
        <v>698</v>
      </c>
      <c r="AF4" s="20">
        <v>0</v>
      </c>
      <c r="AG4" s="20" t="s">
        <v>698</v>
      </c>
      <c r="AM4" s="20">
        <v>0</v>
      </c>
      <c r="AN4" s="20" t="s">
        <v>699</v>
      </c>
      <c r="AP4" s="20" t="s">
        <v>700</v>
      </c>
      <c r="AQ4" s="23">
        <v>45800.331944444442</v>
      </c>
      <c r="AR4" s="20" t="s">
        <v>736</v>
      </c>
      <c r="AS4" s="20" t="s">
        <v>702</v>
      </c>
      <c r="AT4" s="20" t="s">
        <v>703</v>
      </c>
      <c r="AU4" s="20" t="s">
        <v>696</v>
      </c>
      <c r="AW4" s="23">
        <v>45800.336805555555</v>
      </c>
      <c r="AX4" s="23">
        <v>45800.625694444447</v>
      </c>
      <c r="AZ4" s="20" t="s">
        <v>696</v>
      </c>
      <c r="BA4" s="20" t="s">
        <v>753</v>
      </c>
      <c r="BB4" s="23">
        <v>45800.383333333331</v>
      </c>
      <c r="BC4" s="23">
        <v>45800.335416666669</v>
      </c>
      <c r="BD4" s="23">
        <v>45800.347222222219</v>
      </c>
      <c r="BF4" s="20" t="s">
        <v>754</v>
      </c>
      <c r="BH4" s="20" t="s">
        <v>698</v>
      </c>
      <c r="BV4" s="20" t="s">
        <v>698</v>
      </c>
      <c r="BX4" s="20" t="s">
        <v>698</v>
      </c>
      <c r="CA4" s="20">
        <v>0</v>
      </c>
      <c r="CB4" s="20" t="s">
        <v>755</v>
      </c>
      <c r="CC4" s="20" t="s">
        <v>756</v>
      </c>
      <c r="CD4" s="20" t="s">
        <v>694</v>
      </c>
      <c r="CE4" s="20">
        <v>79706</v>
      </c>
      <c r="CF4" s="20" t="s">
        <v>708</v>
      </c>
      <c r="CG4" s="20" t="s">
        <v>757</v>
      </c>
      <c r="CH4" s="20" t="s">
        <v>710</v>
      </c>
      <c r="CI4" s="20" t="s">
        <v>711</v>
      </c>
      <c r="CJ4" s="20" t="s">
        <v>698</v>
      </c>
      <c r="CK4" s="20" t="s">
        <v>712</v>
      </c>
      <c r="CL4" s="20" t="s">
        <v>713</v>
      </c>
      <c r="CM4" s="20" t="s">
        <v>758</v>
      </c>
      <c r="CP4" s="20" t="s">
        <v>698</v>
      </c>
      <c r="DM4" s="20" t="s">
        <v>715</v>
      </c>
      <c r="DN4" s="20" t="s">
        <v>759</v>
      </c>
      <c r="FK4" s="20">
        <v>2012</v>
      </c>
      <c r="FL4" s="20">
        <v>2012</v>
      </c>
      <c r="FM4" s="20" t="s">
        <v>719</v>
      </c>
      <c r="FO4" s="20" t="s">
        <v>720</v>
      </c>
      <c r="FR4" s="20" t="s">
        <v>721</v>
      </c>
      <c r="FY4" s="20" t="s">
        <v>698</v>
      </c>
      <c r="GC4" s="20" t="s">
        <v>696</v>
      </c>
      <c r="GD4" s="20" t="s">
        <v>698</v>
      </c>
      <c r="GE4" s="20" t="s">
        <v>696</v>
      </c>
      <c r="GH4" s="20" t="s">
        <v>696</v>
      </c>
      <c r="GK4" s="20" t="s">
        <v>698</v>
      </c>
      <c r="GT4" s="20" t="s">
        <v>698</v>
      </c>
      <c r="GU4" s="20" t="s">
        <v>698</v>
      </c>
      <c r="HF4" s="20">
        <v>0</v>
      </c>
      <c r="HG4" s="20">
        <v>33</v>
      </c>
      <c r="HH4" s="20">
        <v>0</v>
      </c>
      <c r="HI4" s="20">
        <v>1955</v>
      </c>
      <c r="HJ4" s="20">
        <v>183</v>
      </c>
      <c r="HK4" s="20">
        <v>0</v>
      </c>
      <c r="HM4" s="20">
        <v>2171</v>
      </c>
      <c r="HN4" s="20">
        <v>0</v>
      </c>
      <c r="HO4" s="20">
        <v>0</v>
      </c>
      <c r="HP4" s="20">
        <v>0</v>
      </c>
      <c r="HQ4" s="20">
        <v>0</v>
      </c>
      <c r="HR4" s="20">
        <v>420</v>
      </c>
      <c r="HS4" s="20">
        <v>285</v>
      </c>
      <c r="HT4" s="20" t="s">
        <v>750</v>
      </c>
      <c r="HV4" s="24">
        <v>41030</v>
      </c>
      <c r="HW4" s="20" t="s">
        <v>698</v>
      </c>
      <c r="HY4" s="20" t="s">
        <v>760</v>
      </c>
      <c r="HZ4" s="20" t="s">
        <v>698</v>
      </c>
      <c r="IS4" s="20" t="s">
        <v>724</v>
      </c>
      <c r="IT4" s="20" t="s">
        <v>696</v>
      </c>
      <c r="IU4" s="20" t="s">
        <v>696</v>
      </c>
      <c r="IV4" s="20" t="s">
        <v>696</v>
      </c>
      <c r="IW4" s="20" t="s">
        <v>698</v>
      </c>
      <c r="IX4" s="20" t="s">
        <v>698</v>
      </c>
      <c r="IY4" s="20" t="s">
        <v>698</v>
      </c>
      <c r="JD4" s="20" t="s">
        <v>725</v>
      </c>
      <c r="JE4" s="20" t="s">
        <v>726</v>
      </c>
      <c r="JR4" s="20" t="s">
        <v>696</v>
      </c>
      <c r="JS4" s="20" t="s">
        <v>698</v>
      </c>
      <c r="JT4" s="20">
        <v>1</v>
      </c>
      <c r="JU4" s="20">
        <v>0</v>
      </c>
      <c r="JX4" s="20" t="s">
        <v>727</v>
      </c>
      <c r="JY4" s="20" t="s">
        <v>728</v>
      </c>
      <c r="RY4" s="20" t="s">
        <v>728</v>
      </c>
      <c r="SA4" s="20" t="s">
        <v>729</v>
      </c>
      <c r="XL4" s="20" t="s">
        <v>730</v>
      </c>
      <c r="XM4" s="20" t="s">
        <v>731</v>
      </c>
      <c r="XN4" s="20" t="s">
        <v>732</v>
      </c>
      <c r="XO4" s="20" t="s">
        <v>733</v>
      </c>
      <c r="XQ4" s="24">
        <v>45826</v>
      </c>
      <c r="XU4" s="20" t="s">
        <v>730</v>
      </c>
      <c r="XV4" s="20" t="s">
        <v>733</v>
      </c>
      <c r="XW4" s="20" t="s">
        <v>731</v>
      </c>
      <c r="XX4" s="20" t="s">
        <v>732</v>
      </c>
      <c r="XY4" s="20" t="s">
        <v>761</v>
      </c>
    </row>
    <row r="5" spans="1:649" ht="15.75" customHeight="1">
      <c r="A5" s="20">
        <v>10</v>
      </c>
      <c r="B5" s="21">
        <v>45824</v>
      </c>
      <c r="C5" s="20">
        <v>2025</v>
      </c>
      <c r="D5" s="20">
        <v>20250147</v>
      </c>
      <c r="E5" s="20">
        <v>41028</v>
      </c>
      <c r="F5" s="20" t="s">
        <v>690</v>
      </c>
      <c r="G5" s="20">
        <v>32099</v>
      </c>
      <c r="H5" s="20" t="s">
        <v>752</v>
      </c>
      <c r="I5" s="20" t="s">
        <v>692</v>
      </c>
      <c r="J5" s="20" t="s">
        <v>693</v>
      </c>
      <c r="K5" s="20" t="s">
        <v>694</v>
      </c>
      <c r="L5" s="20">
        <v>77002</v>
      </c>
      <c r="M5" s="22">
        <v>45797.432638888888</v>
      </c>
      <c r="N5" s="20" t="s">
        <v>695</v>
      </c>
      <c r="O5" s="20" t="s">
        <v>696</v>
      </c>
      <c r="P5" s="20">
        <v>32.306600000000003</v>
      </c>
      <c r="Q5" s="20">
        <v>-101.89709999999999</v>
      </c>
      <c r="R5" s="20" t="s">
        <v>697</v>
      </c>
      <c r="W5" s="20">
        <v>1</v>
      </c>
      <c r="Y5" s="20">
        <v>1</v>
      </c>
      <c r="Z5" s="20" t="s">
        <v>698</v>
      </c>
      <c r="AF5" s="20">
        <v>0</v>
      </c>
      <c r="AG5" s="20" t="s">
        <v>698</v>
      </c>
      <c r="AM5" s="20">
        <v>0</v>
      </c>
      <c r="AN5" s="20" t="s">
        <v>699</v>
      </c>
      <c r="AP5" s="20" t="s">
        <v>700</v>
      </c>
      <c r="AQ5" s="23">
        <v>45797.432638888888</v>
      </c>
      <c r="AR5" s="20" t="s">
        <v>701</v>
      </c>
      <c r="AS5" s="20" t="s">
        <v>702</v>
      </c>
      <c r="AT5" s="20" t="s">
        <v>703</v>
      </c>
      <c r="AU5" s="20" t="s">
        <v>698</v>
      </c>
      <c r="AV5" s="20" t="s">
        <v>762</v>
      </c>
      <c r="AZ5" s="20" t="s">
        <v>696</v>
      </c>
      <c r="BA5" s="20" t="s">
        <v>753</v>
      </c>
      <c r="BB5" s="23">
        <v>45800.361111111109</v>
      </c>
      <c r="BC5" s="23">
        <v>45797.432638888888</v>
      </c>
      <c r="BD5" s="23">
        <v>45797.432638888888</v>
      </c>
      <c r="BF5" s="20" t="s">
        <v>754</v>
      </c>
      <c r="BH5" s="20" t="s">
        <v>698</v>
      </c>
      <c r="BV5" s="20" t="s">
        <v>698</v>
      </c>
      <c r="BX5" s="20" t="s">
        <v>698</v>
      </c>
      <c r="CA5" s="20">
        <v>0</v>
      </c>
      <c r="CB5" s="20" t="s">
        <v>763</v>
      </c>
      <c r="CC5" s="20" t="s">
        <v>764</v>
      </c>
      <c r="CD5" s="20" t="s">
        <v>694</v>
      </c>
      <c r="CE5" s="20">
        <v>79783</v>
      </c>
      <c r="CF5" s="20" t="s">
        <v>708</v>
      </c>
      <c r="CG5" s="20" t="s">
        <v>765</v>
      </c>
      <c r="CH5" s="20" t="s">
        <v>710</v>
      </c>
      <c r="CI5" s="20" t="s">
        <v>711</v>
      </c>
      <c r="CJ5" s="20" t="s">
        <v>698</v>
      </c>
      <c r="CK5" s="20" t="s">
        <v>712</v>
      </c>
      <c r="CL5" s="20" t="s">
        <v>713</v>
      </c>
      <c r="CM5" s="20" t="s">
        <v>758</v>
      </c>
      <c r="CP5" s="20" t="s">
        <v>698</v>
      </c>
      <c r="DM5" s="20" t="s">
        <v>715</v>
      </c>
      <c r="DN5" s="20" t="s">
        <v>766</v>
      </c>
      <c r="FJ5" s="20" t="s">
        <v>767</v>
      </c>
      <c r="FK5" s="20">
        <v>2013</v>
      </c>
      <c r="FL5" s="20" t="s">
        <v>728</v>
      </c>
      <c r="FM5" s="20" t="s">
        <v>719</v>
      </c>
      <c r="FO5" s="20" t="s">
        <v>720</v>
      </c>
      <c r="FR5" s="20" t="s">
        <v>768</v>
      </c>
      <c r="FY5" s="20" t="s">
        <v>698</v>
      </c>
      <c r="GC5" s="20" t="s">
        <v>696</v>
      </c>
      <c r="GD5" s="20" t="s">
        <v>698</v>
      </c>
      <c r="GE5" s="20" t="s">
        <v>696</v>
      </c>
      <c r="GH5" s="20" t="s">
        <v>696</v>
      </c>
      <c r="GK5" s="20" t="s">
        <v>698</v>
      </c>
      <c r="GT5" s="20" t="s">
        <v>698</v>
      </c>
      <c r="GU5" s="20" t="s">
        <v>698</v>
      </c>
      <c r="HF5" s="20">
        <v>0</v>
      </c>
      <c r="HG5" s="20">
        <v>80</v>
      </c>
      <c r="HH5" s="20">
        <v>3500</v>
      </c>
      <c r="HI5" s="20">
        <v>180</v>
      </c>
      <c r="HJ5" s="20">
        <v>1000</v>
      </c>
      <c r="HK5" s="20">
        <v>0</v>
      </c>
      <c r="HM5" s="20">
        <v>4760</v>
      </c>
      <c r="HN5" s="20">
        <v>0</v>
      </c>
      <c r="HO5" s="20">
        <v>0</v>
      </c>
      <c r="HP5" s="20">
        <v>0</v>
      </c>
      <c r="HQ5" s="20">
        <v>0</v>
      </c>
      <c r="HR5" s="20">
        <v>325</v>
      </c>
      <c r="HS5" s="20">
        <v>1480</v>
      </c>
      <c r="HT5" s="20" t="s">
        <v>750</v>
      </c>
      <c r="HV5" s="24">
        <v>41548</v>
      </c>
      <c r="HW5" s="20" t="s">
        <v>698</v>
      </c>
      <c r="HY5" s="20" t="s">
        <v>723</v>
      </c>
      <c r="HZ5" s="20" t="s">
        <v>698</v>
      </c>
      <c r="IS5" s="20" t="s">
        <v>724</v>
      </c>
      <c r="IT5" s="20" t="s">
        <v>696</v>
      </c>
      <c r="IU5" s="20" t="s">
        <v>696</v>
      </c>
      <c r="IV5" s="20" t="s">
        <v>696</v>
      </c>
      <c r="IW5" s="20" t="s">
        <v>698</v>
      </c>
      <c r="IX5" s="20" t="s">
        <v>698</v>
      </c>
      <c r="IY5" s="20" t="s">
        <v>696</v>
      </c>
      <c r="IZ5" s="20" t="s">
        <v>696</v>
      </c>
      <c r="JA5" s="20" t="s">
        <v>696</v>
      </c>
      <c r="JB5" s="20" t="s">
        <v>698</v>
      </c>
      <c r="JC5" s="20" t="s">
        <v>698</v>
      </c>
      <c r="JD5" s="20" t="s">
        <v>725</v>
      </c>
      <c r="JE5" s="20" t="s">
        <v>726</v>
      </c>
      <c r="JR5" s="20" t="s">
        <v>698</v>
      </c>
      <c r="JS5" s="20" t="s">
        <v>698</v>
      </c>
      <c r="JX5" s="20" t="s">
        <v>727</v>
      </c>
      <c r="JY5" s="20" t="s">
        <v>728</v>
      </c>
      <c r="RY5" s="20" t="s">
        <v>728</v>
      </c>
      <c r="SA5" s="20" t="s">
        <v>729</v>
      </c>
      <c r="XL5" s="20" t="s">
        <v>730</v>
      </c>
      <c r="XM5" s="20" t="s">
        <v>731</v>
      </c>
      <c r="XN5" s="20" t="s">
        <v>732</v>
      </c>
      <c r="XO5" s="20" t="s">
        <v>733</v>
      </c>
      <c r="XQ5" s="24">
        <v>45824</v>
      </c>
      <c r="XU5" s="20" t="s">
        <v>730</v>
      </c>
      <c r="XV5" s="20" t="s">
        <v>733</v>
      </c>
      <c r="XW5" s="20" t="s">
        <v>731</v>
      </c>
      <c r="XX5" s="20" t="s">
        <v>732</v>
      </c>
      <c r="XY5" s="20" t="s">
        <v>769</v>
      </c>
    </row>
    <row r="6" spans="1:649" ht="15.75" customHeight="1">
      <c r="A6" s="20">
        <v>18</v>
      </c>
      <c r="B6" s="21">
        <v>45793</v>
      </c>
      <c r="C6" s="20">
        <v>2025</v>
      </c>
      <c r="D6" s="20">
        <v>20250124</v>
      </c>
      <c r="E6" s="20">
        <v>40896</v>
      </c>
      <c r="F6" s="20" t="s">
        <v>690</v>
      </c>
      <c r="G6" s="20">
        <v>10012</v>
      </c>
      <c r="H6" s="20" t="s">
        <v>770</v>
      </c>
      <c r="I6" s="20" t="s">
        <v>771</v>
      </c>
      <c r="J6" s="20" t="s">
        <v>772</v>
      </c>
      <c r="K6" s="20" t="s">
        <v>694</v>
      </c>
      <c r="L6" s="20">
        <v>75225</v>
      </c>
      <c r="M6" s="22">
        <v>45785.897222222222</v>
      </c>
      <c r="N6" s="20" t="s">
        <v>695</v>
      </c>
      <c r="O6" s="20" t="s">
        <v>696</v>
      </c>
      <c r="P6" s="20">
        <v>35.024799999999999</v>
      </c>
      <c r="Q6" s="20">
        <v>-91.932100000000005</v>
      </c>
      <c r="R6" s="20" t="s">
        <v>773</v>
      </c>
      <c r="S6" s="20" t="s">
        <v>774</v>
      </c>
      <c r="W6" s="20">
        <v>1</v>
      </c>
      <c r="X6" s="20">
        <v>0</v>
      </c>
      <c r="Y6" s="20">
        <v>0</v>
      </c>
      <c r="Z6" s="20" t="s">
        <v>698</v>
      </c>
      <c r="AF6" s="20">
        <v>0</v>
      </c>
      <c r="AG6" s="20" t="s">
        <v>698</v>
      </c>
      <c r="AM6" s="20">
        <v>0</v>
      </c>
      <c r="AN6" s="20" t="s">
        <v>775</v>
      </c>
      <c r="AQ6" s="23">
        <v>45785.897222222222</v>
      </c>
      <c r="AR6" s="20" t="s">
        <v>776</v>
      </c>
      <c r="AS6" s="20" t="s">
        <v>702</v>
      </c>
      <c r="AT6" s="20" t="s">
        <v>703</v>
      </c>
      <c r="AU6" s="20" t="s">
        <v>696</v>
      </c>
      <c r="AW6" s="23">
        <v>45785.927083333336</v>
      </c>
      <c r="AX6" s="23">
        <v>45786.78125</v>
      </c>
      <c r="AZ6" s="20" t="s">
        <v>698</v>
      </c>
      <c r="BC6" s="23">
        <v>45785.878472222219</v>
      </c>
      <c r="BD6" s="23">
        <v>45785.897222222222</v>
      </c>
      <c r="BE6" s="23">
        <v>45785.929861111108</v>
      </c>
      <c r="BF6" s="20">
        <v>1430608</v>
      </c>
      <c r="BG6" s="20" t="s">
        <v>698</v>
      </c>
      <c r="BH6" s="20" t="s">
        <v>698</v>
      </c>
      <c r="BN6" s="20" t="s">
        <v>777</v>
      </c>
      <c r="BP6" s="23">
        <v>45785.98541666667</v>
      </c>
      <c r="BQ6" s="20" t="s">
        <v>778</v>
      </c>
      <c r="BR6" s="20" t="s">
        <v>777</v>
      </c>
      <c r="BT6" s="23">
        <v>45785.986805555556</v>
      </c>
      <c r="BU6" s="20" t="s">
        <v>779</v>
      </c>
      <c r="CA6" s="20">
        <v>0</v>
      </c>
      <c r="CB6" s="20" t="s">
        <v>780</v>
      </c>
      <c r="CC6" s="20" t="s">
        <v>781</v>
      </c>
      <c r="CD6" s="20" t="s">
        <v>782</v>
      </c>
      <c r="CE6" s="20">
        <v>72176</v>
      </c>
      <c r="CF6" s="20" t="s">
        <v>708</v>
      </c>
      <c r="CG6" s="20" t="s">
        <v>783</v>
      </c>
      <c r="CH6" s="20" t="s">
        <v>784</v>
      </c>
      <c r="CI6" s="20">
        <v>146</v>
      </c>
      <c r="CJ6" s="20" t="s">
        <v>698</v>
      </c>
      <c r="CK6" s="20" t="s">
        <v>785</v>
      </c>
      <c r="CL6" s="20" t="s">
        <v>741</v>
      </c>
      <c r="CM6" s="20" t="s">
        <v>742</v>
      </c>
      <c r="CO6" s="20">
        <v>48</v>
      </c>
      <c r="CP6" s="20" t="s">
        <v>698</v>
      </c>
      <c r="DM6" s="20" t="s">
        <v>743</v>
      </c>
      <c r="DN6" s="20" t="s">
        <v>786</v>
      </c>
      <c r="FK6" s="20">
        <v>1997</v>
      </c>
      <c r="FL6" s="20" t="s">
        <v>728</v>
      </c>
      <c r="FM6" s="20" t="s">
        <v>719</v>
      </c>
      <c r="FO6" s="20" t="s">
        <v>720</v>
      </c>
      <c r="FR6" s="20" t="s">
        <v>768</v>
      </c>
      <c r="FY6" s="20" t="s">
        <v>698</v>
      </c>
      <c r="GC6" s="20" t="s">
        <v>698</v>
      </c>
      <c r="GD6" s="20" t="s">
        <v>698</v>
      </c>
      <c r="GE6" s="20" t="s">
        <v>698</v>
      </c>
      <c r="GK6" s="20" t="s">
        <v>698</v>
      </c>
      <c r="GT6" s="20" t="s">
        <v>696</v>
      </c>
      <c r="GU6" s="20" t="s">
        <v>696</v>
      </c>
      <c r="GZ6" s="20" t="s">
        <v>696</v>
      </c>
      <c r="HA6" s="20" t="s">
        <v>696</v>
      </c>
      <c r="HD6" s="20" t="s">
        <v>696</v>
      </c>
      <c r="HE6" s="20" t="s">
        <v>696</v>
      </c>
      <c r="HF6" s="20">
        <v>0</v>
      </c>
      <c r="HG6" s="20">
        <v>60</v>
      </c>
      <c r="HH6" s="20">
        <v>10000</v>
      </c>
      <c r="HI6" s="20">
        <v>0</v>
      </c>
      <c r="HJ6" s="20">
        <v>0</v>
      </c>
      <c r="HK6" s="20">
        <v>0</v>
      </c>
      <c r="HM6" s="20">
        <v>10060</v>
      </c>
      <c r="HN6" s="20">
        <v>0</v>
      </c>
      <c r="HO6" s="20">
        <v>0</v>
      </c>
      <c r="HP6" s="20">
        <v>0</v>
      </c>
      <c r="HQ6" s="20">
        <v>0</v>
      </c>
      <c r="HR6" s="20">
        <v>700</v>
      </c>
      <c r="HS6" s="20">
        <v>1340</v>
      </c>
      <c r="HT6" s="20" t="s">
        <v>787</v>
      </c>
      <c r="HV6" s="24">
        <v>25305</v>
      </c>
      <c r="HW6" s="20" t="s">
        <v>698</v>
      </c>
      <c r="HY6" s="20" t="s">
        <v>723</v>
      </c>
      <c r="HZ6" s="20" t="s">
        <v>698</v>
      </c>
      <c r="IC6" s="20">
        <v>36700</v>
      </c>
      <c r="ID6" s="20" t="s">
        <v>696</v>
      </c>
      <c r="IL6" s="20" t="s">
        <v>698</v>
      </c>
      <c r="IS6" s="20" t="s">
        <v>724</v>
      </c>
      <c r="IT6" s="20" t="s">
        <v>696</v>
      </c>
      <c r="IU6" s="20" t="s">
        <v>696</v>
      </c>
      <c r="IV6" s="20" t="s">
        <v>696</v>
      </c>
      <c r="IW6" s="20" t="s">
        <v>698</v>
      </c>
      <c r="IX6" s="20" t="s">
        <v>698</v>
      </c>
      <c r="IY6" s="20" t="s">
        <v>696</v>
      </c>
      <c r="IZ6" s="20" t="s">
        <v>696</v>
      </c>
      <c r="JA6" s="20" t="s">
        <v>696</v>
      </c>
      <c r="JB6" s="20" t="s">
        <v>698</v>
      </c>
      <c r="JC6" s="20" t="s">
        <v>698</v>
      </c>
      <c r="JD6" s="20" t="s">
        <v>725</v>
      </c>
      <c r="JE6" s="20" t="s">
        <v>788</v>
      </c>
      <c r="JR6" s="20" t="s">
        <v>698</v>
      </c>
      <c r="JS6" s="20" t="s">
        <v>698</v>
      </c>
      <c r="JX6" s="20" t="s">
        <v>789</v>
      </c>
      <c r="JY6" s="20" t="s">
        <v>790</v>
      </c>
      <c r="QB6" s="20" t="s">
        <v>790</v>
      </c>
      <c r="QK6" s="20" t="s">
        <v>696</v>
      </c>
      <c r="RK6" s="20" t="s">
        <v>696</v>
      </c>
      <c r="RL6" s="20" t="s">
        <v>791</v>
      </c>
      <c r="XL6" s="20" t="s">
        <v>792</v>
      </c>
      <c r="XM6" s="20" t="s">
        <v>793</v>
      </c>
      <c r="XN6" s="20" t="s">
        <v>794</v>
      </c>
      <c r="XO6" s="20">
        <v>3162459695</v>
      </c>
      <c r="XQ6" s="24">
        <v>45793</v>
      </c>
      <c r="XR6" s="20" t="s">
        <v>792</v>
      </c>
      <c r="XS6" s="20" t="s">
        <v>794</v>
      </c>
      <c r="XT6" s="20">
        <v>3162459695</v>
      </c>
      <c r="XU6" s="20" t="s">
        <v>792</v>
      </c>
      <c r="XV6" s="20">
        <v>3162459695</v>
      </c>
      <c r="XW6" s="20" t="s">
        <v>793</v>
      </c>
      <c r="XX6" s="20" t="s">
        <v>794</v>
      </c>
      <c r="XY6" s="20" t="s">
        <v>795</v>
      </c>
    </row>
    <row r="7" spans="1:649" ht="15.75" customHeight="1">
      <c r="A7" s="20">
        <v>23</v>
      </c>
      <c r="B7" s="21">
        <v>45813</v>
      </c>
      <c r="C7" s="20">
        <v>2025</v>
      </c>
      <c r="D7" s="20">
        <v>20250139</v>
      </c>
      <c r="E7" s="20">
        <v>40994</v>
      </c>
      <c r="F7" s="20" t="s">
        <v>690</v>
      </c>
      <c r="G7" s="20">
        <v>39596</v>
      </c>
      <c r="H7" s="20" t="s">
        <v>796</v>
      </c>
      <c r="I7" s="20" t="s">
        <v>692</v>
      </c>
      <c r="J7" s="20" t="s">
        <v>693</v>
      </c>
      <c r="K7" s="20" t="s">
        <v>694</v>
      </c>
      <c r="L7" s="20">
        <v>77002</v>
      </c>
      <c r="M7" s="22">
        <v>45782.265972222223</v>
      </c>
      <c r="N7" s="20" t="s">
        <v>695</v>
      </c>
      <c r="O7" s="20" t="s">
        <v>696</v>
      </c>
      <c r="P7" s="20">
        <v>32.728841000000003</v>
      </c>
      <c r="Q7" s="20">
        <v>-97.189751999999999</v>
      </c>
      <c r="R7" s="20" t="s">
        <v>697</v>
      </c>
      <c r="W7" s="20">
        <v>6600</v>
      </c>
      <c r="Y7" s="20">
        <v>6600</v>
      </c>
      <c r="Z7" s="20" t="s">
        <v>698</v>
      </c>
      <c r="AF7" s="20">
        <v>0</v>
      </c>
      <c r="AG7" s="20" t="s">
        <v>698</v>
      </c>
      <c r="AM7" s="20">
        <v>0</v>
      </c>
      <c r="AN7" s="20" t="s">
        <v>797</v>
      </c>
      <c r="AQ7" s="23">
        <v>45782.265972222223</v>
      </c>
      <c r="AR7" s="20" t="s">
        <v>776</v>
      </c>
      <c r="AS7" s="20" t="s">
        <v>702</v>
      </c>
      <c r="AT7" s="20" t="s">
        <v>703</v>
      </c>
      <c r="AU7" s="20" t="s">
        <v>696</v>
      </c>
      <c r="AW7" s="23">
        <v>45782.267361111109</v>
      </c>
      <c r="AX7" s="23">
        <v>45786.916666666664</v>
      </c>
      <c r="AZ7" s="20" t="s">
        <v>698</v>
      </c>
      <c r="BC7" s="23">
        <v>45783.587500000001</v>
      </c>
      <c r="BD7" s="23">
        <v>45783.590277777781</v>
      </c>
      <c r="BE7" s="23">
        <v>45783.630555555559</v>
      </c>
      <c r="BF7" s="20">
        <v>1430396</v>
      </c>
      <c r="BG7" s="20">
        <v>1430457</v>
      </c>
      <c r="BH7" s="20" t="s">
        <v>698</v>
      </c>
      <c r="BN7" s="20" t="s">
        <v>777</v>
      </c>
      <c r="BP7" s="23">
        <v>45782.269444444442</v>
      </c>
      <c r="BQ7" s="20" t="s">
        <v>798</v>
      </c>
      <c r="BR7" s="20" t="s">
        <v>777</v>
      </c>
      <c r="BT7" s="23">
        <v>45782.270833333336</v>
      </c>
      <c r="BU7" s="20" t="s">
        <v>798</v>
      </c>
      <c r="BV7" s="20" t="s">
        <v>696</v>
      </c>
      <c r="BW7" s="23">
        <v>45783.587500000001</v>
      </c>
      <c r="BX7" s="20" t="s">
        <v>696</v>
      </c>
      <c r="BY7" s="23">
        <v>45783.625</v>
      </c>
      <c r="BZ7" s="23">
        <v>45783.75</v>
      </c>
      <c r="CA7" s="20">
        <v>0</v>
      </c>
      <c r="CB7" s="20" t="s">
        <v>799</v>
      </c>
      <c r="CC7" s="20" t="s">
        <v>800</v>
      </c>
      <c r="CD7" s="20" t="s">
        <v>694</v>
      </c>
      <c r="CE7" s="20">
        <v>76013</v>
      </c>
      <c r="CF7" s="20" t="s">
        <v>801</v>
      </c>
      <c r="CG7" s="20" t="s">
        <v>802</v>
      </c>
      <c r="CH7" s="20" t="s">
        <v>784</v>
      </c>
      <c r="CI7" s="20">
        <v>90.82</v>
      </c>
      <c r="CJ7" s="20" t="s">
        <v>698</v>
      </c>
      <c r="CK7" s="20" t="s">
        <v>785</v>
      </c>
      <c r="CL7" s="20" t="s">
        <v>741</v>
      </c>
      <c r="CM7" s="20" t="s">
        <v>742</v>
      </c>
      <c r="CO7" s="20">
        <v>64</v>
      </c>
      <c r="CP7" s="20" t="s">
        <v>698</v>
      </c>
      <c r="DM7" s="20" t="s">
        <v>743</v>
      </c>
      <c r="DN7" s="20" t="s">
        <v>744</v>
      </c>
      <c r="DO7" s="20" t="s">
        <v>745</v>
      </c>
      <c r="DP7" s="20" t="s">
        <v>698</v>
      </c>
      <c r="DQ7" s="20">
        <v>16</v>
      </c>
      <c r="DR7" s="20">
        <v>0.25</v>
      </c>
      <c r="DS7" s="20">
        <v>42000</v>
      </c>
      <c r="DT7" s="20" t="s">
        <v>803</v>
      </c>
      <c r="DU7" s="20" t="s">
        <v>804</v>
      </c>
      <c r="DW7" s="20" t="s">
        <v>728</v>
      </c>
      <c r="DX7" s="20" t="s">
        <v>805</v>
      </c>
      <c r="DZ7" s="20" t="s">
        <v>728</v>
      </c>
      <c r="FK7" s="20">
        <v>1953</v>
      </c>
      <c r="FL7" s="20" t="s">
        <v>728</v>
      </c>
      <c r="FM7" s="20" t="s">
        <v>719</v>
      </c>
      <c r="FO7" s="20" t="s">
        <v>720</v>
      </c>
      <c r="FR7" s="20" t="s">
        <v>766</v>
      </c>
      <c r="FS7" s="20" t="s">
        <v>806</v>
      </c>
      <c r="FY7" s="20" t="s">
        <v>698</v>
      </c>
      <c r="GC7" s="20" t="s">
        <v>696</v>
      </c>
      <c r="GD7" s="20" t="s">
        <v>698</v>
      </c>
      <c r="GE7" s="20" t="s">
        <v>696</v>
      </c>
      <c r="GH7" s="20" t="s">
        <v>696</v>
      </c>
      <c r="GK7" s="20" t="s">
        <v>698</v>
      </c>
      <c r="GT7" s="20" t="s">
        <v>696</v>
      </c>
      <c r="GU7" s="20" t="s">
        <v>696</v>
      </c>
      <c r="GX7" s="20" t="s">
        <v>696</v>
      </c>
      <c r="GY7" s="20" t="s">
        <v>696</v>
      </c>
      <c r="HF7" s="20">
        <v>7600000</v>
      </c>
      <c r="HG7" s="20">
        <v>0</v>
      </c>
      <c r="HH7" s="20">
        <v>1000000</v>
      </c>
      <c r="HI7" s="20">
        <v>100000</v>
      </c>
      <c r="HJ7" s="20">
        <v>2000</v>
      </c>
      <c r="HK7" s="20">
        <v>0</v>
      </c>
      <c r="HM7" s="20">
        <v>8702000</v>
      </c>
      <c r="HN7" s="20">
        <v>0</v>
      </c>
      <c r="HO7" s="20">
        <v>0</v>
      </c>
      <c r="HP7" s="20">
        <v>0</v>
      </c>
      <c r="HQ7" s="20">
        <v>0</v>
      </c>
      <c r="HR7" s="20">
        <v>773</v>
      </c>
      <c r="HS7" s="20">
        <v>811</v>
      </c>
      <c r="HT7" s="20" t="s">
        <v>787</v>
      </c>
      <c r="HV7" s="24">
        <v>35796</v>
      </c>
      <c r="HW7" s="20" t="s">
        <v>698</v>
      </c>
      <c r="HY7" s="20" t="s">
        <v>723</v>
      </c>
      <c r="HZ7" s="20" t="s">
        <v>698</v>
      </c>
      <c r="IC7" s="20">
        <v>120331</v>
      </c>
      <c r="ID7" s="20" t="s">
        <v>696</v>
      </c>
      <c r="IL7" s="20" t="s">
        <v>698</v>
      </c>
      <c r="IS7" s="20" t="s">
        <v>724</v>
      </c>
      <c r="IT7" s="20" t="s">
        <v>696</v>
      </c>
      <c r="IU7" s="20" t="s">
        <v>696</v>
      </c>
      <c r="IV7" s="20" t="s">
        <v>696</v>
      </c>
      <c r="IW7" s="20" t="s">
        <v>696</v>
      </c>
      <c r="IX7" s="20" t="s">
        <v>696</v>
      </c>
      <c r="IY7" s="20" t="s">
        <v>696</v>
      </c>
      <c r="IZ7" s="20" t="s">
        <v>696</v>
      </c>
      <c r="JA7" s="20" t="s">
        <v>696</v>
      </c>
      <c r="JB7" s="20" t="s">
        <v>696</v>
      </c>
      <c r="JC7" s="20" t="s">
        <v>696</v>
      </c>
      <c r="JD7" s="20" t="s">
        <v>725</v>
      </c>
      <c r="JE7" s="20" t="s">
        <v>726</v>
      </c>
      <c r="JR7" s="20" t="s">
        <v>698</v>
      </c>
      <c r="JS7" s="20" t="s">
        <v>698</v>
      </c>
      <c r="JX7" s="20" t="s">
        <v>727</v>
      </c>
      <c r="JY7" s="20" t="s">
        <v>728</v>
      </c>
      <c r="RY7" s="20" t="s">
        <v>728</v>
      </c>
      <c r="SA7" s="20" t="s">
        <v>729</v>
      </c>
      <c r="XL7" s="20" t="s">
        <v>730</v>
      </c>
      <c r="XM7" s="20" t="s">
        <v>731</v>
      </c>
      <c r="XN7" s="20" t="s">
        <v>732</v>
      </c>
      <c r="XO7" s="20" t="s">
        <v>733</v>
      </c>
      <c r="XQ7" s="24">
        <v>45813</v>
      </c>
      <c r="XU7" s="20" t="s">
        <v>730</v>
      </c>
      <c r="XV7" s="20" t="s">
        <v>733</v>
      </c>
      <c r="XW7" s="20" t="s">
        <v>731</v>
      </c>
      <c r="XX7" s="20" t="s">
        <v>732</v>
      </c>
      <c r="XY7" s="20" t="s">
        <v>807</v>
      </c>
    </row>
    <row r="8" spans="1:649" ht="15.75" customHeight="1">
      <c r="A8" s="20">
        <v>38</v>
      </c>
      <c r="B8" s="21">
        <v>45789</v>
      </c>
      <c r="C8" s="20">
        <v>2025</v>
      </c>
      <c r="D8" s="20">
        <v>20250119</v>
      </c>
      <c r="E8" s="20">
        <v>40879</v>
      </c>
      <c r="F8" s="20" t="s">
        <v>690</v>
      </c>
      <c r="G8" s="20">
        <v>31476</v>
      </c>
      <c r="H8" s="20" t="s">
        <v>735</v>
      </c>
      <c r="I8" s="20" t="s">
        <v>692</v>
      </c>
      <c r="J8" s="20" t="s">
        <v>693</v>
      </c>
      <c r="K8" s="20" t="s">
        <v>694</v>
      </c>
      <c r="L8" s="20">
        <v>77002</v>
      </c>
      <c r="M8" s="22">
        <v>45762.319444444445</v>
      </c>
      <c r="N8" s="20" t="s">
        <v>695</v>
      </c>
      <c r="O8" s="20" t="s">
        <v>696</v>
      </c>
      <c r="P8" s="20">
        <v>36.017431999999999</v>
      </c>
      <c r="Q8" s="20">
        <v>-96.753990000000002</v>
      </c>
      <c r="R8" s="20" t="s">
        <v>697</v>
      </c>
      <c r="W8" s="20">
        <v>8</v>
      </c>
      <c r="Y8" s="20">
        <v>8</v>
      </c>
      <c r="Z8" s="20" t="s">
        <v>698</v>
      </c>
      <c r="AF8" s="20">
        <v>0</v>
      </c>
      <c r="AG8" s="20" t="s">
        <v>698</v>
      </c>
      <c r="AM8" s="20">
        <v>0</v>
      </c>
      <c r="AN8" s="20" t="s">
        <v>699</v>
      </c>
      <c r="AP8" s="20" t="s">
        <v>700</v>
      </c>
      <c r="AQ8" s="23">
        <v>45762.319444444445</v>
      </c>
      <c r="AR8" s="20" t="s">
        <v>736</v>
      </c>
      <c r="AS8" s="20" t="s">
        <v>702</v>
      </c>
      <c r="AT8" s="20" t="s">
        <v>703</v>
      </c>
      <c r="AU8" s="20" t="s">
        <v>696</v>
      </c>
      <c r="AW8" s="23">
        <v>45762.319444444445</v>
      </c>
      <c r="AX8" s="23">
        <v>45762.704861111109</v>
      </c>
      <c r="AZ8" s="20" t="s">
        <v>698</v>
      </c>
      <c r="BC8" s="23">
        <v>45762.319444444445</v>
      </c>
      <c r="BD8" s="23">
        <v>45762.319444444445</v>
      </c>
      <c r="BF8" s="20" t="s">
        <v>754</v>
      </c>
      <c r="BH8" s="20" t="s">
        <v>698</v>
      </c>
      <c r="BV8" s="20" t="s">
        <v>696</v>
      </c>
      <c r="BW8" s="23">
        <v>45762.319444444445</v>
      </c>
      <c r="BX8" s="20" t="s">
        <v>698</v>
      </c>
      <c r="CA8" s="20">
        <v>0</v>
      </c>
      <c r="CB8" s="20" t="s">
        <v>737</v>
      </c>
      <c r="CC8" s="20" t="s">
        <v>738</v>
      </c>
      <c r="CD8" s="20" t="s">
        <v>739</v>
      </c>
      <c r="CE8" s="20">
        <v>74023</v>
      </c>
      <c r="CF8" s="20" t="s">
        <v>708</v>
      </c>
      <c r="CG8" s="20" t="s">
        <v>740</v>
      </c>
      <c r="CH8" s="20" t="s">
        <v>710</v>
      </c>
      <c r="CI8" s="20" t="s">
        <v>711</v>
      </c>
      <c r="CJ8" s="20" t="s">
        <v>698</v>
      </c>
      <c r="CK8" s="20" t="s">
        <v>712</v>
      </c>
      <c r="CL8" s="20" t="s">
        <v>741</v>
      </c>
      <c r="CM8" s="20" t="s">
        <v>742</v>
      </c>
      <c r="CO8" s="20">
        <v>42</v>
      </c>
      <c r="CP8" s="20" t="s">
        <v>698</v>
      </c>
      <c r="DM8" s="20" t="s">
        <v>743</v>
      </c>
      <c r="DN8" s="20" t="s">
        <v>744</v>
      </c>
      <c r="DO8" s="20" t="s">
        <v>745</v>
      </c>
      <c r="DP8" s="20" t="s">
        <v>698</v>
      </c>
      <c r="DQ8" s="20">
        <v>8</v>
      </c>
      <c r="DR8" s="20">
        <v>0.312</v>
      </c>
      <c r="DS8" s="20">
        <v>35000</v>
      </c>
      <c r="DT8" s="20" t="s">
        <v>746</v>
      </c>
      <c r="DU8" s="20" t="s">
        <v>747</v>
      </c>
      <c r="DW8" s="20" t="s">
        <v>728</v>
      </c>
      <c r="DX8" s="20" t="s">
        <v>748</v>
      </c>
      <c r="DZ8" s="20" t="s">
        <v>698</v>
      </c>
      <c r="FK8" s="20" t="s">
        <v>728</v>
      </c>
      <c r="FL8" s="20" t="s">
        <v>728</v>
      </c>
      <c r="FM8" s="20" t="s">
        <v>719</v>
      </c>
      <c r="FO8" s="20" t="s">
        <v>720</v>
      </c>
      <c r="FR8" s="20" t="s">
        <v>749</v>
      </c>
      <c r="FY8" s="20" t="s">
        <v>698</v>
      </c>
      <c r="GC8" s="20" t="s">
        <v>696</v>
      </c>
      <c r="GD8" s="20" t="s">
        <v>698</v>
      </c>
      <c r="GE8" s="20" t="s">
        <v>696</v>
      </c>
      <c r="GH8" s="20" t="s">
        <v>696</v>
      </c>
      <c r="GK8" s="20" t="s">
        <v>698</v>
      </c>
      <c r="GT8" s="20" t="s">
        <v>698</v>
      </c>
      <c r="GU8" s="20" t="s">
        <v>698</v>
      </c>
      <c r="HF8" s="20">
        <v>0</v>
      </c>
      <c r="HG8" s="20">
        <v>30</v>
      </c>
      <c r="HH8" s="20">
        <v>6800</v>
      </c>
      <c r="HI8" s="20">
        <v>24836</v>
      </c>
      <c r="HJ8" s="20">
        <v>18036</v>
      </c>
      <c r="HK8" s="20">
        <v>0</v>
      </c>
      <c r="HM8" s="20">
        <v>49702</v>
      </c>
      <c r="HN8" s="20">
        <v>0</v>
      </c>
      <c r="HO8" s="20">
        <v>0</v>
      </c>
      <c r="HP8" s="20">
        <v>0</v>
      </c>
      <c r="HQ8" s="20">
        <v>0</v>
      </c>
      <c r="HR8" s="20">
        <v>117</v>
      </c>
      <c r="HS8" s="20">
        <v>285</v>
      </c>
      <c r="HT8" s="20" t="s">
        <v>750</v>
      </c>
      <c r="HV8" s="24">
        <v>42736</v>
      </c>
      <c r="HW8" s="20" t="s">
        <v>698</v>
      </c>
      <c r="HY8" s="20" t="s">
        <v>723</v>
      </c>
      <c r="HZ8" s="20" t="s">
        <v>698</v>
      </c>
      <c r="IS8" s="20" t="s">
        <v>808</v>
      </c>
      <c r="IT8" s="20" t="s">
        <v>696</v>
      </c>
      <c r="IU8" s="20" t="s">
        <v>696</v>
      </c>
      <c r="IV8" s="20" t="s">
        <v>696</v>
      </c>
      <c r="IW8" s="20" t="s">
        <v>698</v>
      </c>
      <c r="IX8" s="20" t="s">
        <v>698</v>
      </c>
      <c r="IY8" s="20" t="s">
        <v>698</v>
      </c>
      <c r="JD8" s="20" t="s">
        <v>725</v>
      </c>
      <c r="JE8" s="20" t="s">
        <v>726</v>
      </c>
      <c r="JR8" s="20" t="s">
        <v>698</v>
      </c>
      <c r="JS8" s="20" t="s">
        <v>698</v>
      </c>
      <c r="JX8" s="20" t="s">
        <v>727</v>
      </c>
      <c r="JY8" s="20" t="s">
        <v>728</v>
      </c>
      <c r="RY8" s="20" t="s">
        <v>728</v>
      </c>
      <c r="SA8" s="20" t="s">
        <v>729</v>
      </c>
      <c r="XL8" s="20" t="s">
        <v>730</v>
      </c>
      <c r="XM8" s="20" t="s">
        <v>731</v>
      </c>
      <c r="XN8" s="20" t="s">
        <v>732</v>
      </c>
      <c r="XO8" s="20" t="s">
        <v>733</v>
      </c>
      <c r="XQ8" s="24">
        <v>45789</v>
      </c>
      <c r="XU8" s="20" t="s">
        <v>730</v>
      </c>
      <c r="XV8" s="20" t="s">
        <v>733</v>
      </c>
      <c r="XW8" s="20" t="s">
        <v>731</v>
      </c>
      <c r="XX8" s="20" t="s">
        <v>732</v>
      </c>
      <c r="XY8" s="20" t="s">
        <v>809</v>
      </c>
    </row>
    <row r="9" spans="1:649" ht="15.75" customHeight="1">
      <c r="A9" s="20">
        <v>40</v>
      </c>
      <c r="B9" s="21">
        <v>45789</v>
      </c>
      <c r="C9" s="20">
        <v>2025</v>
      </c>
      <c r="D9" s="20">
        <v>20250120</v>
      </c>
      <c r="E9" s="20">
        <v>40880</v>
      </c>
      <c r="F9" s="20" t="s">
        <v>690</v>
      </c>
      <c r="G9" s="20">
        <v>32099</v>
      </c>
      <c r="H9" s="20" t="s">
        <v>752</v>
      </c>
      <c r="I9" s="20" t="s">
        <v>692</v>
      </c>
      <c r="J9" s="20" t="s">
        <v>693</v>
      </c>
      <c r="K9" s="20" t="s">
        <v>694</v>
      </c>
      <c r="L9" s="20">
        <v>77002</v>
      </c>
      <c r="M9" s="22">
        <v>45760.351388888892</v>
      </c>
      <c r="N9" s="20" t="s">
        <v>695</v>
      </c>
      <c r="O9" s="20" t="s">
        <v>696</v>
      </c>
      <c r="P9" s="20">
        <v>34.813972200000002</v>
      </c>
      <c r="Q9" s="20">
        <v>-97.711527799999999</v>
      </c>
      <c r="R9" s="20" t="s">
        <v>697</v>
      </c>
      <c r="W9" s="20">
        <v>5</v>
      </c>
      <c r="Y9" s="20">
        <v>5</v>
      </c>
      <c r="Z9" s="20" t="s">
        <v>698</v>
      </c>
      <c r="AF9" s="20">
        <v>0</v>
      </c>
      <c r="AG9" s="20" t="s">
        <v>698</v>
      </c>
      <c r="AM9" s="20">
        <v>0</v>
      </c>
      <c r="AN9" s="20" t="s">
        <v>775</v>
      </c>
      <c r="AQ9" s="23">
        <v>45760.351388888892</v>
      </c>
      <c r="AR9" s="20" t="s">
        <v>776</v>
      </c>
      <c r="AS9" s="20" t="s">
        <v>702</v>
      </c>
      <c r="AT9" s="20" t="s">
        <v>703</v>
      </c>
      <c r="AU9" s="20" t="s">
        <v>696</v>
      </c>
      <c r="AW9" s="23">
        <v>45760.361805555556</v>
      </c>
      <c r="AX9" s="23">
        <v>45760.595138888886</v>
      </c>
      <c r="AZ9" s="20" t="s">
        <v>698</v>
      </c>
      <c r="BC9" s="23">
        <v>45760.351388888892</v>
      </c>
      <c r="BD9" s="23">
        <v>45760.395833333336</v>
      </c>
      <c r="BF9" s="20" t="s">
        <v>754</v>
      </c>
      <c r="BH9" s="20" t="s">
        <v>698</v>
      </c>
      <c r="BN9" s="20" t="s">
        <v>777</v>
      </c>
      <c r="BP9" s="23">
        <v>45760.381944444445</v>
      </c>
      <c r="BQ9" s="20" t="s">
        <v>779</v>
      </c>
      <c r="BR9" s="20" t="s">
        <v>777</v>
      </c>
      <c r="BT9" s="23">
        <v>45760.395833333336</v>
      </c>
      <c r="BU9" s="20" t="s">
        <v>779</v>
      </c>
      <c r="BV9" s="20" t="s">
        <v>696</v>
      </c>
      <c r="BW9" s="23">
        <v>45760.356249999997</v>
      </c>
      <c r="BX9" s="20" t="s">
        <v>698</v>
      </c>
      <c r="CA9" s="20">
        <v>0</v>
      </c>
      <c r="CB9" s="20" t="s">
        <v>810</v>
      </c>
      <c r="CC9" s="20" t="s">
        <v>811</v>
      </c>
      <c r="CD9" s="20" t="s">
        <v>739</v>
      </c>
      <c r="CE9" s="20">
        <v>73011</v>
      </c>
      <c r="CF9" s="20" t="s">
        <v>708</v>
      </c>
      <c r="CG9" s="20" t="s">
        <v>812</v>
      </c>
      <c r="CH9" s="20" t="s">
        <v>710</v>
      </c>
      <c r="CI9" s="20" t="s">
        <v>813</v>
      </c>
      <c r="CJ9" s="20" t="s">
        <v>698</v>
      </c>
      <c r="CK9" s="20" t="s">
        <v>785</v>
      </c>
      <c r="CL9" s="20" t="s">
        <v>741</v>
      </c>
      <c r="CM9" s="20" t="s">
        <v>742</v>
      </c>
      <c r="CO9" s="20">
        <v>50</v>
      </c>
      <c r="CP9" s="20" t="s">
        <v>698</v>
      </c>
      <c r="DM9" s="20" t="s">
        <v>715</v>
      </c>
      <c r="DN9" s="20" t="s">
        <v>744</v>
      </c>
      <c r="DO9" s="20" t="s">
        <v>745</v>
      </c>
      <c r="DP9" s="20" t="s">
        <v>698</v>
      </c>
      <c r="DQ9" s="20">
        <v>8</v>
      </c>
      <c r="DR9" s="20">
        <v>0.188</v>
      </c>
      <c r="DS9" s="20">
        <v>52000</v>
      </c>
      <c r="DT9" s="20" t="s">
        <v>814</v>
      </c>
      <c r="DU9" s="20" t="s">
        <v>747</v>
      </c>
      <c r="DW9" s="20" t="s">
        <v>815</v>
      </c>
      <c r="DX9" s="20" t="s">
        <v>748</v>
      </c>
      <c r="DZ9" s="20" t="s">
        <v>698</v>
      </c>
      <c r="FK9" s="20">
        <v>2015</v>
      </c>
      <c r="FL9" s="20" t="s">
        <v>728</v>
      </c>
      <c r="FM9" s="20" t="s">
        <v>719</v>
      </c>
      <c r="FO9" s="20" t="s">
        <v>720</v>
      </c>
      <c r="FR9" s="20" t="s">
        <v>749</v>
      </c>
      <c r="FY9" s="20" t="s">
        <v>698</v>
      </c>
      <c r="GC9" s="20" t="s">
        <v>696</v>
      </c>
      <c r="GD9" s="20" t="s">
        <v>698</v>
      </c>
      <c r="GE9" s="20" t="s">
        <v>696</v>
      </c>
      <c r="GH9" s="20" t="s">
        <v>696</v>
      </c>
      <c r="GK9" s="20" t="s">
        <v>698</v>
      </c>
      <c r="GT9" s="20" t="s">
        <v>698</v>
      </c>
      <c r="GU9" s="20" t="s">
        <v>698</v>
      </c>
      <c r="HF9" s="20">
        <v>2000</v>
      </c>
      <c r="HG9" s="20">
        <v>0</v>
      </c>
      <c r="HH9" s="20">
        <v>2500</v>
      </c>
      <c r="HI9" s="20">
        <v>5800</v>
      </c>
      <c r="HJ9" s="20">
        <v>20000</v>
      </c>
      <c r="HK9" s="20">
        <v>0</v>
      </c>
      <c r="HM9" s="20">
        <v>30300</v>
      </c>
      <c r="HN9" s="20">
        <v>0</v>
      </c>
      <c r="HO9" s="20">
        <v>0</v>
      </c>
      <c r="HP9" s="20">
        <v>0</v>
      </c>
      <c r="HQ9" s="20">
        <v>0</v>
      </c>
      <c r="HR9" s="20">
        <v>20</v>
      </c>
      <c r="HS9" s="20">
        <v>1440</v>
      </c>
      <c r="HT9" s="20" t="s">
        <v>787</v>
      </c>
      <c r="HV9" s="24">
        <v>42192</v>
      </c>
      <c r="HW9" s="20" t="s">
        <v>698</v>
      </c>
      <c r="HY9" s="20" t="s">
        <v>723</v>
      </c>
      <c r="HZ9" s="20" t="s">
        <v>698</v>
      </c>
      <c r="IC9" s="20">
        <v>54338</v>
      </c>
      <c r="ID9" s="20" t="s">
        <v>696</v>
      </c>
      <c r="IL9" s="20" t="s">
        <v>698</v>
      </c>
      <c r="IS9" s="20" t="s">
        <v>724</v>
      </c>
      <c r="IT9" s="20" t="s">
        <v>696</v>
      </c>
      <c r="IU9" s="20" t="s">
        <v>696</v>
      </c>
      <c r="IV9" s="20" t="s">
        <v>696</v>
      </c>
      <c r="IW9" s="20" t="s">
        <v>698</v>
      </c>
      <c r="IX9" s="20" t="s">
        <v>698</v>
      </c>
      <c r="IY9" s="20" t="s">
        <v>698</v>
      </c>
      <c r="JD9" s="20" t="s">
        <v>725</v>
      </c>
      <c r="JE9" s="20" t="s">
        <v>726</v>
      </c>
      <c r="JR9" s="20" t="s">
        <v>698</v>
      </c>
      <c r="JS9" s="20" t="s">
        <v>698</v>
      </c>
      <c r="JX9" s="20" t="s">
        <v>727</v>
      </c>
      <c r="JY9" s="20" t="s">
        <v>728</v>
      </c>
      <c r="RY9" s="20" t="s">
        <v>728</v>
      </c>
      <c r="SA9" s="20" t="s">
        <v>729</v>
      </c>
      <c r="XL9" s="20" t="s">
        <v>730</v>
      </c>
      <c r="XM9" s="20" t="s">
        <v>731</v>
      </c>
      <c r="XN9" s="20" t="s">
        <v>732</v>
      </c>
      <c r="XO9" s="20" t="s">
        <v>733</v>
      </c>
      <c r="XQ9" s="24">
        <v>45789</v>
      </c>
      <c r="XU9" s="20" t="s">
        <v>730</v>
      </c>
      <c r="XV9" s="20" t="s">
        <v>733</v>
      </c>
      <c r="XW9" s="20" t="s">
        <v>731</v>
      </c>
      <c r="XX9" s="20" t="s">
        <v>732</v>
      </c>
      <c r="XY9" s="20" t="s">
        <v>816</v>
      </c>
    </row>
    <row r="10" spans="1:649" ht="15.75" customHeight="1">
      <c r="A10" s="20">
        <v>45</v>
      </c>
      <c r="B10" s="21">
        <v>45782</v>
      </c>
      <c r="C10" s="20">
        <v>2025</v>
      </c>
      <c r="D10" s="20">
        <v>20250111</v>
      </c>
      <c r="E10" s="20">
        <v>40846</v>
      </c>
      <c r="F10" s="20" t="s">
        <v>690</v>
      </c>
      <c r="G10" s="20">
        <v>39706</v>
      </c>
      <c r="H10" s="20" t="s">
        <v>817</v>
      </c>
      <c r="I10" s="20" t="s">
        <v>692</v>
      </c>
      <c r="J10" s="20" t="s">
        <v>693</v>
      </c>
      <c r="K10" s="20" t="s">
        <v>694</v>
      </c>
      <c r="L10" s="20">
        <v>77002</v>
      </c>
      <c r="M10" s="22">
        <v>45756.631944444445</v>
      </c>
      <c r="N10" s="20" t="s">
        <v>695</v>
      </c>
      <c r="O10" s="20" t="s">
        <v>696</v>
      </c>
      <c r="P10" s="20">
        <v>30.000608</v>
      </c>
      <c r="Q10" s="20">
        <v>-93.992446999999999</v>
      </c>
      <c r="R10" s="20" t="s">
        <v>697</v>
      </c>
      <c r="W10" s="20">
        <v>60</v>
      </c>
      <c r="Y10" s="20">
        <v>60</v>
      </c>
      <c r="Z10" s="20" t="s">
        <v>698</v>
      </c>
      <c r="AF10" s="20">
        <v>0</v>
      </c>
      <c r="AG10" s="20" t="s">
        <v>698</v>
      </c>
      <c r="AM10" s="20">
        <v>0</v>
      </c>
      <c r="AN10" s="20" t="s">
        <v>699</v>
      </c>
      <c r="AP10" s="20" t="s">
        <v>700</v>
      </c>
      <c r="AQ10" s="23">
        <v>45756.631944444445</v>
      </c>
      <c r="AR10" s="20" t="s">
        <v>736</v>
      </c>
      <c r="AS10" s="20" t="s">
        <v>702</v>
      </c>
      <c r="AT10" s="20" t="s">
        <v>703</v>
      </c>
      <c r="AU10" s="20" t="s">
        <v>696</v>
      </c>
      <c r="AW10" s="23">
        <v>45756.636805555558</v>
      </c>
      <c r="AX10" s="23">
        <v>45761.666666666664</v>
      </c>
      <c r="AZ10" s="20" t="s">
        <v>698</v>
      </c>
      <c r="BC10" s="23">
        <v>45756.631944444445</v>
      </c>
      <c r="BD10" s="23">
        <v>45756.631944444445</v>
      </c>
      <c r="BE10" s="23">
        <v>45756.662499999999</v>
      </c>
      <c r="BF10" s="20">
        <v>1428163</v>
      </c>
      <c r="BG10" s="20">
        <v>1428345</v>
      </c>
      <c r="BH10" s="20" t="s">
        <v>698</v>
      </c>
      <c r="BV10" s="20" t="s">
        <v>696</v>
      </c>
      <c r="BW10" s="23">
        <v>45756.633333333331</v>
      </c>
      <c r="BX10" s="20" t="s">
        <v>698</v>
      </c>
      <c r="CA10" s="20">
        <v>0</v>
      </c>
      <c r="CB10" s="20" t="s">
        <v>818</v>
      </c>
      <c r="CC10" s="20" t="s">
        <v>819</v>
      </c>
      <c r="CD10" s="20" t="s">
        <v>694</v>
      </c>
      <c r="CE10" s="20">
        <v>77627</v>
      </c>
      <c r="CF10" s="20" t="s">
        <v>820</v>
      </c>
      <c r="CG10" s="20" t="s">
        <v>821</v>
      </c>
      <c r="CH10" s="20" t="s">
        <v>710</v>
      </c>
      <c r="CI10" s="20" t="s">
        <v>711</v>
      </c>
      <c r="CJ10" s="20" t="s">
        <v>698</v>
      </c>
      <c r="CK10" s="20" t="s">
        <v>712</v>
      </c>
      <c r="CL10" s="20" t="s">
        <v>713</v>
      </c>
      <c r="CM10" s="20" t="s">
        <v>758</v>
      </c>
      <c r="CP10" s="20" t="s">
        <v>698</v>
      </c>
      <c r="DM10" s="20" t="s">
        <v>743</v>
      </c>
      <c r="DN10" s="20" t="s">
        <v>822</v>
      </c>
      <c r="FK10" s="20">
        <v>2019</v>
      </c>
      <c r="FL10" s="20">
        <v>2019</v>
      </c>
      <c r="FM10" s="20" t="s">
        <v>719</v>
      </c>
      <c r="FO10" s="20" t="s">
        <v>720</v>
      </c>
      <c r="FR10" s="20" t="s">
        <v>823</v>
      </c>
      <c r="FY10" s="20" t="s">
        <v>698</v>
      </c>
      <c r="GC10" s="20" t="s">
        <v>696</v>
      </c>
      <c r="GD10" s="20" t="s">
        <v>698</v>
      </c>
      <c r="GE10" s="20" t="s">
        <v>698</v>
      </c>
      <c r="GK10" s="20" t="s">
        <v>698</v>
      </c>
      <c r="GT10" s="20" t="s">
        <v>696</v>
      </c>
      <c r="GU10" s="20" t="s">
        <v>696</v>
      </c>
      <c r="GX10" s="20" t="s">
        <v>696</v>
      </c>
      <c r="GY10" s="20" t="s">
        <v>696</v>
      </c>
      <c r="HF10" s="20">
        <v>0</v>
      </c>
      <c r="HG10" s="20">
        <v>4000</v>
      </c>
      <c r="HH10" s="20">
        <v>5000</v>
      </c>
      <c r="HI10" s="20">
        <v>20000</v>
      </c>
      <c r="HJ10" s="20">
        <v>95000</v>
      </c>
      <c r="HK10" s="20">
        <v>0</v>
      </c>
      <c r="HM10" s="20">
        <v>124000</v>
      </c>
      <c r="HN10" s="20">
        <v>0</v>
      </c>
      <c r="HO10" s="20">
        <v>0</v>
      </c>
      <c r="HP10" s="20">
        <v>0</v>
      </c>
      <c r="HQ10" s="20">
        <v>0</v>
      </c>
      <c r="HR10" s="20">
        <v>119</v>
      </c>
      <c r="HS10" s="20">
        <v>285</v>
      </c>
      <c r="HT10" s="20" t="s">
        <v>750</v>
      </c>
      <c r="HV10" s="24">
        <v>40179</v>
      </c>
      <c r="HW10" s="20" t="s">
        <v>698</v>
      </c>
      <c r="HY10" s="20" t="s">
        <v>723</v>
      </c>
      <c r="HZ10" s="20" t="s">
        <v>698</v>
      </c>
      <c r="IS10" s="20" t="s">
        <v>724</v>
      </c>
      <c r="IT10" s="20" t="s">
        <v>696</v>
      </c>
      <c r="IU10" s="20" t="s">
        <v>696</v>
      </c>
      <c r="IV10" s="20" t="s">
        <v>696</v>
      </c>
      <c r="IW10" s="20" t="s">
        <v>698</v>
      </c>
      <c r="IX10" s="20" t="s">
        <v>698</v>
      </c>
      <c r="IY10" s="20" t="s">
        <v>696</v>
      </c>
      <c r="IZ10" s="20" t="s">
        <v>696</v>
      </c>
      <c r="JA10" s="20" t="s">
        <v>696</v>
      </c>
      <c r="JB10" s="20" t="s">
        <v>698</v>
      </c>
      <c r="JC10" s="20" t="s">
        <v>698</v>
      </c>
      <c r="JD10" s="20" t="s">
        <v>725</v>
      </c>
      <c r="JE10" s="20" t="s">
        <v>726</v>
      </c>
      <c r="JR10" s="20" t="s">
        <v>698</v>
      </c>
      <c r="JS10" s="20" t="s">
        <v>698</v>
      </c>
      <c r="JX10" s="20" t="s">
        <v>727</v>
      </c>
      <c r="JY10" s="20" t="s">
        <v>728</v>
      </c>
      <c r="RY10" s="20" t="s">
        <v>728</v>
      </c>
      <c r="SA10" s="20" t="s">
        <v>729</v>
      </c>
      <c r="XL10" s="20" t="s">
        <v>730</v>
      </c>
      <c r="XM10" s="20" t="s">
        <v>731</v>
      </c>
      <c r="XN10" s="20" t="s">
        <v>732</v>
      </c>
      <c r="XO10" s="20" t="s">
        <v>733</v>
      </c>
      <c r="XQ10" s="24">
        <v>45782</v>
      </c>
      <c r="XU10" s="20" t="s">
        <v>730</v>
      </c>
      <c r="XV10" s="20" t="s">
        <v>733</v>
      </c>
      <c r="XW10" s="20" t="s">
        <v>731</v>
      </c>
      <c r="XX10" s="20" t="s">
        <v>732</v>
      </c>
      <c r="XY10" s="20" t="s">
        <v>824</v>
      </c>
    </row>
    <row r="11" spans="1:649" ht="15.75" customHeight="1">
      <c r="A11" s="20">
        <v>46</v>
      </c>
      <c r="B11" s="21">
        <v>45785</v>
      </c>
      <c r="C11" s="20">
        <v>2025</v>
      </c>
      <c r="D11" s="20">
        <v>20250114</v>
      </c>
      <c r="E11" s="20">
        <v>41050</v>
      </c>
      <c r="F11" s="20" t="s">
        <v>825</v>
      </c>
      <c r="G11" s="20">
        <v>32099</v>
      </c>
      <c r="H11" s="20" t="s">
        <v>752</v>
      </c>
      <c r="I11" s="20" t="s">
        <v>692</v>
      </c>
      <c r="J11" s="20" t="s">
        <v>693</v>
      </c>
      <c r="K11" s="20" t="s">
        <v>694</v>
      </c>
      <c r="L11" s="20">
        <v>77002</v>
      </c>
      <c r="M11" s="22">
        <v>45755.361111111109</v>
      </c>
      <c r="N11" s="20" t="s">
        <v>695</v>
      </c>
      <c r="O11" s="20" t="s">
        <v>696</v>
      </c>
      <c r="P11" s="20">
        <v>32.0016715</v>
      </c>
      <c r="Q11" s="20">
        <v>-102.0458805</v>
      </c>
      <c r="R11" s="20" t="s">
        <v>697</v>
      </c>
      <c r="W11" s="20">
        <v>12</v>
      </c>
      <c r="Y11" s="20">
        <v>12</v>
      </c>
      <c r="Z11" s="20" t="s">
        <v>698</v>
      </c>
      <c r="AF11" s="20">
        <v>0</v>
      </c>
      <c r="AG11" s="20" t="s">
        <v>698</v>
      </c>
      <c r="AM11" s="20">
        <v>0</v>
      </c>
      <c r="AN11" s="20" t="s">
        <v>699</v>
      </c>
      <c r="AP11" s="20" t="s">
        <v>700</v>
      </c>
      <c r="AQ11" s="23">
        <v>45755.361111111109</v>
      </c>
      <c r="AR11" s="20" t="s">
        <v>736</v>
      </c>
      <c r="AS11" s="20" t="s">
        <v>702</v>
      </c>
      <c r="AT11" s="20" t="s">
        <v>703</v>
      </c>
      <c r="AU11" s="20" t="s">
        <v>698</v>
      </c>
      <c r="AV11" s="20" t="s">
        <v>826</v>
      </c>
      <c r="AZ11" s="20" t="s">
        <v>698</v>
      </c>
      <c r="BC11" s="23">
        <v>45755.361111111109</v>
      </c>
      <c r="BD11" s="23">
        <v>45755.361111111109</v>
      </c>
      <c r="BE11" s="23">
        <v>45755.40347222222</v>
      </c>
      <c r="BF11" s="20">
        <v>1428027</v>
      </c>
      <c r="BG11" s="20">
        <v>1428209</v>
      </c>
      <c r="BH11" s="20" t="s">
        <v>698</v>
      </c>
      <c r="BV11" s="20" t="s">
        <v>696</v>
      </c>
      <c r="BW11" s="23">
        <v>45755.368750000001</v>
      </c>
      <c r="BX11" s="20" t="s">
        <v>698</v>
      </c>
      <c r="CA11" s="20">
        <v>0</v>
      </c>
      <c r="CB11" s="20" t="s">
        <v>755</v>
      </c>
      <c r="CC11" s="20" t="s">
        <v>827</v>
      </c>
      <c r="CD11" s="20" t="s">
        <v>694</v>
      </c>
      <c r="CE11" s="20">
        <v>79706</v>
      </c>
      <c r="CF11" s="20" t="s">
        <v>708</v>
      </c>
      <c r="CG11" s="20" t="s">
        <v>757</v>
      </c>
      <c r="CH11" s="20" t="s">
        <v>710</v>
      </c>
      <c r="CI11" s="20" t="s">
        <v>828</v>
      </c>
      <c r="CJ11" s="20" t="s">
        <v>698</v>
      </c>
      <c r="CK11" s="20" t="s">
        <v>712</v>
      </c>
      <c r="CL11" s="20" t="s">
        <v>713</v>
      </c>
      <c r="CM11" s="20" t="s">
        <v>758</v>
      </c>
      <c r="CP11" s="20" t="s">
        <v>698</v>
      </c>
      <c r="DM11" s="20" t="s">
        <v>715</v>
      </c>
      <c r="DN11" s="20" t="s">
        <v>829</v>
      </c>
      <c r="EM11" s="20" t="s">
        <v>830</v>
      </c>
      <c r="FK11" s="20">
        <v>2019</v>
      </c>
      <c r="FL11" s="20">
        <v>2018</v>
      </c>
      <c r="FM11" s="20" t="s">
        <v>719</v>
      </c>
      <c r="FO11" s="20" t="s">
        <v>720</v>
      </c>
      <c r="FR11" s="20" t="s">
        <v>749</v>
      </c>
      <c r="FY11" s="20" t="s">
        <v>698</v>
      </c>
      <c r="GC11" s="20" t="s">
        <v>696</v>
      </c>
      <c r="GD11" s="20" t="s">
        <v>698</v>
      </c>
      <c r="GE11" s="20" t="s">
        <v>696</v>
      </c>
      <c r="GH11" s="20" t="s">
        <v>696</v>
      </c>
      <c r="GK11" s="20" t="s">
        <v>698</v>
      </c>
      <c r="GT11" s="20" t="s">
        <v>696</v>
      </c>
      <c r="GU11" s="20" t="s">
        <v>698</v>
      </c>
      <c r="HF11" s="20">
        <v>0</v>
      </c>
      <c r="HG11" s="20">
        <v>293</v>
      </c>
      <c r="HH11" s="20">
        <v>19247</v>
      </c>
      <c r="HI11" s="20">
        <v>4810</v>
      </c>
      <c r="HJ11" s="20">
        <v>5590</v>
      </c>
      <c r="HK11" s="20">
        <v>0</v>
      </c>
      <c r="HM11" s="20">
        <v>29940</v>
      </c>
      <c r="HN11" s="20">
        <v>0</v>
      </c>
      <c r="HO11" s="20">
        <v>0</v>
      </c>
      <c r="HP11" s="20">
        <v>0</v>
      </c>
      <c r="HQ11" s="20">
        <v>0</v>
      </c>
      <c r="HR11" s="20">
        <v>8</v>
      </c>
      <c r="HS11" s="20">
        <v>285</v>
      </c>
      <c r="HT11" s="20" t="s">
        <v>750</v>
      </c>
      <c r="HV11" s="24">
        <v>43783</v>
      </c>
      <c r="HW11" s="20" t="s">
        <v>698</v>
      </c>
      <c r="HY11" s="20" t="s">
        <v>723</v>
      </c>
      <c r="HZ11" s="20" t="s">
        <v>698</v>
      </c>
      <c r="IS11" s="20" t="s">
        <v>831</v>
      </c>
      <c r="IT11" s="20" t="s">
        <v>698</v>
      </c>
      <c r="IY11" s="20" t="s">
        <v>698</v>
      </c>
      <c r="JD11" s="20" t="s">
        <v>832</v>
      </c>
      <c r="JR11" s="20" t="s">
        <v>698</v>
      </c>
      <c r="JS11" s="20" t="s">
        <v>698</v>
      </c>
      <c r="JX11" s="20" t="s">
        <v>833</v>
      </c>
      <c r="JY11" s="20" t="s">
        <v>834</v>
      </c>
      <c r="JZ11" s="20" t="s">
        <v>834</v>
      </c>
      <c r="LD11" s="20" t="s">
        <v>835</v>
      </c>
      <c r="LG11" s="20" t="s">
        <v>696</v>
      </c>
      <c r="LJ11" s="20" t="s">
        <v>696</v>
      </c>
      <c r="LK11" s="20" t="s">
        <v>836</v>
      </c>
      <c r="LM11" s="20" t="s">
        <v>696</v>
      </c>
      <c r="LS11" s="20" t="s">
        <v>696</v>
      </c>
      <c r="LT11" s="20" t="s">
        <v>837</v>
      </c>
      <c r="LU11" s="20" t="s">
        <v>698</v>
      </c>
      <c r="LV11" s="20" t="s">
        <v>698</v>
      </c>
      <c r="LW11" s="20" t="s">
        <v>838</v>
      </c>
      <c r="LX11" s="20" t="s">
        <v>838</v>
      </c>
      <c r="XL11" s="20" t="s">
        <v>730</v>
      </c>
      <c r="XM11" s="20" t="s">
        <v>731</v>
      </c>
      <c r="XN11" s="20" t="s">
        <v>732</v>
      </c>
      <c r="XO11" s="20" t="s">
        <v>733</v>
      </c>
      <c r="XQ11" s="24">
        <v>45826</v>
      </c>
      <c r="XU11" s="20" t="s">
        <v>730</v>
      </c>
      <c r="XV11" s="20" t="s">
        <v>733</v>
      </c>
      <c r="XW11" s="20" t="s">
        <v>731</v>
      </c>
      <c r="XX11" s="20" t="s">
        <v>732</v>
      </c>
      <c r="XY11" s="20" t="s">
        <v>839</v>
      </c>
    </row>
    <row r="12" spans="1:649" ht="15.75" customHeight="1">
      <c r="A12" s="20">
        <v>74</v>
      </c>
      <c r="B12" s="21">
        <v>45750</v>
      </c>
      <c r="C12" s="20">
        <v>2025</v>
      </c>
      <c r="D12" s="20">
        <v>20250083</v>
      </c>
      <c r="E12" s="20">
        <v>41000</v>
      </c>
      <c r="F12" s="20" t="s">
        <v>840</v>
      </c>
      <c r="G12" s="20">
        <v>40283</v>
      </c>
      <c r="H12" s="20" t="s">
        <v>841</v>
      </c>
      <c r="I12" s="20" t="s">
        <v>842</v>
      </c>
      <c r="J12" s="20" t="s">
        <v>772</v>
      </c>
      <c r="K12" s="20" t="s">
        <v>694</v>
      </c>
      <c r="L12" s="20">
        <v>75225</v>
      </c>
      <c r="M12" s="22">
        <v>45720.679166666669</v>
      </c>
      <c r="N12" s="20" t="s">
        <v>843</v>
      </c>
      <c r="O12" s="20" t="s">
        <v>698</v>
      </c>
      <c r="P12" s="20">
        <v>36.749647000000003</v>
      </c>
      <c r="Q12" s="20">
        <v>-76.092609999999993</v>
      </c>
      <c r="R12" s="20" t="s">
        <v>844</v>
      </c>
      <c r="S12" s="20" t="s">
        <v>845</v>
      </c>
      <c r="W12" s="20">
        <v>38</v>
      </c>
      <c r="Y12" s="20">
        <v>29</v>
      </c>
      <c r="Z12" s="20" t="s">
        <v>698</v>
      </c>
      <c r="AF12" s="20">
        <v>0</v>
      </c>
      <c r="AG12" s="20" t="s">
        <v>698</v>
      </c>
      <c r="AM12" s="20">
        <v>0</v>
      </c>
      <c r="AN12" s="20" t="s">
        <v>846</v>
      </c>
      <c r="AQ12" s="23">
        <v>45720.71875</v>
      </c>
      <c r="AR12" s="20" t="s">
        <v>776</v>
      </c>
      <c r="AS12" s="20" t="s">
        <v>702</v>
      </c>
      <c r="AT12" s="20" t="s">
        <v>847</v>
      </c>
      <c r="AZ12" s="20" t="s">
        <v>696</v>
      </c>
      <c r="BA12" s="20" t="s">
        <v>753</v>
      </c>
      <c r="BB12" s="23">
        <v>45720.76666666667</v>
      </c>
      <c r="BC12" s="23">
        <v>45720.71875</v>
      </c>
      <c r="BD12" s="23">
        <v>45720.71875</v>
      </c>
      <c r="BE12" s="23">
        <v>45720.76666666667</v>
      </c>
      <c r="BF12" s="20">
        <v>1425057</v>
      </c>
      <c r="BG12" s="20" t="s">
        <v>848</v>
      </c>
      <c r="BH12" s="20" t="s">
        <v>698</v>
      </c>
      <c r="BN12" s="20" t="s">
        <v>849</v>
      </c>
      <c r="BO12" s="20" t="s">
        <v>850</v>
      </c>
      <c r="BR12" s="20" t="s">
        <v>849</v>
      </c>
      <c r="BS12" s="20" t="s">
        <v>851</v>
      </c>
      <c r="BV12" s="20" t="s">
        <v>696</v>
      </c>
      <c r="BW12" s="23">
        <v>45720.6875</v>
      </c>
      <c r="BX12" s="20" t="s">
        <v>696</v>
      </c>
      <c r="BY12" s="23">
        <v>45720.71875</v>
      </c>
      <c r="BZ12" s="23">
        <v>45720.756944444445</v>
      </c>
      <c r="CA12" s="20">
        <v>0</v>
      </c>
      <c r="CB12" s="20" t="s">
        <v>852</v>
      </c>
      <c r="CC12" s="20" t="s">
        <v>853</v>
      </c>
      <c r="CD12" s="20" t="s">
        <v>854</v>
      </c>
      <c r="CE12" s="20">
        <v>23456</v>
      </c>
      <c r="CF12" s="20" t="s">
        <v>855</v>
      </c>
      <c r="CG12" s="20" t="s">
        <v>856</v>
      </c>
      <c r="CH12" s="20" t="s">
        <v>784</v>
      </c>
      <c r="CI12" s="20">
        <v>2.65</v>
      </c>
      <c r="CJ12" s="20" t="s">
        <v>698</v>
      </c>
      <c r="CK12" s="20" t="s">
        <v>785</v>
      </c>
      <c r="CL12" s="20" t="s">
        <v>741</v>
      </c>
      <c r="CM12" s="20" t="s">
        <v>742</v>
      </c>
      <c r="CO12" s="20">
        <v>31</v>
      </c>
      <c r="CP12" s="20" t="s">
        <v>698</v>
      </c>
      <c r="DM12" s="20" t="s">
        <v>715</v>
      </c>
      <c r="DN12" s="20" t="s">
        <v>744</v>
      </c>
      <c r="DO12" s="20" t="s">
        <v>745</v>
      </c>
      <c r="DP12" s="20" t="s">
        <v>698</v>
      </c>
      <c r="DQ12" s="20">
        <v>6.625</v>
      </c>
      <c r="DR12" s="20">
        <v>0.188</v>
      </c>
      <c r="DS12" s="20">
        <v>24000</v>
      </c>
      <c r="DT12" s="20" t="s">
        <v>728</v>
      </c>
      <c r="DU12" s="20" t="s">
        <v>857</v>
      </c>
      <c r="DW12" s="20" t="s">
        <v>728</v>
      </c>
      <c r="DX12" s="20" t="s">
        <v>805</v>
      </c>
      <c r="DZ12" s="20" t="s">
        <v>698</v>
      </c>
      <c r="FK12" s="20">
        <v>1963</v>
      </c>
      <c r="FL12" s="20">
        <v>1963</v>
      </c>
      <c r="FM12" s="20" t="s">
        <v>719</v>
      </c>
      <c r="FO12" s="20" t="s">
        <v>720</v>
      </c>
      <c r="FR12" s="20" t="s">
        <v>749</v>
      </c>
      <c r="FY12" s="20" t="s">
        <v>698</v>
      </c>
      <c r="GC12" s="20" t="s">
        <v>696</v>
      </c>
      <c r="GD12" s="20" t="s">
        <v>696</v>
      </c>
      <c r="GE12" s="20" t="s">
        <v>696</v>
      </c>
      <c r="GG12" s="20" t="s">
        <v>696</v>
      </c>
      <c r="GH12" s="20" t="s">
        <v>696</v>
      </c>
      <c r="GK12" s="20" t="s">
        <v>696</v>
      </c>
      <c r="GN12" s="20" t="s">
        <v>696</v>
      </c>
      <c r="GR12" s="20">
        <v>4.8</v>
      </c>
      <c r="GS12" s="20" t="s">
        <v>858</v>
      </c>
      <c r="GT12" s="20" t="s">
        <v>696</v>
      </c>
      <c r="GU12" s="20" t="s">
        <v>696</v>
      </c>
      <c r="GZ12" s="20" t="s">
        <v>696</v>
      </c>
      <c r="HA12" s="20" t="s">
        <v>698</v>
      </c>
      <c r="HF12" s="20">
        <v>26921</v>
      </c>
      <c r="HG12" s="20">
        <v>1995</v>
      </c>
      <c r="HH12" s="20">
        <v>215371</v>
      </c>
      <c r="HI12" s="20">
        <v>447082</v>
      </c>
      <c r="HJ12" s="20">
        <v>300000</v>
      </c>
      <c r="HK12" s="20">
        <v>0</v>
      </c>
      <c r="HM12" s="20">
        <v>991369</v>
      </c>
      <c r="HN12" s="20">
        <v>0</v>
      </c>
      <c r="HO12" s="20">
        <v>0</v>
      </c>
      <c r="HP12" s="20">
        <v>0</v>
      </c>
      <c r="HQ12" s="20">
        <v>0</v>
      </c>
      <c r="HR12" s="20">
        <v>94</v>
      </c>
      <c r="HS12" s="20">
        <v>575</v>
      </c>
      <c r="HT12" s="20" t="s">
        <v>750</v>
      </c>
      <c r="HV12" s="24">
        <v>41242</v>
      </c>
      <c r="HW12" s="20" t="s">
        <v>698</v>
      </c>
      <c r="HY12" s="20" t="s">
        <v>723</v>
      </c>
      <c r="HZ12" s="20" t="s">
        <v>698</v>
      </c>
      <c r="ID12" s="20" t="s">
        <v>696</v>
      </c>
      <c r="IL12" s="20" t="s">
        <v>698</v>
      </c>
      <c r="IS12" s="20" t="s">
        <v>724</v>
      </c>
      <c r="IT12" s="20" t="s">
        <v>696</v>
      </c>
      <c r="IU12" s="20" t="s">
        <v>696</v>
      </c>
      <c r="IV12" s="20" t="s">
        <v>696</v>
      </c>
      <c r="IW12" s="20" t="s">
        <v>696</v>
      </c>
      <c r="IX12" s="20" t="s">
        <v>696</v>
      </c>
      <c r="IY12" s="20" t="s">
        <v>696</v>
      </c>
      <c r="IZ12" s="20" t="s">
        <v>696</v>
      </c>
      <c r="JA12" s="20" t="s">
        <v>696</v>
      </c>
      <c r="JB12" s="20" t="s">
        <v>696</v>
      </c>
      <c r="JC12" s="20" t="s">
        <v>696</v>
      </c>
      <c r="JD12" s="20" t="s">
        <v>859</v>
      </c>
      <c r="JF12" s="20" t="s">
        <v>696</v>
      </c>
      <c r="JI12" s="20" t="s">
        <v>696</v>
      </c>
      <c r="JJ12" s="20" t="s">
        <v>696</v>
      </c>
      <c r="JR12" s="20" t="s">
        <v>698</v>
      </c>
      <c r="JS12" s="20" t="s">
        <v>698</v>
      </c>
      <c r="JX12" s="20" t="s">
        <v>833</v>
      </c>
      <c r="JY12" s="20" t="s">
        <v>860</v>
      </c>
      <c r="JZ12" s="20" t="s">
        <v>860</v>
      </c>
      <c r="KA12" s="20" t="s">
        <v>835</v>
      </c>
      <c r="KH12" s="20" t="s">
        <v>696</v>
      </c>
      <c r="KI12" s="20" t="s">
        <v>861</v>
      </c>
      <c r="KL12" s="20" t="s">
        <v>696</v>
      </c>
      <c r="KN12" s="20" t="s">
        <v>696</v>
      </c>
      <c r="KO12" s="20" t="s">
        <v>862</v>
      </c>
      <c r="KP12" s="20" t="s">
        <v>696</v>
      </c>
      <c r="KQ12" s="20" t="s">
        <v>696</v>
      </c>
      <c r="KR12" s="20">
        <v>2000</v>
      </c>
      <c r="KS12" s="20" t="s">
        <v>698</v>
      </c>
      <c r="KT12" s="20" t="s">
        <v>696</v>
      </c>
      <c r="KU12" s="20" t="s">
        <v>696</v>
      </c>
      <c r="KV12" s="20" t="s">
        <v>696</v>
      </c>
      <c r="KX12" s="20">
        <v>2024</v>
      </c>
      <c r="KY12" s="20">
        <v>2023</v>
      </c>
      <c r="LC12" s="20" t="s">
        <v>698</v>
      </c>
      <c r="SC12" s="20" t="s">
        <v>696</v>
      </c>
      <c r="SD12" s="20" t="s">
        <v>696</v>
      </c>
      <c r="SG12" s="20" t="s">
        <v>696</v>
      </c>
      <c r="SK12" s="20">
        <v>2023</v>
      </c>
      <c r="SL12" s="20" t="s">
        <v>863</v>
      </c>
      <c r="SM12" s="20" t="s">
        <v>864</v>
      </c>
      <c r="SO12" s="20" t="s">
        <v>865</v>
      </c>
      <c r="SQ12" s="20">
        <v>2018</v>
      </c>
      <c r="SR12" s="20" t="s">
        <v>863</v>
      </c>
      <c r="SS12" s="20" t="s">
        <v>864</v>
      </c>
      <c r="SU12" s="20" t="s">
        <v>865</v>
      </c>
      <c r="TQ12" s="20">
        <v>2023</v>
      </c>
      <c r="TR12" s="20" t="s">
        <v>863</v>
      </c>
      <c r="TS12" s="20" t="s">
        <v>865</v>
      </c>
      <c r="TU12" s="20" t="s">
        <v>866</v>
      </c>
      <c r="TV12" s="20">
        <v>2018</v>
      </c>
      <c r="TW12" s="20" t="s">
        <v>863</v>
      </c>
      <c r="TX12" s="20" t="s">
        <v>865</v>
      </c>
      <c r="TZ12" s="20" t="s">
        <v>866</v>
      </c>
      <c r="UO12" s="20" t="s">
        <v>696</v>
      </c>
      <c r="UP12" s="20">
        <v>2012</v>
      </c>
      <c r="UQ12" s="20">
        <v>760</v>
      </c>
      <c r="UR12" s="20" t="s">
        <v>698</v>
      </c>
      <c r="UZ12" s="20" t="s">
        <v>698</v>
      </c>
      <c r="XL12" s="20" t="s">
        <v>867</v>
      </c>
      <c r="XM12" s="20" t="s">
        <v>868</v>
      </c>
      <c r="XN12" s="20" t="s">
        <v>869</v>
      </c>
      <c r="XO12" s="20">
        <v>8563322424</v>
      </c>
      <c r="XQ12" s="24">
        <v>45814</v>
      </c>
      <c r="XR12" s="20" t="s">
        <v>870</v>
      </c>
      <c r="XS12" s="20" t="s">
        <v>871</v>
      </c>
      <c r="XT12" s="20">
        <v>7574271066</v>
      </c>
      <c r="XU12" s="20" t="s">
        <v>872</v>
      </c>
      <c r="XV12" s="20">
        <v>6105792045</v>
      </c>
      <c r="XW12" s="20" t="s">
        <v>873</v>
      </c>
      <c r="XX12" s="20" t="s">
        <v>874</v>
      </c>
      <c r="XY12" s="20" t="s">
        <v>875</v>
      </c>
    </row>
    <row r="13" spans="1:649" ht="15.75" customHeight="1">
      <c r="A13" s="20">
        <v>78</v>
      </c>
      <c r="B13" s="21">
        <v>45749</v>
      </c>
      <c r="C13" s="20">
        <v>2025</v>
      </c>
      <c r="D13" s="20">
        <v>20250079</v>
      </c>
      <c r="E13" s="20">
        <v>40999</v>
      </c>
      <c r="F13" s="20" t="s">
        <v>840</v>
      </c>
      <c r="G13" s="20">
        <v>40283</v>
      </c>
      <c r="H13" s="20" t="s">
        <v>841</v>
      </c>
      <c r="I13" s="20" t="s">
        <v>842</v>
      </c>
      <c r="J13" s="20" t="s">
        <v>772</v>
      </c>
      <c r="K13" s="20" t="s">
        <v>694</v>
      </c>
      <c r="L13" s="20">
        <v>75225</v>
      </c>
      <c r="M13" s="22">
        <v>45719.34652777778</v>
      </c>
      <c r="N13" s="20" t="s">
        <v>843</v>
      </c>
      <c r="O13" s="20" t="s">
        <v>698</v>
      </c>
      <c r="P13" s="20">
        <v>36.774273999999998</v>
      </c>
      <c r="Q13" s="20">
        <v>-76.093598999999998</v>
      </c>
      <c r="R13" s="20" t="s">
        <v>844</v>
      </c>
      <c r="S13" s="20" t="s">
        <v>845</v>
      </c>
      <c r="W13" s="20">
        <v>7.14</v>
      </c>
      <c r="Y13" s="20">
        <v>5.36</v>
      </c>
      <c r="Z13" s="20" t="s">
        <v>698</v>
      </c>
      <c r="AF13" s="20">
        <v>0</v>
      </c>
      <c r="AG13" s="20" t="s">
        <v>698</v>
      </c>
      <c r="AM13" s="20">
        <v>0</v>
      </c>
      <c r="AN13" s="20" t="s">
        <v>846</v>
      </c>
      <c r="AQ13" s="23">
        <v>45719.489583333336</v>
      </c>
      <c r="AR13" s="20" t="s">
        <v>776</v>
      </c>
      <c r="AS13" s="20" t="s">
        <v>702</v>
      </c>
      <c r="AT13" s="20" t="s">
        <v>876</v>
      </c>
      <c r="AU13" s="20" t="s">
        <v>696</v>
      </c>
      <c r="AW13" s="23">
        <v>45719.42291666667</v>
      </c>
      <c r="AX13" s="23">
        <v>45786.329861111109</v>
      </c>
      <c r="AZ13" s="20" t="s">
        <v>696</v>
      </c>
      <c r="BA13" s="20" t="s">
        <v>753</v>
      </c>
      <c r="BB13" s="23">
        <v>45719.531944444447</v>
      </c>
      <c r="BC13" s="23">
        <v>45719.489583333336</v>
      </c>
      <c r="BD13" s="23">
        <v>45719.489583333336</v>
      </c>
      <c r="BE13" s="23">
        <v>45719.531944444447</v>
      </c>
      <c r="BF13" s="20">
        <v>1424936</v>
      </c>
      <c r="BG13" s="20" t="s">
        <v>877</v>
      </c>
      <c r="BH13" s="20" t="s">
        <v>698</v>
      </c>
      <c r="BN13" s="20" t="s">
        <v>849</v>
      </c>
      <c r="BO13" s="20" t="s">
        <v>850</v>
      </c>
      <c r="BR13" s="20" t="s">
        <v>849</v>
      </c>
      <c r="BS13" s="20" t="s">
        <v>851</v>
      </c>
      <c r="BV13" s="20" t="s">
        <v>696</v>
      </c>
      <c r="BW13" s="23">
        <v>45719.46875</v>
      </c>
      <c r="BX13" s="20" t="s">
        <v>696</v>
      </c>
      <c r="BY13" s="23">
        <v>45719.502083333333</v>
      </c>
      <c r="BZ13" s="23">
        <v>45719.569444444445</v>
      </c>
      <c r="CA13" s="20">
        <v>0</v>
      </c>
      <c r="CB13" s="20" t="s">
        <v>852</v>
      </c>
      <c r="CC13" s="20" t="s">
        <v>853</v>
      </c>
      <c r="CD13" s="20" t="s">
        <v>854</v>
      </c>
      <c r="CE13" s="20">
        <v>23456</v>
      </c>
      <c r="CF13" s="20" t="s">
        <v>855</v>
      </c>
      <c r="CG13" s="20" t="s">
        <v>856</v>
      </c>
      <c r="CH13" s="20" t="s">
        <v>784</v>
      </c>
      <c r="CI13" s="20">
        <v>4.5</v>
      </c>
      <c r="CJ13" s="20" t="s">
        <v>698</v>
      </c>
      <c r="CK13" s="20" t="s">
        <v>785</v>
      </c>
      <c r="CL13" s="20" t="s">
        <v>741</v>
      </c>
      <c r="CM13" s="20" t="s">
        <v>878</v>
      </c>
      <c r="CO13" s="20">
        <v>48</v>
      </c>
      <c r="CP13" s="20" t="s">
        <v>696</v>
      </c>
      <c r="CU13" s="20" t="s">
        <v>696</v>
      </c>
      <c r="CV13" s="20" t="s">
        <v>879</v>
      </c>
      <c r="DM13" s="20" t="s">
        <v>715</v>
      </c>
      <c r="DN13" s="20" t="s">
        <v>744</v>
      </c>
      <c r="DO13" s="20" t="s">
        <v>745</v>
      </c>
      <c r="DP13" s="20" t="s">
        <v>698</v>
      </c>
      <c r="DQ13" s="20">
        <v>6.625</v>
      </c>
      <c r="DR13" s="20">
        <v>0.25</v>
      </c>
      <c r="DS13" s="20">
        <v>42000</v>
      </c>
      <c r="DT13" s="20" t="s">
        <v>880</v>
      </c>
      <c r="DU13" s="20" t="s">
        <v>747</v>
      </c>
      <c r="DW13" s="20" t="s">
        <v>728</v>
      </c>
      <c r="DX13" s="20" t="s">
        <v>748</v>
      </c>
      <c r="DZ13" s="20" t="s">
        <v>698</v>
      </c>
      <c r="FK13" s="20">
        <v>1997</v>
      </c>
      <c r="FL13" s="20">
        <v>1997</v>
      </c>
      <c r="FM13" s="20" t="s">
        <v>719</v>
      </c>
      <c r="FO13" s="20" t="s">
        <v>720</v>
      </c>
      <c r="FR13" s="20" t="s">
        <v>749</v>
      </c>
      <c r="FY13" s="20" t="s">
        <v>698</v>
      </c>
      <c r="GC13" s="20" t="s">
        <v>696</v>
      </c>
      <c r="GD13" s="20" t="s">
        <v>696</v>
      </c>
      <c r="GE13" s="20" t="s">
        <v>696</v>
      </c>
      <c r="GG13" s="20" t="s">
        <v>696</v>
      </c>
      <c r="GH13" s="20" t="s">
        <v>696</v>
      </c>
      <c r="GK13" s="20" t="s">
        <v>696</v>
      </c>
      <c r="GN13" s="20" t="s">
        <v>696</v>
      </c>
      <c r="GR13" s="20">
        <v>0.9</v>
      </c>
      <c r="GS13" s="20" t="s">
        <v>858</v>
      </c>
      <c r="GT13" s="20" t="s">
        <v>696</v>
      </c>
      <c r="GU13" s="20" t="s">
        <v>696</v>
      </c>
      <c r="GX13" s="20" t="s">
        <v>696</v>
      </c>
      <c r="GY13" s="20" t="s">
        <v>698</v>
      </c>
      <c r="HF13" s="20">
        <v>26921</v>
      </c>
      <c r="HG13" s="20">
        <v>375</v>
      </c>
      <c r="HH13" s="20">
        <v>215371</v>
      </c>
      <c r="HI13" s="20">
        <v>447082</v>
      </c>
      <c r="HJ13" s="20">
        <v>200000</v>
      </c>
      <c r="HK13" s="20">
        <v>0</v>
      </c>
      <c r="HM13" s="20">
        <v>889749</v>
      </c>
      <c r="HN13" s="20">
        <v>0</v>
      </c>
      <c r="HO13" s="20">
        <v>0</v>
      </c>
      <c r="HP13" s="20">
        <v>0</v>
      </c>
      <c r="HQ13" s="20">
        <v>0</v>
      </c>
      <c r="HR13" s="20">
        <v>92</v>
      </c>
      <c r="HS13" s="20">
        <v>575</v>
      </c>
      <c r="HT13" s="20" t="s">
        <v>750</v>
      </c>
      <c r="HV13" s="24">
        <v>41242</v>
      </c>
      <c r="HW13" s="20" t="s">
        <v>698</v>
      </c>
      <c r="HY13" s="20" t="s">
        <v>723</v>
      </c>
      <c r="HZ13" s="20" t="s">
        <v>698</v>
      </c>
      <c r="ID13" s="20" t="s">
        <v>696</v>
      </c>
      <c r="IL13" s="20" t="s">
        <v>698</v>
      </c>
      <c r="IS13" s="20" t="s">
        <v>724</v>
      </c>
      <c r="IT13" s="20" t="s">
        <v>696</v>
      </c>
      <c r="IU13" s="20" t="s">
        <v>696</v>
      </c>
      <c r="IV13" s="20" t="s">
        <v>696</v>
      </c>
      <c r="IW13" s="20" t="s">
        <v>696</v>
      </c>
      <c r="IX13" s="20" t="s">
        <v>696</v>
      </c>
      <c r="IY13" s="20" t="s">
        <v>696</v>
      </c>
      <c r="IZ13" s="20" t="s">
        <v>696</v>
      </c>
      <c r="JA13" s="20" t="s">
        <v>696</v>
      </c>
      <c r="JB13" s="20" t="s">
        <v>696</v>
      </c>
      <c r="JC13" s="20" t="s">
        <v>696</v>
      </c>
      <c r="JD13" s="20" t="s">
        <v>859</v>
      </c>
      <c r="JF13" s="20" t="s">
        <v>696</v>
      </c>
      <c r="JI13" s="20" t="s">
        <v>696</v>
      </c>
      <c r="JJ13" s="20" t="s">
        <v>696</v>
      </c>
      <c r="JR13" s="20" t="s">
        <v>698</v>
      </c>
      <c r="JS13" s="20" t="s">
        <v>698</v>
      </c>
      <c r="JX13" s="20" t="s">
        <v>833</v>
      </c>
      <c r="JY13" s="20" t="s">
        <v>860</v>
      </c>
      <c r="JZ13" s="20" t="s">
        <v>860</v>
      </c>
      <c r="KA13" s="20" t="s">
        <v>835</v>
      </c>
      <c r="KH13" s="20" t="s">
        <v>696</v>
      </c>
      <c r="KI13" s="20" t="s">
        <v>861</v>
      </c>
      <c r="KL13" s="20" t="s">
        <v>696</v>
      </c>
      <c r="KN13" s="20" t="s">
        <v>696</v>
      </c>
      <c r="KO13" s="20" t="s">
        <v>862</v>
      </c>
      <c r="KP13" s="20" t="s">
        <v>696</v>
      </c>
      <c r="KQ13" s="20" t="s">
        <v>696</v>
      </c>
      <c r="KR13" s="20">
        <v>2000</v>
      </c>
      <c r="KS13" s="20" t="s">
        <v>698</v>
      </c>
      <c r="KT13" s="20" t="s">
        <v>696</v>
      </c>
      <c r="KU13" s="20" t="s">
        <v>696</v>
      </c>
      <c r="KV13" s="20" t="s">
        <v>696</v>
      </c>
      <c r="KX13" s="20">
        <v>2024</v>
      </c>
      <c r="KY13" s="20">
        <v>2023</v>
      </c>
      <c r="LC13" s="20" t="s">
        <v>696</v>
      </c>
      <c r="SC13" s="20" t="s">
        <v>696</v>
      </c>
      <c r="SD13" s="20" t="s">
        <v>696</v>
      </c>
      <c r="SG13" s="20" t="s">
        <v>696</v>
      </c>
      <c r="SK13" s="20">
        <v>2023</v>
      </c>
      <c r="SL13" s="20" t="s">
        <v>863</v>
      </c>
      <c r="SM13" s="20" t="s">
        <v>864</v>
      </c>
      <c r="SO13" s="20" t="s">
        <v>865</v>
      </c>
      <c r="SQ13" s="20">
        <v>2018</v>
      </c>
      <c r="SR13" s="20" t="s">
        <v>863</v>
      </c>
      <c r="SS13" s="20" t="s">
        <v>864</v>
      </c>
      <c r="SU13" s="20" t="s">
        <v>865</v>
      </c>
      <c r="TQ13" s="20">
        <v>2023</v>
      </c>
      <c r="TR13" s="20" t="s">
        <v>863</v>
      </c>
      <c r="TS13" s="20" t="s">
        <v>865</v>
      </c>
      <c r="TU13" s="20" t="s">
        <v>866</v>
      </c>
      <c r="TV13" s="20">
        <v>2018</v>
      </c>
      <c r="TW13" s="20" t="s">
        <v>863</v>
      </c>
      <c r="TX13" s="20" t="s">
        <v>865</v>
      </c>
      <c r="TZ13" s="20" t="s">
        <v>866</v>
      </c>
      <c r="UO13" s="20" t="s">
        <v>696</v>
      </c>
      <c r="UP13" s="20">
        <v>2012</v>
      </c>
      <c r="UQ13" s="20">
        <v>760</v>
      </c>
      <c r="UR13" s="20" t="s">
        <v>698</v>
      </c>
      <c r="UZ13" s="20" t="s">
        <v>698</v>
      </c>
      <c r="WZ13" s="20" t="s">
        <v>696</v>
      </c>
      <c r="XL13" s="20" t="s">
        <v>867</v>
      </c>
      <c r="XM13" s="20" t="s">
        <v>868</v>
      </c>
      <c r="XN13" s="20" t="s">
        <v>869</v>
      </c>
      <c r="XO13" s="20">
        <v>8563322424</v>
      </c>
      <c r="XQ13" s="24">
        <v>45814</v>
      </c>
      <c r="XR13" s="20" t="s">
        <v>870</v>
      </c>
      <c r="XS13" s="20" t="s">
        <v>881</v>
      </c>
      <c r="XT13" s="20" t="s">
        <v>882</v>
      </c>
      <c r="XU13" s="20" t="s">
        <v>872</v>
      </c>
      <c r="XV13" s="20" t="s">
        <v>883</v>
      </c>
      <c r="XW13" s="20" t="s">
        <v>873</v>
      </c>
      <c r="XX13" s="20" t="s">
        <v>874</v>
      </c>
      <c r="XY13" s="20" t="s">
        <v>884</v>
      </c>
    </row>
    <row r="14" spans="1:649" ht="15.75" customHeight="1">
      <c r="A14" s="20">
        <v>81</v>
      </c>
      <c r="B14" s="21">
        <v>45744</v>
      </c>
      <c r="C14" s="20">
        <v>2025</v>
      </c>
      <c r="D14" s="20">
        <v>20250074</v>
      </c>
      <c r="E14" s="20">
        <v>40694</v>
      </c>
      <c r="F14" s="20" t="s">
        <v>885</v>
      </c>
      <c r="G14" s="20">
        <v>22442</v>
      </c>
      <c r="H14" s="20" t="s">
        <v>886</v>
      </c>
      <c r="I14" s="20" t="s">
        <v>692</v>
      </c>
      <c r="J14" s="20" t="s">
        <v>693</v>
      </c>
      <c r="K14" s="20" t="s">
        <v>694</v>
      </c>
      <c r="L14" s="20">
        <v>77002</v>
      </c>
      <c r="M14" s="22">
        <v>45716.719444444447</v>
      </c>
      <c r="N14" s="20" t="s">
        <v>695</v>
      </c>
      <c r="O14" s="20" t="s">
        <v>698</v>
      </c>
      <c r="P14" s="20">
        <v>32.152658000000002</v>
      </c>
      <c r="Q14" s="20">
        <v>-97.374422999999993</v>
      </c>
      <c r="R14" s="20" t="s">
        <v>697</v>
      </c>
      <c r="W14" s="20">
        <v>10</v>
      </c>
      <c r="Y14" s="20">
        <v>10</v>
      </c>
      <c r="Z14" s="20" t="s">
        <v>698</v>
      </c>
      <c r="AF14" s="20">
        <v>0</v>
      </c>
      <c r="AG14" s="20" t="s">
        <v>698</v>
      </c>
      <c r="AM14" s="20">
        <v>0</v>
      </c>
      <c r="AN14" s="20" t="s">
        <v>887</v>
      </c>
      <c r="AP14" s="20" t="s">
        <v>700</v>
      </c>
      <c r="AQ14" s="23">
        <v>45716.719444444447</v>
      </c>
      <c r="AR14" s="20" t="s">
        <v>701</v>
      </c>
      <c r="AS14" s="20" t="s">
        <v>702</v>
      </c>
      <c r="AT14" s="20" t="s">
        <v>703</v>
      </c>
      <c r="AU14" s="20" t="s">
        <v>696</v>
      </c>
      <c r="AW14" s="23">
        <v>45716.727777777778</v>
      </c>
      <c r="AX14" s="23">
        <v>45716.875</v>
      </c>
      <c r="AZ14" s="20" t="s">
        <v>698</v>
      </c>
      <c r="BC14" s="23">
        <v>45716.765277777777</v>
      </c>
      <c r="BD14" s="23">
        <v>45716.774305555555</v>
      </c>
      <c r="BF14" s="20" t="s">
        <v>754</v>
      </c>
      <c r="BH14" s="20" t="s">
        <v>698</v>
      </c>
      <c r="BV14" s="20" t="s">
        <v>696</v>
      </c>
      <c r="BW14" s="23">
        <v>45716.722222222219</v>
      </c>
      <c r="BX14" s="20" t="s">
        <v>698</v>
      </c>
      <c r="CA14" s="20">
        <v>0</v>
      </c>
      <c r="CB14" s="20" t="s">
        <v>888</v>
      </c>
      <c r="CC14" s="20" t="s">
        <v>889</v>
      </c>
      <c r="CD14" s="20" t="s">
        <v>694</v>
      </c>
      <c r="CE14" s="20">
        <v>76627</v>
      </c>
      <c r="CF14" s="20" t="s">
        <v>708</v>
      </c>
      <c r="CG14" s="20" t="s">
        <v>890</v>
      </c>
      <c r="CH14" s="20" t="s">
        <v>710</v>
      </c>
      <c r="CI14" s="20" t="s">
        <v>711</v>
      </c>
      <c r="CJ14" s="20" t="s">
        <v>698</v>
      </c>
      <c r="CK14" s="20" t="s">
        <v>891</v>
      </c>
      <c r="CL14" s="20" t="s">
        <v>713</v>
      </c>
      <c r="CM14" s="20" t="s">
        <v>758</v>
      </c>
      <c r="CP14" s="20" t="s">
        <v>698</v>
      </c>
      <c r="DM14" s="20" t="s">
        <v>743</v>
      </c>
      <c r="DN14" s="20" t="s">
        <v>892</v>
      </c>
      <c r="FK14" s="20">
        <v>2018</v>
      </c>
      <c r="FL14" s="20">
        <v>2018</v>
      </c>
      <c r="FM14" s="20" t="s">
        <v>719</v>
      </c>
      <c r="FO14" s="20" t="s">
        <v>893</v>
      </c>
      <c r="FY14" s="20" t="s">
        <v>698</v>
      </c>
      <c r="GC14" s="20" t="s">
        <v>696</v>
      </c>
      <c r="GD14" s="20" t="s">
        <v>698</v>
      </c>
      <c r="GE14" s="20" t="s">
        <v>696</v>
      </c>
      <c r="GH14" s="20" t="s">
        <v>696</v>
      </c>
      <c r="GK14" s="20" t="s">
        <v>698</v>
      </c>
      <c r="GT14" s="20" t="s">
        <v>698</v>
      </c>
      <c r="GU14" s="20" t="s">
        <v>698</v>
      </c>
      <c r="HF14" s="20">
        <v>0</v>
      </c>
      <c r="HG14" s="20">
        <v>146</v>
      </c>
      <c r="HH14" s="20">
        <v>0</v>
      </c>
      <c r="HI14" s="20">
        <v>5000</v>
      </c>
      <c r="HJ14" s="20">
        <v>7000</v>
      </c>
      <c r="HK14" s="20">
        <v>0</v>
      </c>
      <c r="HM14" s="20">
        <v>12146</v>
      </c>
      <c r="HN14" s="20">
        <v>0</v>
      </c>
      <c r="HO14" s="20">
        <v>0</v>
      </c>
      <c r="HP14" s="20">
        <v>0</v>
      </c>
      <c r="HQ14" s="20">
        <v>0</v>
      </c>
      <c r="HR14" s="20">
        <v>576</v>
      </c>
      <c r="HS14" s="20">
        <v>750</v>
      </c>
      <c r="HT14" s="20" t="s">
        <v>787</v>
      </c>
      <c r="HV14" s="24">
        <v>44847</v>
      </c>
      <c r="HW14" s="20" t="s">
        <v>698</v>
      </c>
      <c r="HY14" s="20" t="s">
        <v>723</v>
      </c>
      <c r="HZ14" s="20" t="s">
        <v>698</v>
      </c>
      <c r="IS14" s="20" t="s">
        <v>724</v>
      </c>
      <c r="IT14" s="20" t="s">
        <v>696</v>
      </c>
      <c r="IU14" s="20" t="s">
        <v>696</v>
      </c>
      <c r="IV14" s="20" t="s">
        <v>696</v>
      </c>
      <c r="IW14" s="20" t="s">
        <v>696</v>
      </c>
      <c r="IX14" s="20" t="s">
        <v>696</v>
      </c>
      <c r="IY14" s="20" t="s">
        <v>696</v>
      </c>
      <c r="IZ14" s="20" t="s">
        <v>696</v>
      </c>
      <c r="JA14" s="20" t="s">
        <v>696</v>
      </c>
      <c r="JB14" s="20" t="s">
        <v>696</v>
      </c>
      <c r="JC14" s="20" t="s">
        <v>696</v>
      </c>
      <c r="JD14" s="20" t="s">
        <v>859</v>
      </c>
      <c r="JF14" s="20" t="s">
        <v>696</v>
      </c>
      <c r="JM14" s="20" t="s">
        <v>696</v>
      </c>
      <c r="JR14" s="20" t="s">
        <v>698</v>
      </c>
      <c r="JS14" s="20" t="s">
        <v>698</v>
      </c>
      <c r="JX14" s="20" t="s">
        <v>894</v>
      </c>
      <c r="JY14" s="20" t="s">
        <v>895</v>
      </c>
      <c r="RM14" s="20" t="s">
        <v>895</v>
      </c>
      <c r="RN14" s="20" t="s">
        <v>766</v>
      </c>
      <c r="RO14" s="20" t="s">
        <v>896</v>
      </c>
      <c r="RQ14" s="20" t="s">
        <v>696</v>
      </c>
      <c r="RV14" s="20" t="s">
        <v>897</v>
      </c>
      <c r="RW14" s="20" t="s">
        <v>696</v>
      </c>
      <c r="RX14" s="20" t="s">
        <v>898</v>
      </c>
      <c r="XL14" s="20" t="s">
        <v>730</v>
      </c>
      <c r="XM14" s="20" t="s">
        <v>731</v>
      </c>
      <c r="XN14" s="20" t="s">
        <v>732</v>
      </c>
      <c r="XO14" s="20" t="s">
        <v>733</v>
      </c>
      <c r="XQ14" s="24">
        <v>45744</v>
      </c>
      <c r="XU14" s="20" t="s">
        <v>730</v>
      </c>
      <c r="XV14" s="20" t="s">
        <v>733</v>
      </c>
      <c r="XW14" s="20" t="s">
        <v>731</v>
      </c>
      <c r="XX14" s="20" t="s">
        <v>732</v>
      </c>
      <c r="XY14" s="20" t="s">
        <v>899</v>
      </c>
    </row>
    <row r="15" spans="1:649" ht="15.75" customHeight="1">
      <c r="A15" s="20">
        <v>83</v>
      </c>
      <c r="B15" s="21">
        <v>45744</v>
      </c>
      <c r="C15" s="20">
        <v>2025</v>
      </c>
      <c r="D15" s="20">
        <v>20250073</v>
      </c>
      <c r="E15" s="20">
        <v>40693</v>
      </c>
      <c r="F15" s="20" t="s">
        <v>885</v>
      </c>
      <c r="G15" s="20">
        <v>39596</v>
      </c>
      <c r="H15" s="20" t="s">
        <v>796</v>
      </c>
      <c r="I15" s="20" t="s">
        <v>692</v>
      </c>
      <c r="J15" s="20" t="s">
        <v>693</v>
      </c>
      <c r="K15" s="20" t="s">
        <v>694</v>
      </c>
      <c r="L15" s="20">
        <v>77002</v>
      </c>
      <c r="M15" s="22">
        <v>45715.666666666664</v>
      </c>
      <c r="N15" s="20" t="s">
        <v>695</v>
      </c>
      <c r="O15" s="20" t="s">
        <v>698</v>
      </c>
      <c r="P15" s="20">
        <v>33.864040000000003</v>
      </c>
      <c r="Q15" s="20">
        <v>-97.954053999999999</v>
      </c>
      <c r="R15" s="20" t="s">
        <v>697</v>
      </c>
      <c r="W15" s="20">
        <v>1</v>
      </c>
      <c r="Y15" s="20">
        <v>1</v>
      </c>
      <c r="Z15" s="20" t="s">
        <v>698</v>
      </c>
      <c r="AF15" s="20">
        <v>0</v>
      </c>
      <c r="AG15" s="20" t="s">
        <v>698</v>
      </c>
      <c r="AM15" s="20">
        <v>0</v>
      </c>
      <c r="AN15" s="20" t="s">
        <v>699</v>
      </c>
      <c r="AP15" s="20" t="s">
        <v>700</v>
      </c>
      <c r="AQ15" s="23">
        <v>45715.666666666664</v>
      </c>
      <c r="AR15" s="20" t="s">
        <v>701</v>
      </c>
      <c r="AS15" s="20" t="s">
        <v>702</v>
      </c>
      <c r="AT15" s="20" t="s">
        <v>703</v>
      </c>
      <c r="AU15" s="20" t="s">
        <v>698</v>
      </c>
      <c r="AV15" s="20" t="s">
        <v>900</v>
      </c>
      <c r="AZ15" s="20" t="s">
        <v>698</v>
      </c>
      <c r="BC15" s="23">
        <v>45715.666666666664</v>
      </c>
      <c r="BD15" s="23">
        <v>45715.666666666664</v>
      </c>
      <c r="BF15" s="20" t="s">
        <v>754</v>
      </c>
      <c r="BH15" s="20" t="s">
        <v>698</v>
      </c>
      <c r="BV15" s="20" t="s">
        <v>696</v>
      </c>
      <c r="BW15" s="23">
        <v>45715.6875</v>
      </c>
      <c r="BX15" s="20" t="s">
        <v>698</v>
      </c>
      <c r="CA15" s="20">
        <v>0</v>
      </c>
      <c r="CB15" s="20" t="s">
        <v>901</v>
      </c>
      <c r="CC15" s="20" t="s">
        <v>902</v>
      </c>
      <c r="CD15" s="20" t="s">
        <v>694</v>
      </c>
      <c r="CE15" s="20">
        <v>76255</v>
      </c>
      <c r="CF15" s="20" t="s">
        <v>708</v>
      </c>
      <c r="CG15" s="20" t="s">
        <v>903</v>
      </c>
      <c r="CH15" s="20" t="s">
        <v>710</v>
      </c>
      <c r="CI15" s="20" t="s">
        <v>711</v>
      </c>
      <c r="CJ15" s="20" t="s">
        <v>698</v>
      </c>
      <c r="CK15" s="20" t="s">
        <v>712</v>
      </c>
      <c r="CL15" s="20" t="s">
        <v>713</v>
      </c>
      <c r="CM15" s="20" t="s">
        <v>758</v>
      </c>
      <c r="CP15" s="20" t="s">
        <v>698</v>
      </c>
      <c r="DM15" s="20" t="s">
        <v>743</v>
      </c>
      <c r="DN15" s="20" t="s">
        <v>744</v>
      </c>
      <c r="DO15" s="20" t="s">
        <v>745</v>
      </c>
      <c r="DP15" s="20" t="s">
        <v>698</v>
      </c>
      <c r="DQ15" s="20">
        <v>12</v>
      </c>
      <c r="DR15" s="20">
        <v>0.625</v>
      </c>
      <c r="DS15" s="20">
        <v>42000</v>
      </c>
      <c r="DT15" s="20" t="s">
        <v>728</v>
      </c>
      <c r="DU15" s="20" t="s">
        <v>857</v>
      </c>
      <c r="DW15" s="20" t="s">
        <v>728</v>
      </c>
      <c r="DX15" s="20" t="s">
        <v>904</v>
      </c>
      <c r="DZ15" s="20" t="s">
        <v>696</v>
      </c>
      <c r="FK15" s="20">
        <v>2012</v>
      </c>
      <c r="FL15" s="20" t="s">
        <v>728</v>
      </c>
      <c r="FM15" s="20" t="s">
        <v>719</v>
      </c>
      <c r="FO15" s="20" t="s">
        <v>720</v>
      </c>
      <c r="FR15" s="20" t="s">
        <v>749</v>
      </c>
      <c r="FY15" s="20" t="s">
        <v>698</v>
      </c>
      <c r="GC15" s="20" t="s">
        <v>696</v>
      </c>
      <c r="GD15" s="20" t="s">
        <v>698</v>
      </c>
      <c r="GE15" s="20" t="s">
        <v>696</v>
      </c>
      <c r="GH15" s="20" t="s">
        <v>696</v>
      </c>
      <c r="GK15" s="20" t="s">
        <v>698</v>
      </c>
      <c r="GT15" s="20" t="s">
        <v>698</v>
      </c>
      <c r="GU15" s="20" t="s">
        <v>698</v>
      </c>
      <c r="HF15" s="20">
        <v>0</v>
      </c>
      <c r="HG15" s="20">
        <v>0</v>
      </c>
      <c r="HH15" s="20">
        <v>0</v>
      </c>
      <c r="HI15" s="20">
        <v>1300</v>
      </c>
      <c r="HJ15" s="20">
        <v>0</v>
      </c>
      <c r="HK15" s="20">
        <v>0</v>
      </c>
      <c r="HM15" s="20">
        <v>1300</v>
      </c>
      <c r="HN15" s="20">
        <v>0</v>
      </c>
      <c r="HO15" s="20">
        <v>0</v>
      </c>
      <c r="HP15" s="20">
        <v>0</v>
      </c>
      <c r="HQ15" s="20">
        <v>0</v>
      </c>
      <c r="HR15" s="20">
        <v>25</v>
      </c>
      <c r="HS15" s="20">
        <v>285</v>
      </c>
      <c r="HT15" s="20" t="s">
        <v>750</v>
      </c>
      <c r="HV15" s="24">
        <v>41183</v>
      </c>
      <c r="HW15" s="20" t="s">
        <v>698</v>
      </c>
      <c r="HY15" s="20" t="s">
        <v>723</v>
      </c>
      <c r="HZ15" s="20" t="s">
        <v>698</v>
      </c>
      <c r="IS15" s="20" t="s">
        <v>724</v>
      </c>
      <c r="IT15" s="20" t="s">
        <v>696</v>
      </c>
      <c r="IU15" s="20" t="s">
        <v>696</v>
      </c>
      <c r="IV15" s="20" t="s">
        <v>696</v>
      </c>
      <c r="IW15" s="20" t="s">
        <v>698</v>
      </c>
      <c r="IX15" s="20" t="s">
        <v>698</v>
      </c>
      <c r="IY15" s="20" t="s">
        <v>698</v>
      </c>
      <c r="JD15" s="20" t="s">
        <v>725</v>
      </c>
      <c r="JE15" s="20" t="s">
        <v>726</v>
      </c>
      <c r="JR15" s="20" t="s">
        <v>698</v>
      </c>
      <c r="JS15" s="20" t="s">
        <v>698</v>
      </c>
      <c r="JX15" s="20" t="s">
        <v>833</v>
      </c>
      <c r="JY15" s="20" t="s">
        <v>834</v>
      </c>
      <c r="JZ15" s="20" t="s">
        <v>834</v>
      </c>
      <c r="LD15" s="20" t="s">
        <v>905</v>
      </c>
      <c r="LG15" s="20" t="s">
        <v>696</v>
      </c>
      <c r="LL15" s="20" t="s">
        <v>696</v>
      </c>
      <c r="LP15" s="20" t="s">
        <v>696</v>
      </c>
      <c r="LR15" s="20" t="s">
        <v>696</v>
      </c>
      <c r="LU15" s="20" t="s">
        <v>696</v>
      </c>
      <c r="LV15" s="20" t="s">
        <v>698</v>
      </c>
      <c r="LW15" s="20" t="s">
        <v>838</v>
      </c>
      <c r="LX15" s="20" t="s">
        <v>838</v>
      </c>
      <c r="SC15" s="20" t="s">
        <v>698</v>
      </c>
      <c r="UO15" s="20" t="s">
        <v>698</v>
      </c>
      <c r="UR15" s="20" t="s">
        <v>698</v>
      </c>
      <c r="UZ15" s="20" t="s">
        <v>698</v>
      </c>
      <c r="XL15" s="20" t="s">
        <v>730</v>
      </c>
      <c r="XM15" s="20" t="s">
        <v>731</v>
      </c>
      <c r="XN15" s="20" t="s">
        <v>732</v>
      </c>
      <c r="XO15" s="20" t="s">
        <v>733</v>
      </c>
      <c r="XQ15" s="24">
        <v>45744</v>
      </c>
      <c r="XU15" s="20" t="s">
        <v>730</v>
      </c>
      <c r="XV15" s="20" t="s">
        <v>733</v>
      </c>
      <c r="XW15" s="20" t="s">
        <v>731</v>
      </c>
      <c r="XX15" s="20" t="s">
        <v>732</v>
      </c>
      <c r="XY15" s="20" t="s">
        <v>906</v>
      </c>
    </row>
    <row r="16" spans="1:649" ht="15.75" customHeight="1">
      <c r="A16" s="20">
        <v>97</v>
      </c>
      <c r="B16" s="21">
        <v>45782</v>
      </c>
      <c r="C16" s="20">
        <v>2025</v>
      </c>
      <c r="D16" s="20">
        <v>20250110</v>
      </c>
      <c r="E16" s="20">
        <v>41059</v>
      </c>
      <c r="F16" s="20" t="s">
        <v>825</v>
      </c>
      <c r="G16" s="20">
        <v>39706</v>
      </c>
      <c r="H16" s="20" t="s">
        <v>817</v>
      </c>
      <c r="I16" s="20" t="s">
        <v>692</v>
      </c>
      <c r="J16" s="20" t="s">
        <v>693</v>
      </c>
      <c r="K16" s="20" t="s">
        <v>694</v>
      </c>
      <c r="L16" s="20">
        <v>77002</v>
      </c>
      <c r="M16" s="22">
        <v>45698.569444444445</v>
      </c>
      <c r="N16" s="20" t="s">
        <v>695</v>
      </c>
      <c r="O16" s="20" t="s">
        <v>698</v>
      </c>
      <c r="P16" s="20">
        <v>30.003982000000001</v>
      </c>
      <c r="Q16" s="20">
        <v>-93.989768999999995</v>
      </c>
      <c r="R16" s="20" t="s">
        <v>697</v>
      </c>
      <c r="W16" s="20">
        <v>0.3</v>
      </c>
      <c r="Y16" s="20">
        <v>0.3</v>
      </c>
      <c r="Z16" s="20" t="s">
        <v>698</v>
      </c>
      <c r="AF16" s="20">
        <v>0</v>
      </c>
      <c r="AG16" s="20" t="s">
        <v>698</v>
      </c>
      <c r="AM16" s="20">
        <v>0</v>
      </c>
      <c r="AN16" s="20" t="s">
        <v>699</v>
      </c>
      <c r="AP16" s="20" t="s">
        <v>700</v>
      </c>
      <c r="AQ16" s="23">
        <v>45698.569444444445</v>
      </c>
      <c r="AR16" s="20" t="s">
        <v>907</v>
      </c>
      <c r="AS16" s="20" t="s">
        <v>702</v>
      </c>
      <c r="AT16" s="20" t="s">
        <v>703</v>
      </c>
      <c r="AU16" s="20" t="s">
        <v>698</v>
      </c>
      <c r="AV16" s="20" t="s">
        <v>908</v>
      </c>
      <c r="AZ16" s="20" t="s">
        <v>698</v>
      </c>
      <c r="BC16" s="23">
        <v>45698.569444444445</v>
      </c>
      <c r="BD16" s="23">
        <v>45698.569444444445</v>
      </c>
      <c r="BF16" s="20" t="s">
        <v>754</v>
      </c>
      <c r="BH16" s="20" t="s">
        <v>698</v>
      </c>
      <c r="BV16" s="20" t="s">
        <v>696</v>
      </c>
      <c r="BW16" s="23">
        <v>45698.570833333331</v>
      </c>
      <c r="BX16" s="20" t="s">
        <v>698</v>
      </c>
      <c r="CA16" s="20">
        <v>0</v>
      </c>
      <c r="CB16" s="20" t="s">
        <v>818</v>
      </c>
      <c r="CC16" s="20" t="s">
        <v>909</v>
      </c>
      <c r="CD16" s="20" t="s">
        <v>694</v>
      </c>
      <c r="CE16" s="20">
        <v>77627</v>
      </c>
      <c r="CF16" s="20" t="s">
        <v>820</v>
      </c>
      <c r="CG16" s="20" t="s">
        <v>821</v>
      </c>
      <c r="CH16" s="20" t="s">
        <v>710</v>
      </c>
      <c r="CI16" s="20" t="s">
        <v>711</v>
      </c>
      <c r="CJ16" s="20" t="s">
        <v>698</v>
      </c>
      <c r="CK16" s="20" t="s">
        <v>712</v>
      </c>
      <c r="CL16" s="20" t="s">
        <v>910</v>
      </c>
      <c r="CP16" s="20" t="s">
        <v>698</v>
      </c>
      <c r="DM16" s="20" t="s">
        <v>743</v>
      </c>
      <c r="DN16" s="20" t="s">
        <v>911</v>
      </c>
      <c r="EW16" s="20" t="s">
        <v>912</v>
      </c>
      <c r="EY16" s="20" t="s">
        <v>913</v>
      </c>
      <c r="FD16" s="20">
        <v>56.8</v>
      </c>
      <c r="FE16" s="20" t="s">
        <v>698</v>
      </c>
      <c r="FF16" s="20">
        <v>2011</v>
      </c>
      <c r="FH16" s="20">
        <v>2021</v>
      </c>
      <c r="FK16" s="20">
        <v>2011</v>
      </c>
      <c r="FL16" s="20">
        <v>2011</v>
      </c>
      <c r="FM16" s="20" t="s">
        <v>719</v>
      </c>
      <c r="FO16" s="20" t="s">
        <v>720</v>
      </c>
      <c r="FR16" s="20" t="s">
        <v>721</v>
      </c>
      <c r="FY16" s="20" t="s">
        <v>698</v>
      </c>
      <c r="GC16" s="20" t="s">
        <v>696</v>
      </c>
      <c r="GD16" s="20" t="s">
        <v>698</v>
      </c>
      <c r="GE16" s="20" t="s">
        <v>696</v>
      </c>
      <c r="GH16" s="20" t="s">
        <v>696</v>
      </c>
      <c r="GK16" s="20" t="s">
        <v>698</v>
      </c>
      <c r="GT16" s="20" t="s">
        <v>696</v>
      </c>
      <c r="GU16" s="20" t="s">
        <v>696</v>
      </c>
      <c r="GX16" s="20" t="s">
        <v>696</v>
      </c>
      <c r="GY16" s="20" t="s">
        <v>696</v>
      </c>
      <c r="HF16" s="20">
        <v>0</v>
      </c>
      <c r="HG16" s="20">
        <v>1000</v>
      </c>
      <c r="HH16" s="20">
        <v>3000</v>
      </c>
      <c r="HI16" s="20">
        <v>2500</v>
      </c>
      <c r="HJ16" s="20">
        <v>1000</v>
      </c>
      <c r="HK16" s="20">
        <v>0</v>
      </c>
      <c r="HM16" s="20">
        <v>7500</v>
      </c>
      <c r="HN16" s="20">
        <v>0</v>
      </c>
      <c r="HO16" s="20">
        <v>0</v>
      </c>
      <c r="HP16" s="20">
        <v>0</v>
      </c>
      <c r="HQ16" s="20">
        <v>0</v>
      </c>
      <c r="HR16" s="20">
        <v>14.7</v>
      </c>
      <c r="HZ16" s="20" t="s">
        <v>698</v>
      </c>
      <c r="IS16" s="20" t="s">
        <v>724</v>
      </c>
      <c r="IT16" s="20" t="s">
        <v>696</v>
      </c>
      <c r="IU16" s="20" t="s">
        <v>696</v>
      </c>
      <c r="IV16" s="20" t="s">
        <v>696</v>
      </c>
      <c r="IW16" s="20" t="s">
        <v>698</v>
      </c>
      <c r="IX16" s="20" t="s">
        <v>698</v>
      </c>
      <c r="IY16" s="20" t="s">
        <v>698</v>
      </c>
      <c r="JD16" s="20" t="s">
        <v>725</v>
      </c>
      <c r="JE16" s="20" t="s">
        <v>726</v>
      </c>
      <c r="JR16" s="20" t="s">
        <v>698</v>
      </c>
      <c r="JS16" s="20" t="s">
        <v>698</v>
      </c>
      <c r="JX16" s="20" t="s">
        <v>789</v>
      </c>
      <c r="JY16" s="20" t="s">
        <v>914</v>
      </c>
      <c r="QB16" s="20" t="s">
        <v>914</v>
      </c>
      <c r="QS16" s="20" t="s">
        <v>915</v>
      </c>
      <c r="RK16" s="20" t="s">
        <v>696</v>
      </c>
      <c r="RL16" s="20" t="s">
        <v>916</v>
      </c>
      <c r="XL16" s="20" t="s">
        <v>730</v>
      </c>
      <c r="XM16" s="20" t="s">
        <v>731</v>
      </c>
      <c r="XN16" s="20" t="s">
        <v>732</v>
      </c>
      <c r="XO16" s="20" t="s">
        <v>733</v>
      </c>
      <c r="XQ16" s="24">
        <v>45827</v>
      </c>
      <c r="XU16" s="20" t="s">
        <v>730</v>
      </c>
      <c r="XV16" s="20" t="s">
        <v>733</v>
      </c>
      <c r="XW16" s="20" t="s">
        <v>731</v>
      </c>
      <c r="XX16" s="20" t="s">
        <v>732</v>
      </c>
      <c r="XY16" s="20" t="s">
        <v>917</v>
      </c>
    </row>
    <row r="17" spans="1:649" ht="15.75" customHeight="1">
      <c r="A17" s="20">
        <v>104</v>
      </c>
      <c r="B17" s="21">
        <v>45718</v>
      </c>
      <c r="C17" s="20">
        <v>2025</v>
      </c>
      <c r="D17" s="20">
        <v>20250051</v>
      </c>
      <c r="E17" s="20">
        <v>40629</v>
      </c>
      <c r="F17" s="20" t="s">
        <v>840</v>
      </c>
      <c r="G17" s="20">
        <v>18718</v>
      </c>
      <c r="H17" s="20" t="s">
        <v>918</v>
      </c>
      <c r="I17" s="20" t="s">
        <v>692</v>
      </c>
      <c r="J17" s="20" t="s">
        <v>693</v>
      </c>
      <c r="K17" s="20" t="s">
        <v>694</v>
      </c>
      <c r="L17" s="20">
        <v>77002</v>
      </c>
      <c r="M17" s="22">
        <v>45688.6875</v>
      </c>
      <c r="N17" s="20" t="s">
        <v>843</v>
      </c>
      <c r="O17" s="20" t="s">
        <v>698</v>
      </c>
      <c r="P17" s="20">
        <v>40.271236999999999</v>
      </c>
      <c r="Q17" s="20">
        <v>-74.876208000000005</v>
      </c>
      <c r="R17" s="20" t="s">
        <v>844</v>
      </c>
      <c r="S17" s="20" t="s">
        <v>845</v>
      </c>
      <c r="W17" s="20">
        <v>156</v>
      </c>
      <c r="Y17" s="20">
        <v>16.899999999999999</v>
      </c>
      <c r="Z17" s="20" t="s">
        <v>698</v>
      </c>
      <c r="AF17" s="20">
        <v>0</v>
      </c>
      <c r="AG17" s="20" t="s">
        <v>698</v>
      </c>
      <c r="AM17" s="20">
        <v>0</v>
      </c>
      <c r="AN17" s="20" t="s">
        <v>775</v>
      </c>
      <c r="AQ17" s="23">
        <v>45688.6875</v>
      </c>
      <c r="AR17" s="20" t="s">
        <v>776</v>
      </c>
      <c r="AS17" s="20" t="s">
        <v>702</v>
      </c>
      <c r="AT17" s="20" t="s">
        <v>703</v>
      </c>
      <c r="AU17" s="20" t="s">
        <v>698</v>
      </c>
      <c r="AV17" s="20" t="s">
        <v>919</v>
      </c>
      <c r="AZ17" s="20" t="s">
        <v>696</v>
      </c>
      <c r="BA17" s="20" t="s">
        <v>753</v>
      </c>
      <c r="BB17" s="23">
        <v>45688.711805555555</v>
      </c>
      <c r="BC17" s="23">
        <v>45688.6875</v>
      </c>
      <c r="BD17" s="23">
        <v>45688.6875</v>
      </c>
      <c r="BE17" s="23">
        <v>45688.70416666667</v>
      </c>
      <c r="BF17" s="20">
        <v>1422422</v>
      </c>
      <c r="BG17" s="20">
        <v>1422562</v>
      </c>
      <c r="BH17" s="20" t="s">
        <v>698</v>
      </c>
      <c r="BN17" s="20" t="s">
        <v>777</v>
      </c>
      <c r="BP17" s="23">
        <v>45686.718055555553</v>
      </c>
      <c r="BQ17" s="20" t="s">
        <v>798</v>
      </c>
      <c r="BR17" s="20" t="s">
        <v>777</v>
      </c>
      <c r="BT17" s="23">
        <v>45687.381944444445</v>
      </c>
      <c r="BU17" s="20" t="s">
        <v>779</v>
      </c>
      <c r="BV17" s="20" t="s">
        <v>696</v>
      </c>
      <c r="BW17" s="23">
        <v>45688.6875</v>
      </c>
      <c r="BX17" s="20" t="s">
        <v>696</v>
      </c>
      <c r="BY17" s="23">
        <v>45688.708333333336</v>
      </c>
      <c r="BZ17" s="23">
        <v>45688.75</v>
      </c>
      <c r="CA17" s="20">
        <v>0</v>
      </c>
      <c r="CB17" s="20" t="s">
        <v>920</v>
      </c>
      <c r="CC17" s="20" t="s">
        <v>920</v>
      </c>
      <c r="CD17" s="20" t="s">
        <v>921</v>
      </c>
      <c r="CE17" s="20">
        <v>18977</v>
      </c>
      <c r="CF17" s="20" t="s">
        <v>922</v>
      </c>
      <c r="CG17" s="20" t="s">
        <v>923</v>
      </c>
      <c r="CH17" s="20" t="s">
        <v>710</v>
      </c>
      <c r="CI17" s="20" t="s">
        <v>924</v>
      </c>
      <c r="CJ17" s="20" t="s">
        <v>698</v>
      </c>
      <c r="CK17" s="20" t="s">
        <v>785</v>
      </c>
      <c r="CL17" s="20" t="s">
        <v>741</v>
      </c>
      <c r="CM17" s="20" t="s">
        <v>742</v>
      </c>
      <c r="CO17" s="20">
        <v>60</v>
      </c>
      <c r="CP17" s="20" t="s">
        <v>698</v>
      </c>
      <c r="DM17" s="20" t="s">
        <v>743</v>
      </c>
      <c r="DN17" s="20" t="s">
        <v>744</v>
      </c>
      <c r="DO17" s="20" t="s">
        <v>745</v>
      </c>
      <c r="DP17" s="20" t="s">
        <v>698</v>
      </c>
      <c r="DQ17" s="20">
        <v>14</v>
      </c>
      <c r="DR17" s="20">
        <v>0.25</v>
      </c>
      <c r="DS17" s="20">
        <v>52000</v>
      </c>
      <c r="DT17" s="20" t="s">
        <v>925</v>
      </c>
      <c r="DU17" s="20" t="s">
        <v>926</v>
      </c>
      <c r="DW17" s="20" t="s">
        <v>927</v>
      </c>
      <c r="DX17" s="20" t="s">
        <v>928</v>
      </c>
      <c r="DZ17" s="20" t="s">
        <v>696</v>
      </c>
      <c r="FK17" s="20">
        <v>1956</v>
      </c>
      <c r="FL17" s="20" t="s">
        <v>728</v>
      </c>
      <c r="FM17" s="20" t="s">
        <v>719</v>
      </c>
      <c r="FO17" s="20" t="s">
        <v>720</v>
      </c>
      <c r="FR17" s="20" t="s">
        <v>768</v>
      </c>
      <c r="FY17" s="20" t="s">
        <v>698</v>
      </c>
      <c r="GC17" s="20" t="s">
        <v>696</v>
      </c>
      <c r="GD17" s="20" t="s">
        <v>696</v>
      </c>
      <c r="GE17" s="20" t="s">
        <v>696</v>
      </c>
      <c r="GG17" s="20" t="s">
        <v>696</v>
      </c>
      <c r="GH17" s="20" t="s">
        <v>696</v>
      </c>
      <c r="GK17" s="20" t="s">
        <v>696</v>
      </c>
      <c r="GN17" s="20" t="s">
        <v>696</v>
      </c>
      <c r="GO17" s="20" t="s">
        <v>696</v>
      </c>
      <c r="GP17" s="20" t="s">
        <v>696</v>
      </c>
      <c r="GR17" s="20">
        <v>1.6</v>
      </c>
      <c r="GS17" s="20" t="s">
        <v>728</v>
      </c>
      <c r="GT17" s="20" t="s">
        <v>696</v>
      </c>
      <c r="GU17" s="20" t="s">
        <v>696</v>
      </c>
      <c r="GX17" s="20" t="s">
        <v>696</v>
      </c>
      <c r="GY17" s="20" t="s">
        <v>696</v>
      </c>
      <c r="HB17" s="20" t="s">
        <v>696</v>
      </c>
      <c r="HC17" s="20" t="s">
        <v>696</v>
      </c>
      <c r="HF17" s="20">
        <v>50000</v>
      </c>
      <c r="HG17" s="20">
        <v>14040</v>
      </c>
      <c r="HH17" s="20">
        <v>125000</v>
      </c>
      <c r="HI17" s="20">
        <v>84300</v>
      </c>
      <c r="HJ17" s="20">
        <v>15000000</v>
      </c>
      <c r="HK17" s="20">
        <v>0</v>
      </c>
      <c r="HM17" s="20">
        <v>15273340</v>
      </c>
      <c r="HN17" s="20">
        <v>0</v>
      </c>
      <c r="HO17" s="20">
        <v>0</v>
      </c>
      <c r="HP17" s="20">
        <v>0</v>
      </c>
      <c r="HQ17" s="20">
        <v>0</v>
      </c>
      <c r="HR17" s="20">
        <v>320</v>
      </c>
      <c r="HS17" s="20">
        <v>1200</v>
      </c>
      <c r="HT17" s="20" t="s">
        <v>787</v>
      </c>
      <c r="HV17" s="24">
        <v>42509</v>
      </c>
      <c r="HW17" s="20" t="s">
        <v>698</v>
      </c>
      <c r="HY17" s="20" t="s">
        <v>723</v>
      </c>
      <c r="HZ17" s="20" t="s">
        <v>698</v>
      </c>
      <c r="IC17" s="20">
        <v>32155</v>
      </c>
      <c r="ID17" s="20" t="s">
        <v>696</v>
      </c>
      <c r="IL17" s="20" t="s">
        <v>698</v>
      </c>
      <c r="IS17" s="20" t="s">
        <v>724</v>
      </c>
      <c r="IT17" s="20" t="s">
        <v>696</v>
      </c>
      <c r="IU17" s="20" t="s">
        <v>696</v>
      </c>
      <c r="IV17" s="20" t="s">
        <v>696</v>
      </c>
      <c r="IW17" s="20" t="s">
        <v>698</v>
      </c>
      <c r="IX17" s="20" t="s">
        <v>698</v>
      </c>
      <c r="IY17" s="20" t="s">
        <v>696</v>
      </c>
      <c r="IZ17" s="20" t="s">
        <v>696</v>
      </c>
      <c r="JA17" s="20" t="s">
        <v>696</v>
      </c>
      <c r="JB17" s="20" t="s">
        <v>698</v>
      </c>
      <c r="JC17" s="20" t="s">
        <v>698</v>
      </c>
      <c r="JD17" s="20" t="s">
        <v>725</v>
      </c>
      <c r="JE17" s="20" t="s">
        <v>726</v>
      </c>
      <c r="JR17" s="20" t="s">
        <v>698</v>
      </c>
      <c r="JS17" s="20" t="s">
        <v>698</v>
      </c>
      <c r="JX17" s="20" t="s">
        <v>929</v>
      </c>
      <c r="JY17" s="20" t="s">
        <v>930</v>
      </c>
      <c r="PC17" s="20" t="s">
        <v>696</v>
      </c>
      <c r="PG17" s="20" t="s">
        <v>930</v>
      </c>
      <c r="PN17" s="20" t="s">
        <v>931</v>
      </c>
      <c r="PP17" s="20" t="s">
        <v>696</v>
      </c>
      <c r="PT17" s="20" t="s">
        <v>696</v>
      </c>
      <c r="SC17" s="20" t="s">
        <v>696</v>
      </c>
      <c r="SD17" s="20" t="s">
        <v>696</v>
      </c>
      <c r="SE17" s="20" t="s">
        <v>696</v>
      </c>
      <c r="SF17" s="20" t="s">
        <v>696</v>
      </c>
      <c r="SG17" s="20" t="s">
        <v>696</v>
      </c>
      <c r="SK17" s="20">
        <v>2022</v>
      </c>
      <c r="SL17" s="20" t="s">
        <v>863</v>
      </c>
      <c r="SM17" s="20" t="s">
        <v>864</v>
      </c>
      <c r="SO17" s="20" t="s">
        <v>865</v>
      </c>
      <c r="SQ17" s="20">
        <v>2019</v>
      </c>
      <c r="SR17" s="20" t="s">
        <v>863</v>
      </c>
      <c r="SS17" s="20" t="s">
        <v>864</v>
      </c>
      <c r="SU17" s="20" t="s">
        <v>865</v>
      </c>
      <c r="SW17" s="20">
        <v>2022</v>
      </c>
      <c r="SX17" s="20" t="s">
        <v>863</v>
      </c>
      <c r="SY17" s="20" t="s">
        <v>865</v>
      </c>
      <c r="TA17" s="20">
        <v>2019</v>
      </c>
      <c r="TB17" s="20" t="s">
        <v>863</v>
      </c>
      <c r="TC17" s="20" t="s">
        <v>865</v>
      </c>
      <c r="TE17" s="20">
        <v>2017</v>
      </c>
      <c r="TF17" s="20" t="s">
        <v>863</v>
      </c>
      <c r="TG17" s="20" t="s">
        <v>768</v>
      </c>
      <c r="TK17" s="20">
        <v>2006</v>
      </c>
      <c r="TL17" s="20" t="s">
        <v>863</v>
      </c>
      <c r="TM17" s="20" t="s">
        <v>932</v>
      </c>
      <c r="TO17" s="20" t="s">
        <v>933</v>
      </c>
      <c r="TQ17" s="20">
        <v>2022</v>
      </c>
      <c r="TR17" s="20" t="s">
        <v>863</v>
      </c>
      <c r="TS17" s="20" t="s">
        <v>865</v>
      </c>
      <c r="TU17" s="20" t="s">
        <v>934</v>
      </c>
      <c r="TV17" s="20">
        <v>2019</v>
      </c>
      <c r="TW17" s="20" t="s">
        <v>863</v>
      </c>
      <c r="TX17" s="20" t="s">
        <v>865</v>
      </c>
      <c r="TZ17" s="20" t="s">
        <v>934</v>
      </c>
      <c r="UO17" s="20" t="s">
        <v>696</v>
      </c>
      <c r="UP17" s="20">
        <v>2016</v>
      </c>
      <c r="UQ17" s="20">
        <v>1555</v>
      </c>
      <c r="UR17" s="20" t="s">
        <v>698</v>
      </c>
      <c r="UZ17" s="20" t="s">
        <v>698</v>
      </c>
      <c r="XL17" s="20" t="s">
        <v>730</v>
      </c>
      <c r="XM17" s="20" t="s">
        <v>731</v>
      </c>
      <c r="XN17" s="20" t="s">
        <v>732</v>
      </c>
      <c r="XO17" s="20" t="s">
        <v>733</v>
      </c>
      <c r="XQ17" s="24">
        <v>45730</v>
      </c>
      <c r="XU17" s="20" t="s">
        <v>730</v>
      </c>
      <c r="XV17" s="20" t="s">
        <v>733</v>
      </c>
      <c r="XW17" s="20" t="s">
        <v>731</v>
      </c>
      <c r="XX17" s="20" t="s">
        <v>732</v>
      </c>
      <c r="XY17" s="20" t="s">
        <v>935</v>
      </c>
    </row>
    <row r="18" spans="1:649" ht="15.75" customHeight="1">
      <c r="A18" s="20">
        <v>107</v>
      </c>
      <c r="B18" s="21">
        <v>45714</v>
      </c>
      <c r="C18" s="20">
        <v>2025</v>
      </c>
      <c r="D18" s="20">
        <v>20250049</v>
      </c>
      <c r="E18" s="20">
        <v>40555</v>
      </c>
      <c r="F18" s="20" t="s">
        <v>885</v>
      </c>
      <c r="G18" s="20">
        <v>10012</v>
      </c>
      <c r="H18" s="20" t="s">
        <v>770</v>
      </c>
      <c r="I18" s="20" t="s">
        <v>771</v>
      </c>
      <c r="J18" s="20" t="s">
        <v>772</v>
      </c>
      <c r="K18" s="20" t="s">
        <v>694</v>
      </c>
      <c r="L18" s="20">
        <v>75225</v>
      </c>
      <c r="M18" s="22">
        <v>45687.510416666664</v>
      </c>
      <c r="N18" s="20" t="s">
        <v>695</v>
      </c>
      <c r="O18" s="20" t="s">
        <v>698</v>
      </c>
      <c r="P18" s="20">
        <v>44.01146</v>
      </c>
      <c r="Q18" s="20">
        <v>-98.182749999999999</v>
      </c>
      <c r="R18" s="20" t="s">
        <v>844</v>
      </c>
      <c r="S18" s="20" t="s">
        <v>936</v>
      </c>
      <c r="W18" s="20">
        <v>1.8</v>
      </c>
      <c r="Y18" s="20">
        <v>1</v>
      </c>
      <c r="Z18" s="20" t="s">
        <v>698</v>
      </c>
      <c r="AF18" s="20">
        <v>0</v>
      </c>
      <c r="AG18" s="20" t="s">
        <v>698</v>
      </c>
      <c r="AM18" s="20">
        <v>0</v>
      </c>
      <c r="AN18" s="20" t="s">
        <v>699</v>
      </c>
      <c r="AP18" s="20" t="s">
        <v>700</v>
      </c>
      <c r="AQ18" s="23">
        <v>45687.510416666664</v>
      </c>
      <c r="AR18" s="20" t="s">
        <v>776</v>
      </c>
      <c r="AS18" s="20" t="s">
        <v>702</v>
      </c>
      <c r="AT18" s="20" t="s">
        <v>703</v>
      </c>
      <c r="AU18" s="20" t="s">
        <v>698</v>
      </c>
      <c r="AV18" s="20" t="s">
        <v>937</v>
      </c>
      <c r="AZ18" s="20" t="s">
        <v>698</v>
      </c>
      <c r="BC18" s="23">
        <v>45687.510416666664</v>
      </c>
      <c r="BD18" s="23">
        <v>45687.510416666664</v>
      </c>
      <c r="BE18" s="23">
        <v>45687.546527777777</v>
      </c>
      <c r="BF18" s="20">
        <v>1422298</v>
      </c>
      <c r="BG18" s="20">
        <v>1422474</v>
      </c>
      <c r="BH18" s="20" t="s">
        <v>698</v>
      </c>
      <c r="BN18" s="20" t="s">
        <v>849</v>
      </c>
      <c r="BO18" s="20" t="s">
        <v>938</v>
      </c>
      <c r="BR18" s="20" t="s">
        <v>849</v>
      </c>
      <c r="BS18" s="20" t="s">
        <v>938</v>
      </c>
      <c r="BV18" s="20" t="s">
        <v>696</v>
      </c>
      <c r="BW18" s="23">
        <v>45687.510416666664</v>
      </c>
      <c r="BX18" s="20" t="s">
        <v>698</v>
      </c>
      <c r="CA18" s="20">
        <v>0</v>
      </c>
      <c r="CB18" s="20" t="s">
        <v>939</v>
      </c>
      <c r="CC18" s="20" t="s">
        <v>940</v>
      </c>
      <c r="CD18" s="20" t="s">
        <v>941</v>
      </c>
      <c r="CE18" s="20">
        <v>57314</v>
      </c>
      <c r="CF18" s="20" t="s">
        <v>708</v>
      </c>
      <c r="CG18" s="20" t="s">
        <v>942</v>
      </c>
      <c r="CH18" s="20" t="s">
        <v>784</v>
      </c>
      <c r="CI18" s="20">
        <v>90</v>
      </c>
      <c r="CJ18" s="20" t="s">
        <v>698</v>
      </c>
      <c r="CK18" s="20" t="s">
        <v>891</v>
      </c>
      <c r="CL18" s="20" t="s">
        <v>713</v>
      </c>
      <c r="CM18" s="20" t="s">
        <v>758</v>
      </c>
      <c r="CP18" s="20" t="s">
        <v>698</v>
      </c>
      <c r="DM18" s="20" t="s">
        <v>743</v>
      </c>
      <c r="DN18" s="20" t="s">
        <v>822</v>
      </c>
      <c r="FK18" s="20">
        <v>2020</v>
      </c>
      <c r="FL18" s="20">
        <v>2019</v>
      </c>
      <c r="FM18" s="20" t="s">
        <v>719</v>
      </c>
      <c r="FO18" s="20" t="s">
        <v>720</v>
      </c>
      <c r="FR18" s="20" t="s">
        <v>721</v>
      </c>
      <c r="FY18" s="20" t="s">
        <v>698</v>
      </c>
      <c r="GC18" s="20" t="s">
        <v>696</v>
      </c>
      <c r="GD18" s="20" t="s">
        <v>696</v>
      </c>
      <c r="GE18" s="20" t="s">
        <v>696</v>
      </c>
      <c r="GH18" s="20" t="s">
        <v>696</v>
      </c>
      <c r="GI18" s="20" t="s">
        <v>696</v>
      </c>
      <c r="GK18" s="20" t="s">
        <v>698</v>
      </c>
      <c r="GT18" s="20" t="s">
        <v>698</v>
      </c>
      <c r="GU18" s="20" t="s">
        <v>698</v>
      </c>
      <c r="HF18" s="20">
        <v>0</v>
      </c>
      <c r="HG18" s="20">
        <v>250</v>
      </c>
      <c r="HH18" s="20">
        <v>2000</v>
      </c>
      <c r="HI18" s="20">
        <v>18700</v>
      </c>
      <c r="HJ18" s="20">
        <v>51000</v>
      </c>
      <c r="HK18" s="20">
        <v>0</v>
      </c>
      <c r="HM18" s="20">
        <v>71950</v>
      </c>
      <c r="HN18" s="20">
        <v>0</v>
      </c>
      <c r="HO18" s="20">
        <v>0</v>
      </c>
      <c r="HP18" s="20">
        <v>0</v>
      </c>
      <c r="HQ18" s="20">
        <v>0</v>
      </c>
      <c r="HR18" s="20">
        <v>623.70000000000005</v>
      </c>
      <c r="HS18" s="20">
        <v>1313</v>
      </c>
      <c r="HT18" s="20" t="s">
        <v>943</v>
      </c>
      <c r="HV18" s="24">
        <v>30457</v>
      </c>
      <c r="HW18" s="20" t="s">
        <v>698</v>
      </c>
      <c r="HY18" s="20" t="s">
        <v>723</v>
      </c>
      <c r="HZ18" s="20" t="s">
        <v>698</v>
      </c>
      <c r="ID18" s="20" t="s">
        <v>696</v>
      </c>
      <c r="IL18" s="20" t="s">
        <v>698</v>
      </c>
      <c r="IS18" s="20" t="s">
        <v>724</v>
      </c>
      <c r="IT18" s="20" t="s">
        <v>696</v>
      </c>
      <c r="IU18" s="20" t="s">
        <v>696</v>
      </c>
      <c r="IV18" s="20" t="s">
        <v>696</v>
      </c>
      <c r="IW18" s="20" t="s">
        <v>698</v>
      </c>
      <c r="IX18" s="20" t="s">
        <v>698</v>
      </c>
      <c r="IY18" s="20" t="s">
        <v>696</v>
      </c>
      <c r="IZ18" s="20" t="s">
        <v>696</v>
      </c>
      <c r="JA18" s="20" t="s">
        <v>696</v>
      </c>
      <c r="JB18" s="20" t="s">
        <v>698</v>
      </c>
      <c r="JC18" s="20" t="s">
        <v>698</v>
      </c>
      <c r="JD18" s="20" t="s">
        <v>725</v>
      </c>
      <c r="JE18" s="20" t="s">
        <v>944</v>
      </c>
      <c r="JR18" s="20" t="s">
        <v>698</v>
      </c>
      <c r="JS18" s="20" t="s">
        <v>698</v>
      </c>
      <c r="JX18" s="20" t="s">
        <v>789</v>
      </c>
      <c r="JY18" s="20" t="s">
        <v>790</v>
      </c>
      <c r="QB18" s="20" t="s">
        <v>790</v>
      </c>
      <c r="QI18" s="20" t="s">
        <v>696</v>
      </c>
      <c r="RI18" s="20" t="s">
        <v>696</v>
      </c>
      <c r="WW18" s="20" t="s">
        <v>696</v>
      </c>
      <c r="XL18" s="20" t="s">
        <v>945</v>
      </c>
      <c r="XM18" s="20" t="s">
        <v>793</v>
      </c>
      <c r="XN18" s="20" t="s">
        <v>794</v>
      </c>
      <c r="XO18" s="20">
        <v>3167217036</v>
      </c>
      <c r="XQ18" s="24">
        <v>45714</v>
      </c>
      <c r="XR18" s="20" t="s">
        <v>946</v>
      </c>
      <c r="XS18" s="20" t="s">
        <v>947</v>
      </c>
      <c r="XT18" s="20">
        <v>4023792620</v>
      </c>
      <c r="XU18" s="20" t="s">
        <v>945</v>
      </c>
      <c r="XV18" s="20">
        <v>3167217036</v>
      </c>
      <c r="XW18" s="20" t="s">
        <v>793</v>
      </c>
      <c r="XX18" s="20" t="s">
        <v>794</v>
      </c>
      <c r="XY18" s="20" t="s">
        <v>948</v>
      </c>
    </row>
    <row r="19" spans="1:649" ht="15.75" customHeight="1">
      <c r="A19" s="20">
        <v>113</v>
      </c>
      <c r="B19" s="21">
        <v>45709</v>
      </c>
      <c r="C19" s="20">
        <v>2025</v>
      </c>
      <c r="D19" s="20">
        <v>20250046</v>
      </c>
      <c r="E19" s="20">
        <v>40532</v>
      </c>
      <c r="F19" s="20" t="s">
        <v>885</v>
      </c>
      <c r="G19" s="20">
        <v>39462</v>
      </c>
      <c r="H19" s="20" t="s">
        <v>949</v>
      </c>
      <c r="I19" s="20" t="s">
        <v>692</v>
      </c>
      <c r="J19" s="20" t="s">
        <v>693</v>
      </c>
      <c r="K19" s="20" t="s">
        <v>694</v>
      </c>
      <c r="L19" s="20">
        <v>77002</v>
      </c>
      <c r="M19" s="22">
        <v>45681.739583333336</v>
      </c>
      <c r="N19" s="20" t="s">
        <v>695</v>
      </c>
      <c r="O19" s="20" t="s">
        <v>698</v>
      </c>
      <c r="P19" s="20">
        <v>30.008087</v>
      </c>
      <c r="Q19" s="20">
        <v>-93.971784999999997</v>
      </c>
      <c r="R19" s="20" t="s">
        <v>697</v>
      </c>
      <c r="W19" s="20">
        <v>10</v>
      </c>
      <c r="Y19" s="20">
        <v>10</v>
      </c>
      <c r="Z19" s="20" t="s">
        <v>698</v>
      </c>
      <c r="AF19" s="20">
        <v>0</v>
      </c>
      <c r="AG19" s="20" t="s">
        <v>698</v>
      </c>
      <c r="AM19" s="20">
        <v>0</v>
      </c>
      <c r="AN19" s="20" t="s">
        <v>766</v>
      </c>
      <c r="AO19" s="20" t="s">
        <v>950</v>
      </c>
      <c r="AQ19" s="23">
        <v>45681.739583333336</v>
      </c>
      <c r="AR19" s="20" t="s">
        <v>701</v>
      </c>
      <c r="AS19" s="20" t="s">
        <v>702</v>
      </c>
      <c r="AT19" s="20" t="s">
        <v>703</v>
      </c>
      <c r="AU19" s="20" t="s">
        <v>696</v>
      </c>
      <c r="AW19" s="23">
        <v>45681.745138888888</v>
      </c>
      <c r="AX19" s="23">
        <v>45681.941666666666</v>
      </c>
      <c r="AZ19" s="20" t="s">
        <v>698</v>
      </c>
      <c r="BC19" s="23">
        <v>45681.767361111109</v>
      </c>
      <c r="BD19" s="23">
        <v>45681.767361111109</v>
      </c>
      <c r="BF19" s="20" t="s">
        <v>754</v>
      </c>
      <c r="BH19" s="20" t="s">
        <v>698</v>
      </c>
      <c r="BV19" s="20" t="s">
        <v>696</v>
      </c>
      <c r="BW19" s="23">
        <v>45681.767361111109</v>
      </c>
      <c r="BX19" s="20" t="s">
        <v>698</v>
      </c>
      <c r="CA19" s="20">
        <v>0</v>
      </c>
      <c r="CB19" s="20" t="s">
        <v>951</v>
      </c>
      <c r="CC19" s="20" t="s">
        <v>952</v>
      </c>
      <c r="CD19" s="20" t="s">
        <v>694</v>
      </c>
      <c r="CE19" s="20">
        <v>77627</v>
      </c>
      <c r="CF19" s="20" t="s">
        <v>708</v>
      </c>
      <c r="CG19" s="20" t="s">
        <v>821</v>
      </c>
      <c r="CH19" s="20" t="s">
        <v>784</v>
      </c>
      <c r="CI19" s="20" t="s">
        <v>711</v>
      </c>
      <c r="CJ19" s="20" t="s">
        <v>698</v>
      </c>
      <c r="CK19" s="20" t="s">
        <v>712</v>
      </c>
      <c r="CL19" s="20" t="s">
        <v>713</v>
      </c>
      <c r="CM19" s="20" t="s">
        <v>758</v>
      </c>
      <c r="CP19" s="20" t="s">
        <v>698</v>
      </c>
      <c r="DM19" s="20" t="s">
        <v>743</v>
      </c>
      <c r="DN19" s="20" t="s">
        <v>829</v>
      </c>
      <c r="EM19" s="20" t="s">
        <v>830</v>
      </c>
      <c r="FK19" s="20">
        <v>2016</v>
      </c>
      <c r="FL19" s="20">
        <v>2015</v>
      </c>
      <c r="FM19" s="20" t="s">
        <v>719</v>
      </c>
      <c r="FO19" s="20" t="s">
        <v>720</v>
      </c>
      <c r="FR19" s="20" t="s">
        <v>823</v>
      </c>
      <c r="FY19" s="20" t="s">
        <v>698</v>
      </c>
      <c r="GC19" s="20" t="s">
        <v>696</v>
      </c>
      <c r="GD19" s="20" t="s">
        <v>698</v>
      </c>
      <c r="GE19" s="20" t="s">
        <v>696</v>
      </c>
      <c r="GH19" s="20" t="s">
        <v>696</v>
      </c>
      <c r="GK19" s="20" t="s">
        <v>698</v>
      </c>
      <c r="GT19" s="20" t="s">
        <v>696</v>
      </c>
      <c r="GU19" s="20" t="s">
        <v>696</v>
      </c>
      <c r="GX19" s="20" t="s">
        <v>696</v>
      </c>
      <c r="GY19" s="20" t="s">
        <v>696</v>
      </c>
      <c r="HF19" s="20">
        <v>0</v>
      </c>
      <c r="HG19" s="20">
        <v>75</v>
      </c>
      <c r="HH19" s="20">
        <v>5</v>
      </c>
      <c r="HI19" s="20">
        <v>45000</v>
      </c>
      <c r="HJ19" s="20">
        <v>2000</v>
      </c>
      <c r="HK19" s="20">
        <v>0</v>
      </c>
      <c r="HM19" s="20">
        <v>47080</v>
      </c>
      <c r="HN19" s="20">
        <v>0</v>
      </c>
      <c r="HO19" s="20">
        <v>0</v>
      </c>
      <c r="HP19" s="20">
        <v>0</v>
      </c>
      <c r="HQ19" s="20">
        <v>0</v>
      </c>
      <c r="HR19" s="20">
        <v>125</v>
      </c>
      <c r="HS19" s="20">
        <v>285</v>
      </c>
      <c r="HT19" s="20" t="s">
        <v>750</v>
      </c>
      <c r="HV19" s="24">
        <v>42461</v>
      </c>
      <c r="HW19" s="20" t="s">
        <v>698</v>
      </c>
      <c r="HY19" s="20" t="s">
        <v>723</v>
      </c>
      <c r="HZ19" s="20" t="s">
        <v>698</v>
      </c>
      <c r="IS19" s="20" t="s">
        <v>724</v>
      </c>
      <c r="IT19" s="20" t="s">
        <v>696</v>
      </c>
      <c r="IU19" s="20" t="s">
        <v>696</v>
      </c>
      <c r="IV19" s="20" t="s">
        <v>696</v>
      </c>
      <c r="IW19" s="20" t="s">
        <v>698</v>
      </c>
      <c r="IX19" s="20" t="s">
        <v>698</v>
      </c>
      <c r="IY19" s="20" t="s">
        <v>696</v>
      </c>
      <c r="IZ19" s="20" t="s">
        <v>696</v>
      </c>
      <c r="JA19" s="20" t="s">
        <v>696</v>
      </c>
      <c r="JB19" s="20" t="s">
        <v>698</v>
      </c>
      <c r="JC19" s="20" t="s">
        <v>698</v>
      </c>
      <c r="JD19" s="20" t="s">
        <v>725</v>
      </c>
      <c r="JE19" s="20" t="s">
        <v>726</v>
      </c>
      <c r="JR19" s="20" t="s">
        <v>698</v>
      </c>
      <c r="JS19" s="20" t="s">
        <v>698</v>
      </c>
      <c r="JX19" s="20" t="s">
        <v>789</v>
      </c>
      <c r="JY19" s="20" t="s">
        <v>953</v>
      </c>
      <c r="QB19" s="20" t="s">
        <v>953</v>
      </c>
      <c r="QQ19" s="20" t="s">
        <v>954</v>
      </c>
      <c r="RH19" s="20" t="s">
        <v>696</v>
      </c>
      <c r="RK19" s="20" t="s">
        <v>696</v>
      </c>
      <c r="RL19" s="20" t="s">
        <v>955</v>
      </c>
      <c r="XG19" s="20" t="s">
        <v>696</v>
      </c>
      <c r="XL19" s="20" t="s">
        <v>730</v>
      </c>
      <c r="XM19" s="20" t="s">
        <v>731</v>
      </c>
      <c r="XN19" s="20" t="s">
        <v>732</v>
      </c>
      <c r="XO19" s="20" t="s">
        <v>733</v>
      </c>
      <c r="XQ19" s="24">
        <v>45709</v>
      </c>
      <c r="XU19" s="20" t="s">
        <v>730</v>
      </c>
      <c r="XV19" s="20" t="s">
        <v>733</v>
      </c>
      <c r="XW19" s="20" t="s">
        <v>731</v>
      </c>
      <c r="XX19" s="20" t="s">
        <v>732</v>
      </c>
      <c r="XY19" s="20" t="s">
        <v>956</v>
      </c>
    </row>
    <row r="20" spans="1:649" ht="15.75" customHeight="1">
      <c r="A20" s="20">
        <v>128</v>
      </c>
      <c r="B20" s="21">
        <v>45686</v>
      </c>
      <c r="C20" s="20">
        <v>2024</v>
      </c>
      <c r="D20" s="20">
        <v>20250027</v>
      </c>
      <c r="E20" s="20">
        <v>40458</v>
      </c>
      <c r="F20" s="20" t="s">
        <v>885</v>
      </c>
      <c r="G20" s="20">
        <v>39205</v>
      </c>
      <c r="H20" s="20" t="s">
        <v>957</v>
      </c>
      <c r="I20" s="20" t="s">
        <v>692</v>
      </c>
      <c r="J20" s="20" t="s">
        <v>693</v>
      </c>
      <c r="K20" s="20" t="s">
        <v>694</v>
      </c>
      <c r="L20" s="20">
        <v>77002</v>
      </c>
      <c r="M20" s="22">
        <v>45656.568055555559</v>
      </c>
      <c r="N20" s="20" t="s">
        <v>695</v>
      </c>
      <c r="O20" s="20" t="s">
        <v>698</v>
      </c>
      <c r="P20" s="20">
        <v>48.295172999999998</v>
      </c>
      <c r="Q20" s="20">
        <v>-102.91761200000001</v>
      </c>
      <c r="R20" s="20" t="s">
        <v>697</v>
      </c>
      <c r="W20" s="20">
        <v>2.4</v>
      </c>
      <c r="Y20" s="20">
        <v>2.4</v>
      </c>
      <c r="Z20" s="20" t="s">
        <v>698</v>
      </c>
      <c r="AF20" s="20">
        <v>0</v>
      </c>
      <c r="AG20" s="20" t="s">
        <v>698</v>
      </c>
      <c r="AM20" s="20">
        <v>0</v>
      </c>
      <c r="AN20" s="20" t="s">
        <v>699</v>
      </c>
      <c r="AP20" s="20" t="s">
        <v>700</v>
      </c>
      <c r="AQ20" s="23">
        <v>45656.568055555559</v>
      </c>
      <c r="AR20" s="20" t="s">
        <v>701</v>
      </c>
      <c r="AS20" s="20" t="s">
        <v>702</v>
      </c>
      <c r="AT20" s="20" t="s">
        <v>703</v>
      </c>
      <c r="AU20" s="20" t="s">
        <v>696</v>
      </c>
      <c r="AW20" s="23">
        <v>45656.570138888892</v>
      </c>
      <c r="AX20" s="23">
        <v>45656.578472222223</v>
      </c>
      <c r="AZ20" s="20" t="s">
        <v>698</v>
      </c>
      <c r="BC20" s="23">
        <v>45656.568055555559</v>
      </c>
      <c r="BD20" s="23">
        <v>45656.568055555559</v>
      </c>
      <c r="BF20" s="20" t="s">
        <v>754</v>
      </c>
      <c r="BH20" s="20" t="s">
        <v>698</v>
      </c>
      <c r="BV20" s="20" t="s">
        <v>698</v>
      </c>
      <c r="BX20" s="20" t="s">
        <v>698</v>
      </c>
      <c r="CA20" s="20">
        <v>0</v>
      </c>
      <c r="CB20" s="20" t="s">
        <v>958</v>
      </c>
      <c r="CC20" s="20" t="s">
        <v>959</v>
      </c>
      <c r="CD20" s="20" t="s">
        <v>707</v>
      </c>
      <c r="CE20" s="20">
        <v>58852</v>
      </c>
      <c r="CF20" s="20" t="s">
        <v>708</v>
      </c>
      <c r="CG20" s="20" t="s">
        <v>960</v>
      </c>
      <c r="CH20" s="20" t="s">
        <v>710</v>
      </c>
      <c r="CI20" s="20" t="s">
        <v>711</v>
      </c>
      <c r="CJ20" s="20" t="s">
        <v>698</v>
      </c>
      <c r="CK20" s="20" t="s">
        <v>712</v>
      </c>
      <c r="CL20" s="20" t="s">
        <v>713</v>
      </c>
      <c r="CM20" s="20" t="s">
        <v>714</v>
      </c>
      <c r="CP20" s="20" t="s">
        <v>698</v>
      </c>
      <c r="DM20" s="20" t="s">
        <v>743</v>
      </c>
      <c r="DN20" s="20" t="s">
        <v>961</v>
      </c>
      <c r="FK20" s="20">
        <v>2016</v>
      </c>
      <c r="FL20" s="20">
        <v>2016</v>
      </c>
      <c r="FM20" s="20" t="s">
        <v>962</v>
      </c>
      <c r="FN20" s="20" t="s">
        <v>963</v>
      </c>
      <c r="FO20" s="20" t="s">
        <v>720</v>
      </c>
      <c r="FR20" s="20" t="s">
        <v>768</v>
      </c>
      <c r="FY20" s="20" t="s">
        <v>698</v>
      </c>
      <c r="GC20" s="20" t="s">
        <v>698</v>
      </c>
      <c r="GD20" s="20" t="s">
        <v>698</v>
      </c>
      <c r="GE20" s="20" t="s">
        <v>698</v>
      </c>
      <c r="GK20" s="20" t="s">
        <v>698</v>
      </c>
      <c r="GT20" s="20" t="s">
        <v>698</v>
      </c>
      <c r="GU20" s="20" t="s">
        <v>698</v>
      </c>
      <c r="HF20" s="20">
        <v>0</v>
      </c>
      <c r="HG20" s="20">
        <v>0</v>
      </c>
      <c r="HH20" s="20">
        <v>150</v>
      </c>
      <c r="HI20" s="20">
        <v>1350</v>
      </c>
      <c r="HJ20" s="20">
        <v>500</v>
      </c>
      <c r="HK20" s="20">
        <v>0</v>
      </c>
      <c r="HM20" s="20">
        <v>2000</v>
      </c>
      <c r="HN20" s="20">
        <v>0</v>
      </c>
      <c r="HO20" s="20">
        <v>0</v>
      </c>
      <c r="HP20" s="20">
        <v>0</v>
      </c>
      <c r="HQ20" s="20">
        <v>0</v>
      </c>
      <c r="HR20" s="20">
        <v>71</v>
      </c>
      <c r="HS20" s="20">
        <v>285</v>
      </c>
      <c r="HT20" s="20" t="s">
        <v>750</v>
      </c>
      <c r="HV20" s="24">
        <v>42675</v>
      </c>
      <c r="HW20" s="20" t="s">
        <v>698</v>
      </c>
      <c r="HY20" s="20" t="s">
        <v>723</v>
      </c>
      <c r="HZ20" s="20" t="s">
        <v>698</v>
      </c>
      <c r="IS20" s="20" t="s">
        <v>724</v>
      </c>
      <c r="IT20" s="20" t="s">
        <v>696</v>
      </c>
      <c r="IU20" s="20" t="s">
        <v>696</v>
      </c>
      <c r="IV20" s="20" t="s">
        <v>696</v>
      </c>
      <c r="IW20" s="20" t="s">
        <v>696</v>
      </c>
      <c r="IX20" s="20" t="s">
        <v>696</v>
      </c>
      <c r="IY20" s="20" t="s">
        <v>696</v>
      </c>
      <c r="IZ20" s="20" t="s">
        <v>696</v>
      </c>
      <c r="JA20" s="20" t="s">
        <v>696</v>
      </c>
      <c r="JB20" s="20" t="s">
        <v>698</v>
      </c>
      <c r="JC20" s="20" t="s">
        <v>698</v>
      </c>
      <c r="JD20" s="20" t="s">
        <v>725</v>
      </c>
      <c r="JE20" s="20" t="s">
        <v>726</v>
      </c>
      <c r="JR20" s="20" t="s">
        <v>698</v>
      </c>
      <c r="JS20" s="20" t="s">
        <v>698</v>
      </c>
      <c r="JX20" s="20" t="s">
        <v>789</v>
      </c>
      <c r="JY20" s="20" t="s">
        <v>964</v>
      </c>
      <c r="QB20" s="20" t="s">
        <v>964</v>
      </c>
      <c r="QU20" s="20" t="s">
        <v>965</v>
      </c>
      <c r="RK20" s="20" t="s">
        <v>696</v>
      </c>
      <c r="RL20" s="20" t="s">
        <v>966</v>
      </c>
      <c r="XL20" s="20" t="s">
        <v>730</v>
      </c>
      <c r="XM20" s="20" t="s">
        <v>731</v>
      </c>
      <c r="XN20" s="20" t="s">
        <v>732</v>
      </c>
      <c r="XO20" s="20" t="s">
        <v>733</v>
      </c>
      <c r="XQ20" s="24">
        <v>45686</v>
      </c>
      <c r="XU20" s="20" t="s">
        <v>730</v>
      </c>
      <c r="XV20" s="20" t="s">
        <v>733</v>
      </c>
      <c r="XW20" s="20" t="s">
        <v>731</v>
      </c>
      <c r="XX20" s="20" t="s">
        <v>732</v>
      </c>
      <c r="XY20" s="20" t="s">
        <v>967</v>
      </c>
    </row>
    <row r="21" spans="1:649" ht="15.75" customHeight="1">
      <c r="A21" s="20">
        <v>129</v>
      </c>
      <c r="B21" s="21">
        <v>45681</v>
      </c>
      <c r="C21" s="20">
        <v>2024</v>
      </c>
      <c r="D21" s="20">
        <v>20250026</v>
      </c>
      <c r="E21" s="20">
        <v>40445</v>
      </c>
      <c r="F21" s="20" t="s">
        <v>690</v>
      </c>
      <c r="G21" s="20">
        <v>39706</v>
      </c>
      <c r="H21" s="20" t="s">
        <v>817</v>
      </c>
      <c r="I21" s="20" t="s">
        <v>692</v>
      </c>
      <c r="J21" s="20" t="s">
        <v>693</v>
      </c>
      <c r="K21" s="20" t="s">
        <v>694</v>
      </c>
      <c r="L21" s="20">
        <v>77002</v>
      </c>
      <c r="M21" s="22">
        <v>45655.427083333336</v>
      </c>
      <c r="N21" s="20" t="s">
        <v>695</v>
      </c>
      <c r="O21" s="20" t="s">
        <v>698</v>
      </c>
      <c r="P21" s="20">
        <v>29.997599999999998</v>
      </c>
      <c r="Q21" s="20">
        <v>-93.992767000000001</v>
      </c>
      <c r="R21" s="20" t="s">
        <v>697</v>
      </c>
      <c r="W21" s="20">
        <v>3</v>
      </c>
      <c r="Y21" s="20">
        <v>3</v>
      </c>
      <c r="Z21" s="20" t="s">
        <v>698</v>
      </c>
      <c r="AF21" s="20">
        <v>0</v>
      </c>
      <c r="AG21" s="20" t="s">
        <v>698</v>
      </c>
      <c r="AM21" s="20">
        <v>0</v>
      </c>
      <c r="AN21" s="20" t="s">
        <v>699</v>
      </c>
      <c r="AP21" s="20" t="s">
        <v>700</v>
      </c>
      <c r="AQ21" s="23">
        <v>45655.427083333336</v>
      </c>
      <c r="AR21" s="20" t="s">
        <v>736</v>
      </c>
      <c r="AS21" s="20" t="s">
        <v>702</v>
      </c>
      <c r="AT21" s="20" t="s">
        <v>703</v>
      </c>
      <c r="AU21" s="20" t="s">
        <v>698</v>
      </c>
      <c r="AV21" s="20" t="s">
        <v>968</v>
      </c>
      <c r="AZ21" s="20" t="s">
        <v>698</v>
      </c>
      <c r="BC21" s="23">
        <v>45655.427083333336</v>
      </c>
      <c r="BD21" s="23">
        <v>45655.427083333336</v>
      </c>
      <c r="BF21" s="20" t="s">
        <v>754</v>
      </c>
      <c r="BH21" s="20" t="s">
        <v>698</v>
      </c>
      <c r="BV21" s="20" t="s">
        <v>696</v>
      </c>
      <c r="BW21" s="23">
        <v>45655.427083333336</v>
      </c>
      <c r="BX21" s="20" t="s">
        <v>698</v>
      </c>
      <c r="CA21" s="20">
        <v>0</v>
      </c>
      <c r="CB21" s="20" t="s">
        <v>818</v>
      </c>
      <c r="CC21" s="20" t="s">
        <v>969</v>
      </c>
      <c r="CD21" s="20" t="s">
        <v>694</v>
      </c>
      <c r="CE21" s="20">
        <v>77627</v>
      </c>
      <c r="CF21" s="20" t="s">
        <v>820</v>
      </c>
      <c r="CG21" s="20" t="s">
        <v>821</v>
      </c>
      <c r="CH21" s="20" t="s">
        <v>710</v>
      </c>
      <c r="CI21" s="20" t="s">
        <v>711</v>
      </c>
      <c r="CJ21" s="20" t="s">
        <v>698</v>
      </c>
      <c r="CK21" s="20" t="s">
        <v>712</v>
      </c>
      <c r="CL21" s="20" t="s">
        <v>741</v>
      </c>
      <c r="CM21" s="20" t="s">
        <v>742</v>
      </c>
      <c r="CO21" s="20">
        <v>48</v>
      </c>
      <c r="CP21" s="20" t="s">
        <v>698</v>
      </c>
      <c r="DM21" s="20" t="s">
        <v>743</v>
      </c>
      <c r="DN21" s="20" t="s">
        <v>744</v>
      </c>
      <c r="DO21" s="20" t="s">
        <v>745</v>
      </c>
      <c r="DP21" s="20" t="s">
        <v>698</v>
      </c>
      <c r="DQ21" s="20">
        <v>16</v>
      </c>
      <c r="DR21" s="20">
        <v>0.375</v>
      </c>
      <c r="DS21" s="20">
        <v>42000</v>
      </c>
      <c r="DT21" s="20" t="s">
        <v>970</v>
      </c>
      <c r="DU21" s="20" t="s">
        <v>926</v>
      </c>
      <c r="DW21" s="20" t="s">
        <v>728</v>
      </c>
      <c r="DX21" s="20" t="s">
        <v>748</v>
      </c>
      <c r="DZ21" s="20" t="s">
        <v>698</v>
      </c>
      <c r="FK21" s="20" t="s">
        <v>728</v>
      </c>
      <c r="FL21" s="20" t="s">
        <v>728</v>
      </c>
      <c r="FM21" s="20" t="s">
        <v>719</v>
      </c>
      <c r="FO21" s="20" t="s">
        <v>720</v>
      </c>
      <c r="FR21" s="20" t="s">
        <v>749</v>
      </c>
      <c r="FY21" s="20" t="s">
        <v>698</v>
      </c>
      <c r="GC21" s="20" t="s">
        <v>696</v>
      </c>
      <c r="GD21" s="20" t="s">
        <v>698</v>
      </c>
      <c r="GE21" s="20" t="s">
        <v>696</v>
      </c>
      <c r="GH21" s="20" t="s">
        <v>696</v>
      </c>
      <c r="GK21" s="20" t="s">
        <v>698</v>
      </c>
      <c r="GT21" s="20" t="s">
        <v>696</v>
      </c>
      <c r="GU21" s="20" t="s">
        <v>696</v>
      </c>
      <c r="GX21" s="20" t="s">
        <v>696</v>
      </c>
      <c r="GY21" s="20" t="s">
        <v>696</v>
      </c>
      <c r="HF21" s="20">
        <v>0</v>
      </c>
      <c r="HG21" s="20">
        <v>300</v>
      </c>
      <c r="HH21" s="20">
        <v>3500</v>
      </c>
      <c r="HI21" s="20">
        <v>15000</v>
      </c>
      <c r="HJ21" s="20">
        <v>2500</v>
      </c>
      <c r="HK21" s="20">
        <v>0</v>
      </c>
      <c r="HM21" s="20">
        <v>21300</v>
      </c>
      <c r="HN21" s="20">
        <v>0</v>
      </c>
      <c r="HO21" s="20">
        <v>0</v>
      </c>
      <c r="HP21" s="20">
        <v>0</v>
      </c>
      <c r="HQ21" s="20">
        <v>0</v>
      </c>
      <c r="HR21" s="20">
        <v>85</v>
      </c>
      <c r="HS21" s="20">
        <v>275</v>
      </c>
      <c r="HT21" s="20" t="s">
        <v>787</v>
      </c>
      <c r="HV21" s="24">
        <v>44060</v>
      </c>
      <c r="HW21" s="20" t="s">
        <v>971</v>
      </c>
      <c r="HY21" s="20" t="s">
        <v>723</v>
      </c>
      <c r="HZ21" s="20" t="s">
        <v>698</v>
      </c>
      <c r="IS21" s="20" t="s">
        <v>724</v>
      </c>
      <c r="IT21" s="20" t="s">
        <v>696</v>
      </c>
      <c r="IU21" s="20" t="s">
        <v>696</v>
      </c>
      <c r="IV21" s="20" t="s">
        <v>696</v>
      </c>
      <c r="IW21" s="20" t="s">
        <v>698</v>
      </c>
      <c r="IX21" s="20" t="s">
        <v>698</v>
      </c>
      <c r="IY21" s="20" t="s">
        <v>696</v>
      </c>
      <c r="IZ21" s="20" t="s">
        <v>696</v>
      </c>
      <c r="JA21" s="20" t="s">
        <v>696</v>
      </c>
      <c r="JB21" s="20" t="s">
        <v>698</v>
      </c>
      <c r="JC21" s="20" t="s">
        <v>698</v>
      </c>
      <c r="JD21" s="20" t="s">
        <v>725</v>
      </c>
      <c r="JE21" s="20" t="s">
        <v>726</v>
      </c>
      <c r="JR21" s="20" t="s">
        <v>698</v>
      </c>
      <c r="JS21" s="20" t="s">
        <v>698</v>
      </c>
      <c r="JX21" s="20" t="s">
        <v>727</v>
      </c>
      <c r="JY21" s="20" t="s">
        <v>728</v>
      </c>
      <c r="RY21" s="20" t="s">
        <v>728</v>
      </c>
      <c r="SA21" s="20" t="s">
        <v>729</v>
      </c>
      <c r="XL21" s="20" t="s">
        <v>730</v>
      </c>
      <c r="XM21" s="20" t="s">
        <v>731</v>
      </c>
      <c r="XN21" s="20" t="s">
        <v>732</v>
      </c>
      <c r="XO21" s="20" t="s">
        <v>733</v>
      </c>
      <c r="XQ21" s="24">
        <v>45681</v>
      </c>
      <c r="XU21" s="20" t="s">
        <v>730</v>
      </c>
      <c r="XV21" s="20" t="s">
        <v>733</v>
      </c>
      <c r="XW21" s="20" t="s">
        <v>731</v>
      </c>
      <c r="XX21" s="20" t="s">
        <v>732</v>
      </c>
      <c r="XY21" s="20" t="s">
        <v>972</v>
      </c>
    </row>
    <row r="22" spans="1:649" ht="15.75" customHeight="1">
      <c r="A22" s="20">
        <v>130</v>
      </c>
      <c r="B22" s="21">
        <v>45681</v>
      </c>
      <c r="C22" s="20">
        <v>2024</v>
      </c>
      <c r="D22" s="20">
        <v>20250023</v>
      </c>
      <c r="E22" s="20">
        <v>41005</v>
      </c>
      <c r="F22" s="20" t="s">
        <v>825</v>
      </c>
      <c r="G22" s="20">
        <v>22830</v>
      </c>
      <c r="H22" s="20" t="s">
        <v>973</v>
      </c>
      <c r="I22" s="20" t="s">
        <v>974</v>
      </c>
      <c r="J22" s="20" t="s">
        <v>975</v>
      </c>
      <c r="K22" s="20" t="s">
        <v>976</v>
      </c>
      <c r="L22" s="20" t="s">
        <v>977</v>
      </c>
      <c r="M22" s="22">
        <v>45653.770833333336</v>
      </c>
      <c r="N22" s="20" t="s">
        <v>843</v>
      </c>
      <c r="O22" s="20" t="s">
        <v>696</v>
      </c>
      <c r="P22" s="20">
        <v>42.32199</v>
      </c>
      <c r="Q22" s="20">
        <v>-84.648859999999999</v>
      </c>
      <c r="R22" s="20" t="s">
        <v>844</v>
      </c>
      <c r="S22" s="20" t="s">
        <v>845</v>
      </c>
      <c r="W22" s="20">
        <v>60.85</v>
      </c>
      <c r="Y22" s="20">
        <v>60.85</v>
      </c>
      <c r="Z22" s="20" t="s">
        <v>698</v>
      </c>
      <c r="AF22" s="20">
        <v>0</v>
      </c>
      <c r="AG22" s="20" t="s">
        <v>698</v>
      </c>
      <c r="AM22" s="20">
        <v>0</v>
      </c>
      <c r="AN22" s="20" t="s">
        <v>775</v>
      </c>
      <c r="AQ22" s="23">
        <v>45653.80972222222</v>
      </c>
      <c r="AR22" s="20" t="s">
        <v>776</v>
      </c>
      <c r="AS22" s="20" t="s">
        <v>702</v>
      </c>
      <c r="AT22" s="20" t="s">
        <v>703</v>
      </c>
      <c r="AU22" s="20" t="s">
        <v>696</v>
      </c>
      <c r="AW22" s="23">
        <v>45653.770833333336</v>
      </c>
      <c r="AX22" s="23">
        <v>45667.355555555558</v>
      </c>
      <c r="AZ22" s="20" t="s">
        <v>696</v>
      </c>
      <c r="BA22" s="20" t="s">
        <v>753</v>
      </c>
      <c r="BB22" s="23">
        <v>45653.84375</v>
      </c>
      <c r="BC22" s="23">
        <v>45653.80972222222</v>
      </c>
      <c r="BD22" s="23">
        <v>45653.80972222222</v>
      </c>
      <c r="BE22" s="23">
        <v>45653.840277777781</v>
      </c>
      <c r="BF22" s="20">
        <v>1419975</v>
      </c>
      <c r="BG22" s="20" t="s">
        <v>978</v>
      </c>
      <c r="BH22" s="20" t="s">
        <v>698</v>
      </c>
      <c r="BN22" s="20" t="s">
        <v>777</v>
      </c>
      <c r="BP22" s="23">
        <v>45653.821527777778</v>
      </c>
      <c r="BQ22" s="20" t="s">
        <v>779</v>
      </c>
      <c r="BR22" s="20" t="s">
        <v>777</v>
      </c>
      <c r="BT22" s="23">
        <v>45653.822916666664</v>
      </c>
      <c r="BU22" s="20" t="s">
        <v>779</v>
      </c>
      <c r="BV22" s="20" t="s">
        <v>696</v>
      </c>
      <c r="BW22" s="23">
        <v>45653.799305555556</v>
      </c>
      <c r="BX22" s="20" t="s">
        <v>696</v>
      </c>
      <c r="BY22" s="23">
        <v>45653.84375</v>
      </c>
      <c r="BZ22" s="23">
        <v>45653.916666666664</v>
      </c>
      <c r="CA22" s="20">
        <v>0</v>
      </c>
      <c r="CB22" s="20" t="s">
        <v>979</v>
      </c>
      <c r="CC22" s="20" t="s">
        <v>979</v>
      </c>
      <c r="CD22" s="20" t="s">
        <v>976</v>
      </c>
      <c r="CE22" s="20">
        <v>48847</v>
      </c>
      <c r="CF22" s="20" t="s">
        <v>980</v>
      </c>
      <c r="CG22" s="20" t="s">
        <v>981</v>
      </c>
      <c r="CH22" s="20" t="s">
        <v>784</v>
      </c>
      <c r="CI22" s="20">
        <v>23.48</v>
      </c>
      <c r="CJ22" s="20" t="s">
        <v>698</v>
      </c>
      <c r="CK22" s="20" t="s">
        <v>785</v>
      </c>
      <c r="CL22" s="20" t="s">
        <v>741</v>
      </c>
      <c r="CM22" s="20" t="s">
        <v>742</v>
      </c>
      <c r="CO22" s="20">
        <v>6</v>
      </c>
      <c r="CP22" s="20" t="s">
        <v>696</v>
      </c>
      <c r="CW22" s="20" t="s">
        <v>696</v>
      </c>
      <c r="CX22" s="20" t="s">
        <v>982</v>
      </c>
      <c r="CY22" s="20" t="s">
        <v>983</v>
      </c>
      <c r="CZ22" s="20">
        <v>2</v>
      </c>
      <c r="DA22" s="20" t="s">
        <v>984</v>
      </c>
      <c r="DB22" s="20" t="s">
        <v>698</v>
      </c>
      <c r="DM22" s="20" t="s">
        <v>743</v>
      </c>
      <c r="DN22" s="20" t="s">
        <v>744</v>
      </c>
      <c r="DO22" s="20" t="s">
        <v>745</v>
      </c>
      <c r="DP22" s="20" t="s">
        <v>698</v>
      </c>
      <c r="DQ22" s="20">
        <v>6.625</v>
      </c>
      <c r="DR22" s="20">
        <v>0.25</v>
      </c>
      <c r="DS22" s="20">
        <v>42000</v>
      </c>
      <c r="DT22" s="20" t="s">
        <v>985</v>
      </c>
      <c r="DU22" s="20" t="s">
        <v>804</v>
      </c>
      <c r="DW22" s="20" t="s">
        <v>728</v>
      </c>
      <c r="DX22" s="20" t="s">
        <v>766</v>
      </c>
      <c r="DY22" s="20" t="s">
        <v>986</v>
      </c>
      <c r="DZ22" s="20" t="s">
        <v>696</v>
      </c>
      <c r="FK22" s="20">
        <v>1957</v>
      </c>
      <c r="FL22" s="20" t="s">
        <v>728</v>
      </c>
      <c r="FM22" s="20" t="s">
        <v>719</v>
      </c>
      <c r="FO22" s="20" t="s">
        <v>720</v>
      </c>
      <c r="FR22" s="20" t="s">
        <v>749</v>
      </c>
      <c r="FY22" s="20" t="s">
        <v>698</v>
      </c>
      <c r="GC22" s="20" t="s">
        <v>696</v>
      </c>
      <c r="GD22" s="20" t="s">
        <v>698</v>
      </c>
      <c r="GE22" s="20" t="s">
        <v>698</v>
      </c>
      <c r="GK22" s="20" t="s">
        <v>696</v>
      </c>
      <c r="GM22" s="20" t="s">
        <v>696</v>
      </c>
      <c r="GR22" s="20">
        <v>60.84</v>
      </c>
      <c r="GS22" s="20" t="s">
        <v>987</v>
      </c>
      <c r="GT22" s="20" t="s">
        <v>698</v>
      </c>
      <c r="GU22" s="20" t="s">
        <v>698</v>
      </c>
      <c r="HF22" s="20">
        <v>12000</v>
      </c>
      <c r="HG22" s="20">
        <v>4250</v>
      </c>
      <c r="HH22" s="20">
        <v>733921</v>
      </c>
      <c r="HI22" s="20">
        <v>911509</v>
      </c>
      <c r="HJ22" s="20">
        <v>73258</v>
      </c>
      <c r="HK22" s="20">
        <v>66502</v>
      </c>
      <c r="HL22" s="20" t="s">
        <v>988</v>
      </c>
      <c r="HM22" s="20">
        <v>1801440</v>
      </c>
      <c r="HN22" s="20">
        <v>0</v>
      </c>
      <c r="HO22" s="20">
        <v>0</v>
      </c>
      <c r="HP22" s="20">
        <v>0</v>
      </c>
      <c r="HQ22" s="20">
        <v>0</v>
      </c>
      <c r="HR22" s="20">
        <v>341</v>
      </c>
      <c r="HS22" s="20">
        <v>1440</v>
      </c>
      <c r="HT22" s="20" t="s">
        <v>943</v>
      </c>
      <c r="HV22" s="24">
        <v>33309</v>
      </c>
      <c r="HW22" s="20" t="s">
        <v>698</v>
      </c>
      <c r="HY22" s="20" t="s">
        <v>723</v>
      </c>
      <c r="HZ22" s="20" t="s">
        <v>698</v>
      </c>
      <c r="IC22" s="20">
        <v>34400</v>
      </c>
      <c r="ID22" s="20" t="s">
        <v>696</v>
      </c>
      <c r="IL22" s="20" t="s">
        <v>698</v>
      </c>
      <c r="IS22" s="20" t="s">
        <v>724</v>
      </c>
      <c r="IT22" s="20" t="s">
        <v>696</v>
      </c>
      <c r="IU22" s="20" t="s">
        <v>696</v>
      </c>
      <c r="IV22" s="20" t="s">
        <v>696</v>
      </c>
      <c r="IW22" s="20" t="s">
        <v>698</v>
      </c>
      <c r="IX22" s="20" t="s">
        <v>698</v>
      </c>
      <c r="IY22" s="20" t="s">
        <v>698</v>
      </c>
      <c r="JD22" s="20" t="s">
        <v>725</v>
      </c>
      <c r="JE22" s="20" t="s">
        <v>989</v>
      </c>
      <c r="JR22" s="20" t="s">
        <v>696</v>
      </c>
      <c r="JS22" s="20" t="s">
        <v>698</v>
      </c>
      <c r="JT22" s="20">
        <v>1</v>
      </c>
      <c r="JU22" s="20">
        <v>0</v>
      </c>
      <c r="JX22" s="20" t="s">
        <v>990</v>
      </c>
      <c r="JY22" s="20" t="s">
        <v>991</v>
      </c>
      <c r="MK22" s="20" t="s">
        <v>991</v>
      </c>
      <c r="ML22" s="20" t="s">
        <v>698</v>
      </c>
      <c r="MQ22" s="20" t="s">
        <v>698</v>
      </c>
      <c r="MV22" s="20" t="s">
        <v>696</v>
      </c>
      <c r="MY22" s="20" t="s">
        <v>696</v>
      </c>
      <c r="MZ22" s="20" t="s">
        <v>992</v>
      </c>
      <c r="NA22" s="20" t="s">
        <v>696</v>
      </c>
      <c r="NG22" s="20" t="s">
        <v>698</v>
      </c>
      <c r="NH22" s="20" t="s">
        <v>698</v>
      </c>
      <c r="NI22" s="20" t="s">
        <v>993</v>
      </c>
      <c r="NK22" s="20" t="s">
        <v>994</v>
      </c>
      <c r="NL22" s="20" t="s">
        <v>994</v>
      </c>
      <c r="NM22" s="20" t="s">
        <v>994</v>
      </c>
      <c r="NN22" s="20" t="s">
        <v>698</v>
      </c>
      <c r="NR22" s="20" t="s">
        <v>994</v>
      </c>
      <c r="NS22" s="20" t="s">
        <v>698</v>
      </c>
      <c r="NT22" s="20" t="s">
        <v>696</v>
      </c>
      <c r="NU22" s="20">
        <v>325</v>
      </c>
      <c r="NV22" s="20" t="s">
        <v>995</v>
      </c>
      <c r="NW22" s="20" t="s">
        <v>996</v>
      </c>
      <c r="SC22" s="20" t="s">
        <v>696</v>
      </c>
      <c r="SD22" s="20" t="s">
        <v>696</v>
      </c>
      <c r="SG22" s="20" t="s">
        <v>696</v>
      </c>
      <c r="SK22" s="20">
        <v>2023</v>
      </c>
      <c r="SL22" s="20" t="s">
        <v>863</v>
      </c>
      <c r="SM22" s="20" t="s">
        <v>864</v>
      </c>
      <c r="SO22" s="20" t="s">
        <v>865</v>
      </c>
      <c r="SQ22" s="20">
        <v>2018</v>
      </c>
      <c r="SR22" s="20" t="s">
        <v>863</v>
      </c>
      <c r="SS22" s="20" t="s">
        <v>864</v>
      </c>
      <c r="SU22" s="20" t="s">
        <v>865</v>
      </c>
      <c r="TQ22" s="20">
        <v>2023</v>
      </c>
      <c r="TR22" s="20" t="s">
        <v>863</v>
      </c>
      <c r="TS22" s="20" t="s">
        <v>865</v>
      </c>
      <c r="TU22" s="20" t="s">
        <v>934</v>
      </c>
      <c r="TV22" s="20">
        <v>2018</v>
      </c>
      <c r="TW22" s="20" t="s">
        <v>863</v>
      </c>
      <c r="TX22" s="20" t="s">
        <v>865</v>
      </c>
      <c r="TZ22" s="20" t="s">
        <v>934</v>
      </c>
      <c r="UN22" s="20" t="s">
        <v>696</v>
      </c>
      <c r="UO22" s="20" t="s">
        <v>698</v>
      </c>
      <c r="UR22" s="20" t="s">
        <v>698</v>
      </c>
      <c r="UZ22" s="20" t="s">
        <v>698</v>
      </c>
      <c r="XL22" s="20" t="s">
        <v>997</v>
      </c>
      <c r="XM22" s="20" t="s">
        <v>998</v>
      </c>
      <c r="XN22" s="20" t="s">
        <v>999</v>
      </c>
      <c r="XO22" s="20" t="s">
        <v>1000</v>
      </c>
      <c r="XQ22" s="24">
        <v>45772</v>
      </c>
      <c r="XR22" s="20" t="s">
        <v>1001</v>
      </c>
      <c r="XS22" s="20" t="s">
        <v>999</v>
      </c>
      <c r="XT22" s="20" t="s">
        <v>1000</v>
      </c>
      <c r="XU22" s="20" t="s">
        <v>1002</v>
      </c>
      <c r="XV22" s="20" t="s">
        <v>1003</v>
      </c>
      <c r="XW22" s="20" t="s">
        <v>1004</v>
      </c>
      <c r="XX22" s="20" t="s">
        <v>1005</v>
      </c>
      <c r="XY22" s="20" t="s">
        <v>1006</v>
      </c>
    </row>
    <row r="23" spans="1:649" ht="15.75" customHeight="1">
      <c r="A23" s="20">
        <v>139</v>
      </c>
      <c r="B23" s="21">
        <v>45673</v>
      </c>
      <c r="C23" s="20">
        <v>2024</v>
      </c>
      <c r="D23" s="20">
        <v>20250016</v>
      </c>
      <c r="E23" s="20">
        <v>40416</v>
      </c>
      <c r="F23" s="20" t="s">
        <v>690</v>
      </c>
      <c r="G23" s="20">
        <v>39596</v>
      </c>
      <c r="H23" s="20" t="s">
        <v>796</v>
      </c>
      <c r="I23" s="20" t="s">
        <v>692</v>
      </c>
      <c r="J23" s="20" t="s">
        <v>693</v>
      </c>
      <c r="K23" s="20" t="s">
        <v>694</v>
      </c>
      <c r="L23" s="20">
        <v>77002</v>
      </c>
      <c r="M23" s="22">
        <v>45644.638888888891</v>
      </c>
      <c r="N23" s="20" t="s">
        <v>695</v>
      </c>
      <c r="O23" s="20" t="s">
        <v>698</v>
      </c>
      <c r="P23" s="20">
        <v>32.352845000000002</v>
      </c>
      <c r="Q23" s="20">
        <v>-93.677745000000002</v>
      </c>
      <c r="R23" s="20" t="s">
        <v>697</v>
      </c>
      <c r="W23" s="20">
        <v>5</v>
      </c>
      <c r="Y23" s="20">
        <v>5</v>
      </c>
      <c r="Z23" s="20" t="s">
        <v>698</v>
      </c>
      <c r="AF23" s="20">
        <v>0</v>
      </c>
      <c r="AG23" s="20" t="s">
        <v>698</v>
      </c>
      <c r="AM23" s="20">
        <v>0</v>
      </c>
      <c r="AN23" s="20" t="s">
        <v>699</v>
      </c>
      <c r="AP23" s="20" t="s">
        <v>700</v>
      </c>
      <c r="AQ23" s="23">
        <v>45644.638888888891</v>
      </c>
      <c r="AR23" s="20" t="s">
        <v>701</v>
      </c>
      <c r="AS23" s="20" t="s">
        <v>702</v>
      </c>
      <c r="AT23" s="20" t="s">
        <v>703</v>
      </c>
      <c r="AU23" s="20" t="s">
        <v>696</v>
      </c>
      <c r="AW23" s="23">
        <v>45644.63958333333</v>
      </c>
      <c r="AX23" s="23">
        <v>45645.052083333336</v>
      </c>
      <c r="AZ23" s="20" t="s">
        <v>698</v>
      </c>
      <c r="BC23" s="23">
        <v>45644.638888888891</v>
      </c>
      <c r="BD23" s="23">
        <v>45644.638888888891</v>
      </c>
      <c r="BF23" s="20" t="s">
        <v>754</v>
      </c>
      <c r="BH23" s="20" t="s">
        <v>698</v>
      </c>
      <c r="BV23" s="20" t="s">
        <v>696</v>
      </c>
      <c r="BW23" s="23">
        <v>45644.638888888891</v>
      </c>
      <c r="BX23" s="20" t="s">
        <v>698</v>
      </c>
      <c r="CA23" s="20">
        <v>0</v>
      </c>
      <c r="CB23" s="20" t="s">
        <v>1007</v>
      </c>
      <c r="CC23" s="20" t="s">
        <v>1008</v>
      </c>
      <c r="CD23" s="20" t="s">
        <v>1009</v>
      </c>
      <c r="CE23" s="20">
        <v>71115</v>
      </c>
      <c r="CF23" s="20" t="s">
        <v>708</v>
      </c>
      <c r="CG23" s="20" t="s">
        <v>1010</v>
      </c>
      <c r="CH23" s="20" t="s">
        <v>784</v>
      </c>
      <c r="CI23" s="20">
        <v>68</v>
      </c>
      <c r="CJ23" s="20" t="s">
        <v>698</v>
      </c>
      <c r="CK23" s="20" t="s">
        <v>712</v>
      </c>
      <c r="CL23" s="20" t="s">
        <v>713</v>
      </c>
      <c r="CM23" s="20" t="s">
        <v>758</v>
      </c>
      <c r="CP23" s="20" t="s">
        <v>698</v>
      </c>
      <c r="DM23" s="20" t="s">
        <v>743</v>
      </c>
      <c r="DN23" s="20" t="s">
        <v>1011</v>
      </c>
      <c r="FK23" s="20">
        <v>2023</v>
      </c>
      <c r="FL23" s="20" t="s">
        <v>728</v>
      </c>
      <c r="FM23" s="20" t="s">
        <v>719</v>
      </c>
      <c r="FO23" s="20" t="s">
        <v>720</v>
      </c>
      <c r="FR23" s="20" t="s">
        <v>749</v>
      </c>
      <c r="FY23" s="20" t="s">
        <v>698</v>
      </c>
      <c r="GC23" s="20" t="s">
        <v>696</v>
      </c>
      <c r="GD23" s="20" t="s">
        <v>698</v>
      </c>
      <c r="GE23" s="20" t="s">
        <v>696</v>
      </c>
      <c r="GH23" s="20" t="s">
        <v>696</v>
      </c>
      <c r="GK23" s="20" t="s">
        <v>698</v>
      </c>
      <c r="GT23" s="20" t="s">
        <v>698</v>
      </c>
      <c r="GU23" s="20" t="s">
        <v>698</v>
      </c>
      <c r="HF23" s="20">
        <v>0</v>
      </c>
      <c r="HG23" s="20">
        <v>10</v>
      </c>
      <c r="HH23" s="20">
        <v>15000</v>
      </c>
      <c r="HI23" s="20">
        <v>5000</v>
      </c>
      <c r="HJ23" s="20">
        <v>1000</v>
      </c>
      <c r="HK23" s="20">
        <v>0</v>
      </c>
      <c r="HM23" s="20">
        <v>21010</v>
      </c>
      <c r="HN23" s="20">
        <v>0</v>
      </c>
      <c r="HO23" s="20">
        <v>0</v>
      </c>
      <c r="HP23" s="20">
        <v>0</v>
      </c>
      <c r="HQ23" s="20">
        <v>0</v>
      </c>
      <c r="HR23" s="20">
        <v>390</v>
      </c>
      <c r="HS23" s="20">
        <v>982</v>
      </c>
      <c r="HT23" s="20" t="s">
        <v>787</v>
      </c>
      <c r="HV23" s="24">
        <v>44707</v>
      </c>
      <c r="HW23" s="20" t="s">
        <v>698</v>
      </c>
      <c r="HY23" s="20" t="s">
        <v>723</v>
      </c>
      <c r="HZ23" s="20" t="s">
        <v>698</v>
      </c>
      <c r="IS23" s="20" t="s">
        <v>724</v>
      </c>
      <c r="IT23" s="20" t="s">
        <v>696</v>
      </c>
      <c r="IU23" s="20" t="s">
        <v>696</v>
      </c>
      <c r="IV23" s="20" t="s">
        <v>696</v>
      </c>
      <c r="IW23" s="20" t="s">
        <v>696</v>
      </c>
      <c r="IX23" s="20" t="s">
        <v>696</v>
      </c>
      <c r="IY23" s="20" t="s">
        <v>696</v>
      </c>
      <c r="IZ23" s="20" t="s">
        <v>696</v>
      </c>
      <c r="JA23" s="20" t="s">
        <v>696</v>
      </c>
      <c r="JB23" s="20" t="s">
        <v>698</v>
      </c>
      <c r="JC23" s="20" t="s">
        <v>698</v>
      </c>
      <c r="JD23" s="20" t="s">
        <v>725</v>
      </c>
      <c r="JE23" s="20" t="s">
        <v>726</v>
      </c>
      <c r="JR23" s="20" t="s">
        <v>698</v>
      </c>
      <c r="JS23" s="20" t="s">
        <v>698</v>
      </c>
      <c r="JX23" s="20" t="s">
        <v>727</v>
      </c>
      <c r="JY23" s="20" t="s">
        <v>728</v>
      </c>
      <c r="RY23" s="20" t="s">
        <v>728</v>
      </c>
      <c r="SA23" s="20" t="s">
        <v>729</v>
      </c>
      <c r="XL23" s="20" t="s">
        <v>730</v>
      </c>
      <c r="XM23" s="20" t="s">
        <v>731</v>
      </c>
      <c r="XN23" s="20" t="s">
        <v>732</v>
      </c>
      <c r="XO23" s="20" t="s">
        <v>733</v>
      </c>
      <c r="XQ23" s="24">
        <v>45673</v>
      </c>
      <c r="XU23" s="20" t="s">
        <v>730</v>
      </c>
      <c r="XV23" s="20" t="s">
        <v>733</v>
      </c>
      <c r="XW23" s="20" t="s">
        <v>731</v>
      </c>
      <c r="XX23" s="20" t="s">
        <v>732</v>
      </c>
      <c r="XY23" s="20" t="s">
        <v>1012</v>
      </c>
    </row>
    <row r="24" spans="1:649" ht="15.75" customHeight="1">
      <c r="A24" s="20">
        <v>144</v>
      </c>
      <c r="B24" s="21">
        <v>45663</v>
      </c>
      <c r="C24" s="20">
        <v>2024</v>
      </c>
      <c r="D24" s="20">
        <v>20250005</v>
      </c>
      <c r="E24" s="20">
        <v>40380</v>
      </c>
      <c r="F24" s="20" t="s">
        <v>885</v>
      </c>
      <c r="G24" s="20">
        <v>39706</v>
      </c>
      <c r="H24" s="20" t="s">
        <v>817</v>
      </c>
      <c r="I24" s="20" t="s">
        <v>692</v>
      </c>
      <c r="J24" s="20" t="s">
        <v>693</v>
      </c>
      <c r="K24" s="20" t="s">
        <v>694</v>
      </c>
      <c r="L24" s="20">
        <v>77002</v>
      </c>
      <c r="M24" s="22">
        <v>45635.582638888889</v>
      </c>
      <c r="N24" s="20" t="s">
        <v>695</v>
      </c>
      <c r="O24" s="20" t="s">
        <v>698</v>
      </c>
      <c r="P24" s="20">
        <v>29.994522</v>
      </c>
      <c r="Q24" s="20">
        <v>-93.991513999999995</v>
      </c>
      <c r="R24" s="20" t="s">
        <v>697</v>
      </c>
      <c r="W24" s="20">
        <v>10</v>
      </c>
      <c r="Y24" s="20">
        <v>10</v>
      </c>
      <c r="Z24" s="20" t="s">
        <v>698</v>
      </c>
      <c r="AF24" s="20">
        <v>0</v>
      </c>
      <c r="AG24" s="20" t="s">
        <v>698</v>
      </c>
      <c r="AM24" s="20">
        <v>0</v>
      </c>
      <c r="AN24" s="20" t="s">
        <v>699</v>
      </c>
      <c r="AP24" s="20" t="s">
        <v>1013</v>
      </c>
      <c r="AQ24" s="23">
        <v>45635.582638888889</v>
      </c>
      <c r="AR24" s="20" t="s">
        <v>736</v>
      </c>
      <c r="AS24" s="20" t="s">
        <v>702</v>
      </c>
      <c r="AT24" s="20" t="s">
        <v>703</v>
      </c>
      <c r="AU24" s="20" t="s">
        <v>698</v>
      </c>
      <c r="AV24" s="20" t="s">
        <v>1014</v>
      </c>
      <c r="AZ24" s="20" t="s">
        <v>698</v>
      </c>
      <c r="BC24" s="23">
        <v>45635.582638888889</v>
      </c>
      <c r="BD24" s="23">
        <v>45635.582638888889</v>
      </c>
      <c r="BF24" s="20" t="s">
        <v>754</v>
      </c>
      <c r="BH24" s="20" t="s">
        <v>698</v>
      </c>
      <c r="BV24" s="20" t="s">
        <v>696</v>
      </c>
      <c r="BW24" s="23">
        <v>45635.583333333336</v>
      </c>
      <c r="BX24" s="20" t="s">
        <v>698</v>
      </c>
      <c r="CA24" s="20">
        <v>0</v>
      </c>
      <c r="CB24" s="20" t="s">
        <v>818</v>
      </c>
      <c r="CC24" s="20" t="s">
        <v>1015</v>
      </c>
      <c r="CD24" s="20" t="s">
        <v>694</v>
      </c>
      <c r="CE24" s="20">
        <v>77627</v>
      </c>
      <c r="CF24" s="20" t="s">
        <v>820</v>
      </c>
      <c r="CG24" s="20" t="s">
        <v>821</v>
      </c>
      <c r="CH24" s="20" t="s">
        <v>710</v>
      </c>
      <c r="CI24" s="20" t="s">
        <v>711</v>
      </c>
      <c r="CJ24" s="20" t="s">
        <v>698</v>
      </c>
      <c r="CK24" s="20" t="s">
        <v>712</v>
      </c>
      <c r="CL24" s="20" t="s">
        <v>713</v>
      </c>
      <c r="CM24" s="20" t="s">
        <v>758</v>
      </c>
      <c r="CP24" s="20" t="s">
        <v>698</v>
      </c>
      <c r="DM24" s="20" t="s">
        <v>743</v>
      </c>
      <c r="DN24" s="20" t="s">
        <v>759</v>
      </c>
      <c r="FK24" s="20">
        <v>2024</v>
      </c>
      <c r="FL24" s="20">
        <v>2024</v>
      </c>
      <c r="FM24" s="20" t="s">
        <v>962</v>
      </c>
      <c r="FN24" s="20" t="s">
        <v>1016</v>
      </c>
      <c r="FO24" s="20" t="s">
        <v>720</v>
      </c>
      <c r="FR24" s="20" t="s">
        <v>823</v>
      </c>
      <c r="FY24" s="20" t="s">
        <v>698</v>
      </c>
      <c r="GC24" s="20" t="s">
        <v>696</v>
      </c>
      <c r="GD24" s="20" t="s">
        <v>698</v>
      </c>
      <c r="GE24" s="20" t="s">
        <v>696</v>
      </c>
      <c r="GH24" s="20" t="s">
        <v>696</v>
      </c>
      <c r="GK24" s="20" t="s">
        <v>698</v>
      </c>
      <c r="GT24" s="20" t="s">
        <v>696</v>
      </c>
      <c r="GU24" s="20" t="s">
        <v>696</v>
      </c>
      <c r="GX24" s="20" t="s">
        <v>696</v>
      </c>
      <c r="GY24" s="20" t="s">
        <v>696</v>
      </c>
      <c r="HF24" s="20">
        <v>0</v>
      </c>
      <c r="HG24" s="20">
        <v>700</v>
      </c>
      <c r="HH24" s="20">
        <v>7500</v>
      </c>
      <c r="HI24" s="20">
        <v>8200</v>
      </c>
      <c r="HJ24" s="20">
        <v>1500</v>
      </c>
      <c r="HK24" s="20">
        <v>0</v>
      </c>
      <c r="HM24" s="20">
        <v>17900</v>
      </c>
      <c r="HN24" s="20">
        <v>0</v>
      </c>
      <c r="HO24" s="20">
        <v>0</v>
      </c>
      <c r="HP24" s="20">
        <v>0</v>
      </c>
      <c r="HQ24" s="20">
        <v>0</v>
      </c>
      <c r="HR24" s="20">
        <v>1100</v>
      </c>
      <c r="HS24" s="20">
        <v>1440</v>
      </c>
      <c r="HT24" s="20" t="s">
        <v>943</v>
      </c>
      <c r="HV24" s="24">
        <v>36526</v>
      </c>
      <c r="HW24" s="20" t="s">
        <v>698</v>
      </c>
      <c r="HY24" s="20" t="s">
        <v>723</v>
      </c>
      <c r="HZ24" s="20" t="s">
        <v>698</v>
      </c>
      <c r="IS24" s="20" t="s">
        <v>724</v>
      </c>
      <c r="IT24" s="20" t="s">
        <v>698</v>
      </c>
      <c r="IY24" s="20" t="s">
        <v>698</v>
      </c>
      <c r="JD24" s="20" t="s">
        <v>725</v>
      </c>
      <c r="JE24" s="20" t="s">
        <v>726</v>
      </c>
      <c r="JR24" s="20" t="s">
        <v>698</v>
      </c>
      <c r="JS24" s="20" t="s">
        <v>698</v>
      </c>
      <c r="JX24" s="20" t="s">
        <v>789</v>
      </c>
      <c r="JY24" s="20" t="s">
        <v>914</v>
      </c>
      <c r="QB24" s="20" t="s">
        <v>914</v>
      </c>
      <c r="QS24" s="20" t="s">
        <v>1017</v>
      </c>
      <c r="QY24" s="20" t="s">
        <v>696</v>
      </c>
      <c r="XL24" s="20" t="s">
        <v>730</v>
      </c>
      <c r="XM24" s="20" t="s">
        <v>731</v>
      </c>
      <c r="XN24" s="20" t="s">
        <v>732</v>
      </c>
      <c r="XO24" s="20" t="s">
        <v>733</v>
      </c>
      <c r="XQ24" s="24">
        <v>45663</v>
      </c>
      <c r="XU24" s="20" t="s">
        <v>730</v>
      </c>
      <c r="XV24" s="20" t="s">
        <v>733</v>
      </c>
      <c r="XW24" s="20" t="s">
        <v>731</v>
      </c>
      <c r="XX24" s="20" t="s">
        <v>732</v>
      </c>
      <c r="XY24" s="20" t="s">
        <v>1018</v>
      </c>
    </row>
    <row r="25" spans="1:649" ht="15.75" customHeight="1">
      <c r="A25" s="20">
        <v>148</v>
      </c>
      <c r="B25" s="21">
        <v>45665</v>
      </c>
      <c r="C25" s="20">
        <v>2024</v>
      </c>
      <c r="D25" s="20">
        <v>20250009</v>
      </c>
      <c r="E25" s="20">
        <v>40695</v>
      </c>
      <c r="F25" s="20" t="s">
        <v>825</v>
      </c>
      <c r="G25" s="20">
        <v>32099</v>
      </c>
      <c r="H25" s="20" t="s">
        <v>752</v>
      </c>
      <c r="I25" s="20" t="s">
        <v>692</v>
      </c>
      <c r="J25" s="20" t="s">
        <v>693</v>
      </c>
      <c r="K25" s="20" t="s">
        <v>694</v>
      </c>
      <c r="L25" s="20">
        <v>77002</v>
      </c>
      <c r="M25" s="22">
        <v>45635.4375</v>
      </c>
      <c r="N25" s="20" t="s">
        <v>695</v>
      </c>
      <c r="O25" s="20" t="s">
        <v>698</v>
      </c>
      <c r="P25" s="20">
        <v>30.045552000000001</v>
      </c>
      <c r="Q25" s="20">
        <v>-94.230316000000002</v>
      </c>
      <c r="R25" s="20" t="s">
        <v>697</v>
      </c>
      <c r="W25" s="20">
        <v>1</v>
      </c>
      <c r="Y25" s="20">
        <v>1</v>
      </c>
      <c r="Z25" s="20" t="s">
        <v>698</v>
      </c>
      <c r="AF25" s="20">
        <v>0</v>
      </c>
      <c r="AG25" s="20" t="s">
        <v>698</v>
      </c>
      <c r="AM25" s="20">
        <v>0</v>
      </c>
      <c r="AN25" s="20" t="s">
        <v>775</v>
      </c>
      <c r="AQ25" s="23">
        <v>45635.4375</v>
      </c>
      <c r="AR25" s="20" t="s">
        <v>776</v>
      </c>
      <c r="AS25" s="20" t="s">
        <v>702</v>
      </c>
      <c r="AT25" s="20" t="s">
        <v>703</v>
      </c>
      <c r="AU25" s="20" t="s">
        <v>698</v>
      </c>
      <c r="AV25" s="20" t="s">
        <v>1019</v>
      </c>
      <c r="AZ25" s="20" t="s">
        <v>698</v>
      </c>
      <c r="BC25" s="23">
        <v>45635.458333333336</v>
      </c>
      <c r="BD25" s="23">
        <v>45635.46875</v>
      </c>
      <c r="BF25" s="20" t="s">
        <v>754</v>
      </c>
      <c r="BH25" s="20" t="s">
        <v>698</v>
      </c>
      <c r="BN25" s="20" t="s">
        <v>849</v>
      </c>
      <c r="BO25" s="20" t="s">
        <v>1020</v>
      </c>
      <c r="BR25" s="20" t="s">
        <v>849</v>
      </c>
      <c r="BS25" s="20" t="s">
        <v>1020</v>
      </c>
      <c r="BV25" s="20" t="s">
        <v>696</v>
      </c>
      <c r="BW25" s="23">
        <v>45635.458333333336</v>
      </c>
      <c r="BX25" s="20" t="s">
        <v>698</v>
      </c>
      <c r="CA25" s="20">
        <v>0</v>
      </c>
      <c r="CB25" s="20" t="s">
        <v>1021</v>
      </c>
      <c r="CC25" s="20" t="s">
        <v>1022</v>
      </c>
      <c r="CD25" s="20" t="s">
        <v>694</v>
      </c>
      <c r="CE25" s="20">
        <v>77713</v>
      </c>
      <c r="CF25" s="20" t="s">
        <v>708</v>
      </c>
      <c r="CG25" s="20" t="s">
        <v>821</v>
      </c>
      <c r="CH25" s="20" t="s">
        <v>710</v>
      </c>
      <c r="CI25" s="20" t="s">
        <v>1023</v>
      </c>
      <c r="CJ25" s="20" t="s">
        <v>698</v>
      </c>
      <c r="CK25" s="20" t="s">
        <v>785</v>
      </c>
      <c r="CL25" s="20" t="s">
        <v>741</v>
      </c>
      <c r="CM25" s="20" t="s">
        <v>742</v>
      </c>
      <c r="CO25" s="20">
        <v>60</v>
      </c>
      <c r="CP25" s="20" t="s">
        <v>698</v>
      </c>
      <c r="DM25" s="20" t="s">
        <v>715</v>
      </c>
      <c r="DN25" s="20" t="s">
        <v>744</v>
      </c>
      <c r="DO25" s="20" t="s">
        <v>745</v>
      </c>
      <c r="DP25" s="20" t="s">
        <v>698</v>
      </c>
      <c r="DQ25" s="20">
        <v>10</v>
      </c>
      <c r="DR25" s="20">
        <v>0.219</v>
      </c>
      <c r="DS25" s="20">
        <v>52000</v>
      </c>
      <c r="DT25" s="20" t="s">
        <v>1024</v>
      </c>
      <c r="DU25" s="20" t="s">
        <v>747</v>
      </c>
      <c r="DW25" s="20" t="s">
        <v>728</v>
      </c>
      <c r="DX25" s="20" t="s">
        <v>748</v>
      </c>
      <c r="DZ25" s="20" t="s">
        <v>696</v>
      </c>
      <c r="FK25" s="20" t="s">
        <v>728</v>
      </c>
      <c r="FL25" s="20" t="s">
        <v>728</v>
      </c>
      <c r="FM25" s="20" t="s">
        <v>719</v>
      </c>
      <c r="FO25" s="20" t="s">
        <v>720</v>
      </c>
      <c r="FR25" s="20" t="s">
        <v>749</v>
      </c>
      <c r="FY25" s="20" t="s">
        <v>698</v>
      </c>
      <c r="GC25" s="20" t="s">
        <v>696</v>
      </c>
      <c r="GD25" s="20" t="s">
        <v>698</v>
      </c>
      <c r="GE25" s="20" t="s">
        <v>696</v>
      </c>
      <c r="GH25" s="20" t="s">
        <v>696</v>
      </c>
      <c r="GK25" s="20" t="s">
        <v>698</v>
      </c>
      <c r="GT25" s="20" t="s">
        <v>696</v>
      </c>
      <c r="GU25" s="20" t="s">
        <v>698</v>
      </c>
      <c r="HF25" s="20">
        <v>10000</v>
      </c>
      <c r="HG25" s="20">
        <v>70</v>
      </c>
      <c r="HH25" s="20">
        <v>2000</v>
      </c>
      <c r="HI25" s="20">
        <v>10000</v>
      </c>
      <c r="HJ25" s="20">
        <v>25000</v>
      </c>
      <c r="HK25" s="20">
        <v>0</v>
      </c>
      <c r="HM25" s="20">
        <v>47070</v>
      </c>
      <c r="HN25" s="20">
        <v>0</v>
      </c>
      <c r="HO25" s="20">
        <v>0</v>
      </c>
      <c r="HP25" s="20">
        <v>0</v>
      </c>
      <c r="HQ25" s="20">
        <v>0</v>
      </c>
      <c r="HR25" s="20">
        <v>8</v>
      </c>
      <c r="HS25" s="20">
        <v>1000</v>
      </c>
      <c r="HT25" s="20" t="s">
        <v>787</v>
      </c>
      <c r="HV25" s="24">
        <v>36340</v>
      </c>
      <c r="HW25" s="20" t="s">
        <v>971</v>
      </c>
      <c r="HY25" s="20" t="s">
        <v>723</v>
      </c>
      <c r="HZ25" s="20" t="s">
        <v>698</v>
      </c>
      <c r="ID25" s="20" t="s">
        <v>696</v>
      </c>
      <c r="IL25" s="20" t="s">
        <v>698</v>
      </c>
      <c r="IS25" s="20" t="s">
        <v>724</v>
      </c>
      <c r="IT25" s="20" t="s">
        <v>696</v>
      </c>
      <c r="IU25" s="20" t="s">
        <v>696</v>
      </c>
      <c r="IV25" s="20" t="s">
        <v>696</v>
      </c>
      <c r="IW25" s="20" t="s">
        <v>698</v>
      </c>
      <c r="IX25" s="20" t="s">
        <v>698</v>
      </c>
      <c r="IY25" s="20" t="s">
        <v>696</v>
      </c>
      <c r="IZ25" s="20" t="s">
        <v>696</v>
      </c>
      <c r="JA25" s="20" t="s">
        <v>696</v>
      </c>
      <c r="JB25" s="20" t="s">
        <v>698</v>
      </c>
      <c r="JC25" s="20" t="s">
        <v>698</v>
      </c>
      <c r="JD25" s="20" t="s">
        <v>725</v>
      </c>
      <c r="JE25" s="20" t="s">
        <v>726</v>
      </c>
      <c r="JR25" s="20" t="s">
        <v>698</v>
      </c>
      <c r="JS25" s="20" t="s">
        <v>698</v>
      </c>
      <c r="JX25" s="20" t="s">
        <v>833</v>
      </c>
      <c r="JY25" s="20" t="s">
        <v>834</v>
      </c>
      <c r="JZ25" s="20" t="s">
        <v>834</v>
      </c>
      <c r="LD25" s="20" t="s">
        <v>835</v>
      </c>
      <c r="LH25" s="20" t="s">
        <v>696</v>
      </c>
      <c r="LM25" s="20" t="s">
        <v>696</v>
      </c>
      <c r="LP25" s="20" t="s">
        <v>696</v>
      </c>
      <c r="LU25" s="20" t="s">
        <v>696</v>
      </c>
      <c r="LV25" s="20" t="s">
        <v>698</v>
      </c>
      <c r="LW25" s="20" t="s">
        <v>696</v>
      </c>
      <c r="LX25" s="20" t="s">
        <v>696</v>
      </c>
      <c r="SC25" s="20" t="s">
        <v>696</v>
      </c>
      <c r="SD25" s="20" t="s">
        <v>696</v>
      </c>
      <c r="SE25" s="20" t="s">
        <v>696</v>
      </c>
      <c r="SG25" s="20" t="s">
        <v>696</v>
      </c>
      <c r="SK25" s="20">
        <v>2024</v>
      </c>
      <c r="SL25" s="20" t="s">
        <v>863</v>
      </c>
      <c r="SM25" s="20" t="s">
        <v>864</v>
      </c>
      <c r="SO25" s="20" t="s">
        <v>865</v>
      </c>
      <c r="SQ25" s="20">
        <v>2019</v>
      </c>
      <c r="SR25" s="20" t="s">
        <v>863</v>
      </c>
      <c r="SS25" s="20" t="s">
        <v>864</v>
      </c>
      <c r="SU25" s="20" t="s">
        <v>865</v>
      </c>
      <c r="SW25" s="20">
        <v>2024</v>
      </c>
      <c r="SX25" s="20" t="s">
        <v>863</v>
      </c>
      <c r="SY25" s="20" t="s">
        <v>865</v>
      </c>
      <c r="TA25" s="20">
        <v>2019</v>
      </c>
      <c r="TB25" s="20" t="s">
        <v>863</v>
      </c>
      <c r="TC25" s="20" t="s">
        <v>865</v>
      </c>
      <c r="TQ25" s="20">
        <v>2024</v>
      </c>
      <c r="TR25" s="20" t="s">
        <v>863</v>
      </c>
      <c r="TS25" s="20" t="s">
        <v>865</v>
      </c>
      <c r="TU25" s="20" t="s">
        <v>866</v>
      </c>
      <c r="TV25" s="20">
        <v>2019</v>
      </c>
      <c r="TW25" s="20" t="s">
        <v>863</v>
      </c>
      <c r="TX25" s="20" t="s">
        <v>865</v>
      </c>
      <c r="TZ25" s="20" t="s">
        <v>866</v>
      </c>
      <c r="UO25" s="20" t="s">
        <v>696</v>
      </c>
      <c r="UP25" s="20">
        <v>1999</v>
      </c>
      <c r="UQ25" s="20">
        <v>1252</v>
      </c>
      <c r="UR25" s="20" t="s">
        <v>698</v>
      </c>
      <c r="UZ25" s="20" t="s">
        <v>698</v>
      </c>
      <c r="XL25" s="20" t="s">
        <v>730</v>
      </c>
      <c r="XM25" s="20" t="s">
        <v>731</v>
      </c>
      <c r="XN25" s="20" t="s">
        <v>732</v>
      </c>
      <c r="XO25" s="20" t="s">
        <v>733</v>
      </c>
      <c r="XQ25" s="24">
        <v>45744</v>
      </c>
      <c r="XU25" s="20" t="s">
        <v>730</v>
      </c>
      <c r="XV25" s="20" t="s">
        <v>733</v>
      </c>
      <c r="XW25" s="20" t="s">
        <v>731</v>
      </c>
      <c r="XX25" s="20" t="s">
        <v>732</v>
      </c>
      <c r="XY25" s="20" t="s">
        <v>1025</v>
      </c>
    </row>
    <row r="26" spans="1:649" ht="15.75" customHeight="1">
      <c r="A26" s="20">
        <v>152</v>
      </c>
      <c r="B26" s="21">
        <v>45645</v>
      </c>
      <c r="C26" s="20">
        <v>2024</v>
      </c>
      <c r="D26" s="20">
        <v>20240293</v>
      </c>
      <c r="E26" s="20">
        <v>40344</v>
      </c>
      <c r="F26" s="20" t="s">
        <v>885</v>
      </c>
      <c r="G26" s="20">
        <v>18718</v>
      </c>
      <c r="H26" s="20" t="s">
        <v>918</v>
      </c>
      <c r="I26" s="20" t="s">
        <v>692</v>
      </c>
      <c r="J26" s="20" t="s">
        <v>693</v>
      </c>
      <c r="K26" s="20" t="s">
        <v>694</v>
      </c>
      <c r="L26" s="20">
        <v>77002</v>
      </c>
      <c r="M26" s="22">
        <v>45629.477777777778</v>
      </c>
      <c r="N26" s="20" t="s">
        <v>843</v>
      </c>
      <c r="O26" s="20" t="s">
        <v>698</v>
      </c>
      <c r="P26" s="20">
        <v>40.316052999999997</v>
      </c>
      <c r="Q26" s="20">
        <v>-76.038183000000004</v>
      </c>
      <c r="R26" s="20" t="s">
        <v>844</v>
      </c>
      <c r="S26" s="20" t="s">
        <v>845</v>
      </c>
      <c r="W26" s="20">
        <v>30</v>
      </c>
      <c r="Y26" s="20">
        <v>30</v>
      </c>
      <c r="Z26" s="20" t="s">
        <v>698</v>
      </c>
      <c r="AF26" s="20">
        <v>0</v>
      </c>
      <c r="AG26" s="20" t="s">
        <v>698</v>
      </c>
      <c r="AM26" s="20">
        <v>0</v>
      </c>
      <c r="AN26" s="20" t="s">
        <v>699</v>
      </c>
      <c r="AP26" s="20" t="s">
        <v>700</v>
      </c>
      <c r="AQ26" s="23">
        <v>45629.477777777778</v>
      </c>
      <c r="AR26" s="20" t="s">
        <v>701</v>
      </c>
      <c r="AS26" s="20" t="s">
        <v>702</v>
      </c>
      <c r="AT26" s="20" t="s">
        <v>703</v>
      </c>
      <c r="AU26" s="20" t="s">
        <v>698</v>
      </c>
      <c r="AV26" s="20" t="s">
        <v>1026</v>
      </c>
      <c r="AZ26" s="20" t="s">
        <v>698</v>
      </c>
      <c r="BC26" s="23">
        <v>45629.477777777778</v>
      </c>
      <c r="BD26" s="23">
        <v>45629.477777777778</v>
      </c>
      <c r="BE26" s="23">
        <v>45629.693055555559</v>
      </c>
      <c r="BF26" s="20">
        <v>1417894</v>
      </c>
      <c r="BG26" s="20">
        <v>1418050</v>
      </c>
      <c r="BH26" s="20" t="s">
        <v>698</v>
      </c>
      <c r="BV26" s="20" t="s">
        <v>696</v>
      </c>
      <c r="BW26" s="23">
        <v>45629.478472222225</v>
      </c>
      <c r="BX26" s="20" t="s">
        <v>696</v>
      </c>
      <c r="BY26" s="23">
        <v>45629.506944444445</v>
      </c>
      <c r="BZ26" s="23">
        <v>45629.583333333336</v>
      </c>
      <c r="CA26" s="20">
        <v>0</v>
      </c>
      <c r="CB26" s="20" t="s">
        <v>1027</v>
      </c>
      <c r="CC26" s="20" t="s">
        <v>1028</v>
      </c>
      <c r="CD26" s="20" t="s">
        <v>921</v>
      </c>
      <c r="CE26" s="20">
        <v>19608</v>
      </c>
      <c r="CF26" s="20" t="s">
        <v>1029</v>
      </c>
      <c r="CG26" s="20" t="s">
        <v>1030</v>
      </c>
      <c r="CH26" s="20" t="s">
        <v>710</v>
      </c>
      <c r="CI26" s="20" t="s">
        <v>711</v>
      </c>
      <c r="CJ26" s="20" t="s">
        <v>698</v>
      </c>
      <c r="CK26" s="20" t="s">
        <v>712</v>
      </c>
      <c r="CL26" s="20" t="s">
        <v>713</v>
      </c>
      <c r="CM26" s="20" t="s">
        <v>758</v>
      </c>
      <c r="CP26" s="20" t="s">
        <v>698</v>
      </c>
      <c r="DM26" s="20" t="s">
        <v>743</v>
      </c>
      <c r="DN26" s="20" t="s">
        <v>759</v>
      </c>
      <c r="FK26" s="20" t="s">
        <v>728</v>
      </c>
      <c r="FL26" s="20" t="s">
        <v>728</v>
      </c>
      <c r="FM26" s="20" t="s">
        <v>719</v>
      </c>
      <c r="FO26" s="20" t="s">
        <v>766</v>
      </c>
      <c r="FX26" s="20" t="s">
        <v>1031</v>
      </c>
      <c r="FY26" s="20" t="s">
        <v>698</v>
      </c>
      <c r="GC26" s="20" t="s">
        <v>696</v>
      </c>
      <c r="GD26" s="20" t="s">
        <v>698</v>
      </c>
      <c r="GE26" s="20" t="s">
        <v>696</v>
      </c>
      <c r="GH26" s="20" t="s">
        <v>696</v>
      </c>
      <c r="GK26" s="20" t="s">
        <v>698</v>
      </c>
      <c r="GT26" s="20" t="s">
        <v>696</v>
      </c>
      <c r="GU26" s="20" t="s">
        <v>696</v>
      </c>
      <c r="GX26" s="20" t="s">
        <v>696</v>
      </c>
      <c r="GY26" s="20" t="s">
        <v>696</v>
      </c>
      <c r="HB26" s="20" t="s">
        <v>696</v>
      </c>
      <c r="HC26" s="20" t="s">
        <v>696</v>
      </c>
      <c r="HF26" s="20">
        <v>0</v>
      </c>
      <c r="HG26" s="20">
        <v>100</v>
      </c>
      <c r="HH26" s="20">
        <v>0</v>
      </c>
      <c r="HI26" s="20">
        <v>20000</v>
      </c>
      <c r="HJ26" s="20">
        <v>45000</v>
      </c>
      <c r="HK26" s="20">
        <v>0</v>
      </c>
      <c r="HM26" s="20">
        <v>65100</v>
      </c>
      <c r="HN26" s="20">
        <v>0</v>
      </c>
      <c r="HO26" s="20">
        <v>0</v>
      </c>
      <c r="HP26" s="20">
        <v>0</v>
      </c>
      <c r="HQ26" s="20">
        <v>0</v>
      </c>
      <c r="HR26" s="20">
        <v>0</v>
      </c>
      <c r="HS26" s="20">
        <v>280</v>
      </c>
      <c r="HT26" s="20" t="s">
        <v>787</v>
      </c>
      <c r="HV26" s="24">
        <v>43231</v>
      </c>
      <c r="HW26" s="20" t="s">
        <v>698</v>
      </c>
      <c r="HY26" s="20" t="s">
        <v>723</v>
      </c>
      <c r="HZ26" s="20" t="s">
        <v>698</v>
      </c>
      <c r="IS26" s="20" t="s">
        <v>724</v>
      </c>
      <c r="IT26" s="20" t="s">
        <v>696</v>
      </c>
      <c r="IU26" s="20" t="s">
        <v>696</v>
      </c>
      <c r="IV26" s="20" t="s">
        <v>696</v>
      </c>
      <c r="IW26" s="20" t="s">
        <v>698</v>
      </c>
      <c r="IX26" s="20" t="s">
        <v>698</v>
      </c>
      <c r="IY26" s="20" t="s">
        <v>698</v>
      </c>
      <c r="JD26" s="20" t="s">
        <v>725</v>
      </c>
      <c r="JE26" s="20" t="s">
        <v>726</v>
      </c>
      <c r="JR26" s="20" t="s">
        <v>698</v>
      </c>
      <c r="JS26" s="20" t="s">
        <v>696</v>
      </c>
      <c r="JV26" s="20">
        <v>1</v>
      </c>
      <c r="JW26" s="20">
        <v>0</v>
      </c>
      <c r="JX26" s="20" t="s">
        <v>894</v>
      </c>
      <c r="JY26" s="20" t="s">
        <v>1032</v>
      </c>
      <c r="RM26" s="20" t="s">
        <v>1032</v>
      </c>
      <c r="RP26" s="20" t="s">
        <v>1033</v>
      </c>
      <c r="RS26" s="20" t="s">
        <v>696</v>
      </c>
      <c r="RV26" s="20" t="s">
        <v>1034</v>
      </c>
      <c r="RW26" s="20" t="s">
        <v>696</v>
      </c>
      <c r="RX26" s="20" t="s">
        <v>898</v>
      </c>
      <c r="XL26" s="20" t="s">
        <v>730</v>
      </c>
      <c r="XM26" s="20" t="s">
        <v>731</v>
      </c>
      <c r="XN26" s="20" t="s">
        <v>732</v>
      </c>
      <c r="XO26" s="20" t="s">
        <v>733</v>
      </c>
      <c r="XQ26" s="24">
        <v>45645</v>
      </c>
      <c r="XU26" s="20" t="s">
        <v>730</v>
      </c>
      <c r="XV26" s="20" t="s">
        <v>733</v>
      </c>
      <c r="XW26" s="20" t="s">
        <v>731</v>
      </c>
      <c r="XX26" s="20" t="s">
        <v>732</v>
      </c>
      <c r="XY26" s="20" t="s">
        <v>1035</v>
      </c>
    </row>
    <row r="27" spans="1:649" ht="15.75" customHeight="1">
      <c r="A27" s="20">
        <v>169</v>
      </c>
      <c r="B27" s="21">
        <v>45623</v>
      </c>
      <c r="C27" s="20">
        <v>2024</v>
      </c>
      <c r="D27" s="20">
        <v>20240281</v>
      </c>
      <c r="E27" s="20">
        <v>40260</v>
      </c>
      <c r="F27" s="20" t="s">
        <v>885</v>
      </c>
      <c r="G27" s="20">
        <v>32099</v>
      </c>
      <c r="H27" s="20" t="s">
        <v>752</v>
      </c>
      <c r="I27" s="20" t="s">
        <v>692</v>
      </c>
      <c r="J27" s="20" t="s">
        <v>693</v>
      </c>
      <c r="K27" s="20" t="s">
        <v>694</v>
      </c>
      <c r="L27" s="20">
        <v>77002</v>
      </c>
      <c r="M27" s="22">
        <v>45596.625</v>
      </c>
      <c r="N27" s="20" t="s">
        <v>695</v>
      </c>
      <c r="O27" s="20" t="s">
        <v>696</v>
      </c>
      <c r="P27" s="20">
        <v>30.140718</v>
      </c>
      <c r="Q27" s="20">
        <v>-94.398944</v>
      </c>
      <c r="R27" s="20" t="s">
        <v>697</v>
      </c>
      <c r="W27" s="20">
        <v>2</v>
      </c>
      <c r="Y27" s="20">
        <v>2</v>
      </c>
      <c r="Z27" s="20" t="s">
        <v>698</v>
      </c>
      <c r="AF27" s="20">
        <v>0</v>
      </c>
      <c r="AG27" s="20" t="s">
        <v>698</v>
      </c>
      <c r="AM27" s="20">
        <v>0</v>
      </c>
      <c r="AN27" s="20" t="s">
        <v>699</v>
      </c>
      <c r="AP27" s="20" t="s">
        <v>700</v>
      </c>
      <c r="AQ27" s="23">
        <v>45596.625</v>
      </c>
      <c r="AR27" s="20" t="s">
        <v>701</v>
      </c>
      <c r="AS27" s="20" t="s">
        <v>702</v>
      </c>
      <c r="AT27" s="20" t="s">
        <v>703</v>
      </c>
      <c r="AU27" s="20" t="s">
        <v>696</v>
      </c>
      <c r="AW27" s="23">
        <v>45596.625</v>
      </c>
      <c r="AX27" s="23">
        <v>45597.166666666664</v>
      </c>
      <c r="AZ27" s="20" t="s">
        <v>696</v>
      </c>
      <c r="BA27" s="20" t="s">
        <v>753</v>
      </c>
      <c r="BB27" s="23">
        <v>45596.668055555558</v>
      </c>
      <c r="BC27" s="23">
        <v>45596.625</v>
      </c>
      <c r="BD27" s="23">
        <v>45596.625</v>
      </c>
      <c r="BF27" s="20" t="s">
        <v>754</v>
      </c>
      <c r="BH27" s="20" t="s">
        <v>698</v>
      </c>
      <c r="BV27" s="20" t="s">
        <v>696</v>
      </c>
      <c r="BW27" s="23">
        <v>45596.628472222219</v>
      </c>
      <c r="BX27" s="20" t="s">
        <v>698</v>
      </c>
      <c r="CA27" s="20">
        <v>0</v>
      </c>
      <c r="CB27" s="20" t="s">
        <v>1036</v>
      </c>
      <c r="CC27" s="20" t="s">
        <v>1037</v>
      </c>
      <c r="CD27" s="20" t="s">
        <v>694</v>
      </c>
      <c r="CE27" s="20">
        <v>77659</v>
      </c>
      <c r="CF27" s="20" t="s">
        <v>1038</v>
      </c>
      <c r="CG27" s="20" t="s">
        <v>1039</v>
      </c>
      <c r="CH27" s="20" t="s">
        <v>710</v>
      </c>
      <c r="CI27" s="20" t="s">
        <v>711</v>
      </c>
      <c r="CJ27" s="20" t="s">
        <v>698</v>
      </c>
      <c r="CK27" s="20" t="s">
        <v>712</v>
      </c>
      <c r="CL27" s="20" t="s">
        <v>741</v>
      </c>
      <c r="CM27" s="20" t="s">
        <v>742</v>
      </c>
      <c r="CO27" s="20">
        <v>24</v>
      </c>
      <c r="CP27" s="20" t="s">
        <v>698</v>
      </c>
      <c r="DM27" s="20" t="s">
        <v>715</v>
      </c>
      <c r="DN27" s="20" t="s">
        <v>744</v>
      </c>
      <c r="DO27" s="20" t="s">
        <v>745</v>
      </c>
      <c r="DP27" s="20" t="s">
        <v>698</v>
      </c>
      <c r="DQ27" s="20">
        <v>12</v>
      </c>
      <c r="DR27" s="20">
        <v>0.25</v>
      </c>
      <c r="DS27" s="20">
        <v>35000</v>
      </c>
      <c r="DT27" s="20" t="s">
        <v>746</v>
      </c>
      <c r="DU27" s="20" t="s">
        <v>926</v>
      </c>
      <c r="DW27" s="20" t="s">
        <v>728</v>
      </c>
      <c r="DX27" s="20" t="s">
        <v>928</v>
      </c>
      <c r="DZ27" s="20" t="s">
        <v>728</v>
      </c>
      <c r="FK27" s="20">
        <v>1931</v>
      </c>
      <c r="FL27" s="20" t="s">
        <v>728</v>
      </c>
      <c r="FM27" s="20" t="s">
        <v>719</v>
      </c>
      <c r="FO27" s="20" t="s">
        <v>720</v>
      </c>
      <c r="FR27" s="20" t="s">
        <v>749</v>
      </c>
      <c r="FY27" s="20" t="s">
        <v>698</v>
      </c>
      <c r="GC27" s="20" t="s">
        <v>696</v>
      </c>
      <c r="GD27" s="20" t="s">
        <v>698</v>
      </c>
      <c r="GE27" s="20" t="s">
        <v>696</v>
      </c>
      <c r="GH27" s="20" t="s">
        <v>696</v>
      </c>
      <c r="GK27" s="20" t="s">
        <v>698</v>
      </c>
      <c r="GT27" s="20" t="s">
        <v>696</v>
      </c>
      <c r="GU27" s="20" t="s">
        <v>698</v>
      </c>
      <c r="HF27" s="20">
        <v>0</v>
      </c>
      <c r="HG27" s="20">
        <v>0</v>
      </c>
      <c r="HH27" s="20">
        <v>11500</v>
      </c>
      <c r="HI27" s="20">
        <v>5000</v>
      </c>
      <c r="HJ27" s="20">
        <v>4000</v>
      </c>
      <c r="HK27" s="20">
        <v>0</v>
      </c>
      <c r="HM27" s="20">
        <v>20500</v>
      </c>
      <c r="HN27" s="20">
        <v>0</v>
      </c>
      <c r="HO27" s="20">
        <v>0</v>
      </c>
      <c r="HP27" s="20">
        <v>0</v>
      </c>
      <c r="HQ27" s="20">
        <v>0</v>
      </c>
      <c r="HR27" s="20">
        <v>13</v>
      </c>
      <c r="HS27" s="20">
        <v>285</v>
      </c>
      <c r="HT27" s="20" t="s">
        <v>943</v>
      </c>
      <c r="HV27" s="24">
        <v>27395</v>
      </c>
      <c r="HW27" s="20" t="s">
        <v>971</v>
      </c>
      <c r="HY27" s="20" t="s">
        <v>723</v>
      </c>
      <c r="HZ27" s="20" t="s">
        <v>698</v>
      </c>
      <c r="IS27" s="20" t="s">
        <v>724</v>
      </c>
      <c r="IT27" s="20" t="s">
        <v>696</v>
      </c>
      <c r="IU27" s="20" t="s">
        <v>696</v>
      </c>
      <c r="IV27" s="20" t="s">
        <v>696</v>
      </c>
      <c r="IW27" s="20" t="s">
        <v>698</v>
      </c>
      <c r="IX27" s="20" t="s">
        <v>698</v>
      </c>
      <c r="IY27" s="20" t="s">
        <v>696</v>
      </c>
      <c r="IZ27" s="20" t="s">
        <v>696</v>
      </c>
      <c r="JA27" s="20" t="s">
        <v>696</v>
      </c>
      <c r="JB27" s="20" t="s">
        <v>698</v>
      </c>
      <c r="JC27" s="20" t="s">
        <v>698</v>
      </c>
      <c r="JD27" s="20" t="s">
        <v>725</v>
      </c>
      <c r="JE27" s="20" t="s">
        <v>726</v>
      </c>
      <c r="JR27" s="20" t="s">
        <v>698</v>
      </c>
      <c r="JS27" s="20" t="s">
        <v>698</v>
      </c>
      <c r="JX27" s="20" t="s">
        <v>833</v>
      </c>
      <c r="JY27" s="20" t="s">
        <v>834</v>
      </c>
      <c r="JZ27" s="20" t="s">
        <v>834</v>
      </c>
      <c r="LD27" s="20" t="s">
        <v>835</v>
      </c>
      <c r="LG27" s="20" t="s">
        <v>696</v>
      </c>
      <c r="LL27" s="20" t="s">
        <v>696</v>
      </c>
      <c r="LR27" s="20" t="s">
        <v>696</v>
      </c>
      <c r="LU27" s="20" t="s">
        <v>696</v>
      </c>
      <c r="LV27" s="20" t="s">
        <v>698</v>
      </c>
      <c r="LW27" s="20" t="s">
        <v>838</v>
      </c>
      <c r="LX27" s="20" t="s">
        <v>696</v>
      </c>
      <c r="SC27" s="20" t="s">
        <v>698</v>
      </c>
      <c r="UO27" s="20" t="s">
        <v>698</v>
      </c>
      <c r="UR27" s="20" t="s">
        <v>698</v>
      </c>
      <c r="UZ27" s="20" t="s">
        <v>698</v>
      </c>
      <c r="XL27" s="20" t="s">
        <v>730</v>
      </c>
      <c r="XM27" s="20" t="s">
        <v>731</v>
      </c>
      <c r="XN27" s="20" t="s">
        <v>732</v>
      </c>
      <c r="XO27" s="20" t="s">
        <v>733</v>
      </c>
      <c r="XQ27" s="24">
        <v>45623</v>
      </c>
      <c r="XU27" s="20" t="s">
        <v>730</v>
      </c>
      <c r="XV27" s="20" t="s">
        <v>733</v>
      </c>
      <c r="XW27" s="20" t="s">
        <v>731</v>
      </c>
      <c r="XX27" s="20" t="s">
        <v>732</v>
      </c>
      <c r="XY27" s="20" t="s">
        <v>1040</v>
      </c>
    </row>
    <row r="28" spans="1:649" ht="15.75" customHeight="1">
      <c r="A28" s="20">
        <v>176</v>
      </c>
      <c r="B28" s="21">
        <v>45617</v>
      </c>
      <c r="C28" s="20">
        <v>2024</v>
      </c>
      <c r="D28" s="20">
        <v>20240273</v>
      </c>
      <c r="E28" s="20">
        <v>40236</v>
      </c>
      <c r="F28" s="20" t="s">
        <v>885</v>
      </c>
      <c r="G28" s="20">
        <v>39706</v>
      </c>
      <c r="H28" s="20" t="s">
        <v>817</v>
      </c>
      <c r="I28" s="20" t="s">
        <v>692</v>
      </c>
      <c r="J28" s="20" t="s">
        <v>693</v>
      </c>
      <c r="K28" s="20" t="s">
        <v>694</v>
      </c>
      <c r="L28" s="20">
        <v>77002</v>
      </c>
      <c r="M28" s="22">
        <v>45588.916666666664</v>
      </c>
      <c r="N28" s="20" t="s">
        <v>695</v>
      </c>
      <c r="O28" s="20" t="s">
        <v>696</v>
      </c>
      <c r="P28" s="20">
        <v>30.001456000000001</v>
      </c>
      <c r="Q28" s="20">
        <v>-93.990055999999996</v>
      </c>
      <c r="R28" s="20" t="s">
        <v>697</v>
      </c>
      <c r="W28" s="20">
        <v>10</v>
      </c>
      <c r="Y28" s="20">
        <v>10</v>
      </c>
      <c r="Z28" s="20" t="s">
        <v>698</v>
      </c>
      <c r="AF28" s="20">
        <v>0</v>
      </c>
      <c r="AG28" s="20" t="s">
        <v>698</v>
      </c>
      <c r="AM28" s="20">
        <v>0</v>
      </c>
      <c r="AN28" s="20" t="s">
        <v>699</v>
      </c>
      <c r="AP28" s="20" t="s">
        <v>700</v>
      </c>
      <c r="AQ28" s="23">
        <v>45588.916666666664</v>
      </c>
      <c r="AR28" s="20" t="s">
        <v>907</v>
      </c>
      <c r="AS28" s="20" t="s">
        <v>702</v>
      </c>
      <c r="AT28" s="20" t="s">
        <v>703</v>
      </c>
      <c r="AU28" s="20" t="s">
        <v>698</v>
      </c>
      <c r="AV28" s="20" t="s">
        <v>908</v>
      </c>
      <c r="AZ28" s="20" t="s">
        <v>698</v>
      </c>
      <c r="BC28" s="23">
        <v>45588.916666666664</v>
      </c>
      <c r="BD28" s="23">
        <v>45588.916666666664</v>
      </c>
      <c r="BF28" s="20" t="s">
        <v>754</v>
      </c>
      <c r="BH28" s="20" t="s">
        <v>698</v>
      </c>
      <c r="BV28" s="20" t="s">
        <v>696</v>
      </c>
      <c r="BW28" s="23">
        <v>45588.923611111109</v>
      </c>
      <c r="BX28" s="20" t="s">
        <v>698</v>
      </c>
      <c r="CA28" s="20">
        <v>0</v>
      </c>
      <c r="CB28" s="20" t="s">
        <v>818</v>
      </c>
      <c r="CC28" s="20" t="s">
        <v>1041</v>
      </c>
      <c r="CD28" s="20" t="s">
        <v>694</v>
      </c>
      <c r="CE28" s="20">
        <v>77627</v>
      </c>
      <c r="CF28" s="20" t="s">
        <v>820</v>
      </c>
      <c r="CG28" s="20" t="s">
        <v>821</v>
      </c>
      <c r="CH28" s="20" t="s">
        <v>710</v>
      </c>
      <c r="CI28" s="20" t="s">
        <v>711</v>
      </c>
      <c r="CJ28" s="20" t="s">
        <v>698</v>
      </c>
      <c r="CK28" s="20" t="s">
        <v>712</v>
      </c>
      <c r="CL28" s="20" t="s">
        <v>910</v>
      </c>
      <c r="CP28" s="20" t="s">
        <v>698</v>
      </c>
      <c r="DM28" s="20" t="s">
        <v>743</v>
      </c>
      <c r="DN28" s="20" t="s">
        <v>911</v>
      </c>
      <c r="EW28" s="20" t="s">
        <v>912</v>
      </c>
      <c r="EY28" s="20" t="s">
        <v>913</v>
      </c>
      <c r="FD28" s="20">
        <v>58</v>
      </c>
      <c r="FE28" s="20" t="s">
        <v>698</v>
      </c>
      <c r="FF28" s="20">
        <v>2016</v>
      </c>
      <c r="FH28" s="20">
        <v>2021</v>
      </c>
      <c r="FK28" s="20" t="s">
        <v>728</v>
      </c>
      <c r="FL28" s="20" t="s">
        <v>728</v>
      </c>
      <c r="FM28" s="20" t="s">
        <v>719</v>
      </c>
      <c r="FO28" s="20" t="s">
        <v>720</v>
      </c>
      <c r="FR28" s="20" t="s">
        <v>721</v>
      </c>
      <c r="FY28" s="20" t="s">
        <v>698</v>
      </c>
      <c r="GC28" s="20" t="s">
        <v>696</v>
      </c>
      <c r="GD28" s="20" t="s">
        <v>698</v>
      </c>
      <c r="GE28" s="20" t="s">
        <v>696</v>
      </c>
      <c r="GH28" s="20" t="s">
        <v>696</v>
      </c>
      <c r="GK28" s="20" t="s">
        <v>698</v>
      </c>
      <c r="GT28" s="20" t="s">
        <v>696</v>
      </c>
      <c r="GU28" s="20" t="s">
        <v>696</v>
      </c>
      <c r="GX28" s="20" t="s">
        <v>696</v>
      </c>
      <c r="GY28" s="20" t="s">
        <v>696</v>
      </c>
      <c r="HF28" s="20">
        <v>0</v>
      </c>
      <c r="HG28" s="20">
        <v>0</v>
      </c>
      <c r="HH28" s="20">
        <v>13000</v>
      </c>
      <c r="HI28" s="20">
        <v>0</v>
      </c>
      <c r="HJ28" s="20">
        <v>16500</v>
      </c>
      <c r="HK28" s="20">
        <v>0</v>
      </c>
      <c r="HM28" s="20">
        <v>29500</v>
      </c>
      <c r="HN28" s="20">
        <v>0</v>
      </c>
      <c r="HO28" s="20">
        <v>0</v>
      </c>
      <c r="HP28" s="20">
        <v>0</v>
      </c>
      <c r="HQ28" s="20">
        <v>0</v>
      </c>
      <c r="HR28" s="20">
        <v>14.7</v>
      </c>
      <c r="HZ28" s="20" t="s">
        <v>698</v>
      </c>
      <c r="IS28" s="20" t="s">
        <v>724</v>
      </c>
      <c r="IT28" s="20" t="s">
        <v>696</v>
      </c>
      <c r="IU28" s="20" t="s">
        <v>696</v>
      </c>
      <c r="IV28" s="20" t="s">
        <v>696</v>
      </c>
      <c r="IW28" s="20" t="s">
        <v>698</v>
      </c>
      <c r="IX28" s="20" t="s">
        <v>698</v>
      </c>
      <c r="IY28" s="20" t="s">
        <v>698</v>
      </c>
      <c r="JD28" s="20" t="s">
        <v>725</v>
      </c>
      <c r="JE28" s="20" t="s">
        <v>726</v>
      </c>
      <c r="JR28" s="20" t="s">
        <v>698</v>
      </c>
      <c r="JS28" s="20" t="s">
        <v>698</v>
      </c>
      <c r="JX28" s="20" t="s">
        <v>789</v>
      </c>
      <c r="JY28" s="20" t="s">
        <v>914</v>
      </c>
      <c r="QB28" s="20" t="s">
        <v>914</v>
      </c>
      <c r="QS28" s="20" t="s">
        <v>915</v>
      </c>
      <c r="RK28" s="20" t="s">
        <v>696</v>
      </c>
      <c r="RL28" s="20" t="s">
        <v>1042</v>
      </c>
      <c r="XL28" s="20" t="s">
        <v>730</v>
      </c>
      <c r="XM28" s="20" t="s">
        <v>731</v>
      </c>
      <c r="XN28" s="20" t="s">
        <v>732</v>
      </c>
      <c r="XO28" s="20" t="s">
        <v>733</v>
      </c>
      <c r="XQ28" s="24">
        <v>45617</v>
      </c>
      <c r="XU28" s="20" t="s">
        <v>730</v>
      </c>
      <c r="XV28" s="20" t="s">
        <v>733</v>
      </c>
      <c r="XW28" s="20" t="s">
        <v>731</v>
      </c>
      <c r="XX28" s="20" t="s">
        <v>732</v>
      </c>
      <c r="XY28" s="20" t="s">
        <v>1043</v>
      </c>
    </row>
    <row r="29" spans="1:649" ht="15.75" customHeight="1">
      <c r="A29" s="20">
        <v>177</v>
      </c>
      <c r="B29" s="21">
        <v>45617</v>
      </c>
      <c r="C29" s="20">
        <v>2024</v>
      </c>
      <c r="D29" s="20">
        <v>20240274</v>
      </c>
      <c r="E29" s="20">
        <v>40936</v>
      </c>
      <c r="F29" s="20" t="s">
        <v>825</v>
      </c>
      <c r="G29" s="20">
        <v>32099</v>
      </c>
      <c r="H29" s="20" t="s">
        <v>752</v>
      </c>
      <c r="I29" s="20" t="s">
        <v>692</v>
      </c>
      <c r="J29" s="20" t="s">
        <v>693</v>
      </c>
      <c r="K29" s="20" t="s">
        <v>694</v>
      </c>
      <c r="L29" s="20">
        <v>77002</v>
      </c>
      <c r="M29" s="22">
        <v>45588.622916666667</v>
      </c>
      <c r="N29" s="20" t="s">
        <v>695</v>
      </c>
      <c r="O29" s="20" t="s">
        <v>696</v>
      </c>
      <c r="P29" s="20">
        <v>34.29633475</v>
      </c>
      <c r="Q29" s="20">
        <v>-100.24264340000001</v>
      </c>
      <c r="R29" s="20" t="s">
        <v>697</v>
      </c>
      <c r="W29" s="20">
        <v>350</v>
      </c>
      <c r="Y29" s="20">
        <v>275</v>
      </c>
      <c r="Z29" s="20" t="s">
        <v>698</v>
      </c>
      <c r="AF29" s="20">
        <v>0</v>
      </c>
      <c r="AG29" s="20" t="s">
        <v>698</v>
      </c>
      <c r="AM29" s="20">
        <v>0</v>
      </c>
      <c r="AN29" s="20" t="s">
        <v>699</v>
      </c>
      <c r="AP29" s="20" t="s">
        <v>700</v>
      </c>
      <c r="AQ29" s="23">
        <v>45588.622916666667</v>
      </c>
      <c r="AR29" s="20" t="s">
        <v>776</v>
      </c>
      <c r="AS29" s="20" t="s">
        <v>702</v>
      </c>
      <c r="AT29" s="20" t="s">
        <v>703</v>
      </c>
      <c r="AU29" s="20" t="s">
        <v>696</v>
      </c>
      <c r="AW29" s="23">
        <v>45588.625</v>
      </c>
      <c r="AX29" s="23">
        <v>45591.666666666664</v>
      </c>
      <c r="AZ29" s="20" t="s">
        <v>696</v>
      </c>
      <c r="BA29" s="20" t="s">
        <v>753</v>
      </c>
      <c r="BB29" s="23">
        <v>45588.779166666667</v>
      </c>
      <c r="BC29" s="23">
        <v>45588.635416666664</v>
      </c>
      <c r="BD29" s="23">
        <v>45588.765972222223</v>
      </c>
      <c r="BE29" s="23">
        <v>45589.645138888889</v>
      </c>
      <c r="BF29" s="20">
        <v>1414672</v>
      </c>
      <c r="BG29" s="20">
        <v>1414818</v>
      </c>
      <c r="BH29" s="20" t="s">
        <v>698</v>
      </c>
      <c r="BN29" s="20" t="s">
        <v>777</v>
      </c>
      <c r="BP29" s="23">
        <v>45588.649305555555</v>
      </c>
      <c r="BQ29" s="20" t="s">
        <v>779</v>
      </c>
      <c r="BR29" s="20" t="s">
        <v>777</v>
      </c>
      <c r="BT29" s="23">
        <v>45588.645833333336</v>
      </c>
      <c r="BU29" s="20" t="s">
        <v>798</v>
      </c>
      <c r="BV29" s="20" t="s">
        <v>696</v>
      </c>
      <c r="BW29" s="23">
        <v>45588.625</v>
      </c>
      <c r="BX29" s="20" t="s">
        <v>698</v>
      </c>
      <c r="CA29" s="20">
        <v>0</v>
      </c>
      <c r="CB29" s="20" t="s">
        <v>1044</v>
      </c>
      <c r="CC29" s="20" t="s">
        <v>1045</v>
      </c>
      <c r="CD29" s="20" t="s">
        <v>694</v>
      </c>
      <c r="CE29" s="20">
        <v>79248</v>
      </c>
      <c r="CF29" s="20" t="s">
        <v>708</v>
      </c>
      <c r="CG29" s="20" t="s">
        <v>1046</v>
      </c>
      <c r="CH29" s="20" t="s">
        <v>710</v>
      </c>
      <c r="CI29" s="20" t="s">
        <v>1047</v>
      </c>
      <c r="CJ29" s="20" t="s">
        <v>698</v>
      </c>
      <c r="CK29" s="20" t="s">
        <v>785</v>
      </c>
      <c r="CL29" s="20" t="s">
        <v>741</v>
      </c>
      <c r="CM29" s="20" t="s">
        <v>742</v>
      </c>
      <c r="CO29" s="20">
        <v>66</v>
      </c>
      <c r="CP29" s="20" t="s">
        <v>698</v>
      </c>
      <c r="DM29" s="20" t="s">
        <v>715</v>
      </c>
      <c r="DN29" s="20" t="s">
        <v>744</v>
      </c>
      <c r="DO29" s="20" t="s">
        <v>745</v>
      </c>
      <c r="DP29" s="20" t="s">
        <v>698</v>
      </c>
      <c r="DQ29" s="20">
        <v>10</v>
      </c>
      <c r="DR29" s="20">
        <v>0.36499999999999999</v>
      </c>
      <c r="DS29" s="20">
        <v>30000</v>
      </c>
      <c r="DT29" s="20" t="s">
        <v>728</v>
      </c>
      <c r="DU29" s="20" t="s">
        <v>1048</v>
      </c>
      <c r="DW29" s="20" t="s">
        <v>728</v>
      </c>
      <c r="DX29" s="20" t="s">
        <v>805</v>
      </c>
      <c r="DZ29" s="20" t="s">
        <v>696</v>
      </c>
      <c r="FK29" s="20">
        <v>1927</v>
      </c>
      <c r="FL29" s="20" t="s">
        <v>728</v>
      </c>
      <c r="FM29" s="20" t="s">
        <v>719</v>
      </c>
      <c r="FO29" s="20" t="s">
        <v>720</v>
      </c>
      <c r="FR29" s="20" t="s">
        <v>749</v>
      </c>
      <c r="FY29" s="20" t="s">
        <v>698</v>
      </c>
      <c r="GC29" s="20" t="s">
        <v>696</v>
      </c>
      <c r="GD29" s="20" t="s">
        <v>698</v>
      </c>
      <c r="GE29" s="20" t="s">
        <v>696</v>
      </c>
      <c r="GH29" s="20" t="s">
        <v>696</v>
      </c>
      <c r="GK29" s="20" t="s">
        <v>698</v>
      </c>
      <c r="GT29" s="20" t="s">
        <v>698</v>
      </c>
      <c r="GU29" s="20" t="s">
        <v>698</v>
      </c>
      <c r="HF29" s="20">
        <v>23500</v>
      </c>
      <c r="HG29" s="20">
        <v>6225</v>
      </c>
      <c r="HH29" s="20">
        <v>200000</v>
      </c>
      <c r="HI29" s="20">
        <v>25000</v>
      </c>
      <c r="HJ29" s="20">
        <v>400000</v>
      </c>
      <c r="HK29" s="20">
        <v>0</v>
      </c>
      <c r="HM29" s="20">
        <v>654725</v>
      </c>
      <c r="HN29" s="20">
        <v>0</v>
      </c>
      <c r="HO29" s="20">
        <v>0</v>
      </c>
      <c r="HP29" s="20">
        <v>0</v>
      </c>
      <c r="HQ29" s="20">
        <v>0</v>
      </c>
      <c r="HR29" s="20">
        <v>180</v>
      </c>
      <c r="HS29" s="20">
        <v>705</v>
      </c>
      <c r="HT29" s="20" t="s">
        <v>787</v>
      </c>
      <c r="HV29" s="24">
        <v>27848</v>
      </c>
      <c r="HW29" s="20" t="s">
        <v>698</v>
      </c>
      <c r="HY29" s="20" t="s">
        <v>723</v>
      </c>
      <c r="HZ29" s="20" t="s">
        <v>698</v>
      </c>
      <c r="IC29" s="20">
        <v>31680</v>
      </c>
      <c r="ID29" s="20" t="s">
        <v>696</v>
      </c>
      <c r="IL29" s="20" t="s">
        <v>698</v>
      </c>
      <c r="IS29" s="20" t="s">
        <v>724</v>
      </c>
      <c r="IT29" s="20" t="s">
        <v>696</v>
      </c>
      <c r="IU29" s="20" t="s">
        <v>696</v>
      </c>
      <c r="IV29" s="20" t="s">
        <v>696</v>
      </c>
      <c r="IW29" s="20" t="s">
        <v>698</v>
      </c>
      <c r="IX29" s="20" t="s">
        <v>698</v>
      </c>
      <c r="IY29" s="20" t="s">
        <v>696</v>
      </c>
      <c r="IZ29" s="20" t="s">
        <v>696</v>
      </c>
      <c r="JA29" s="20" t="s">
        <v>696</v>
      </c>
      <c r="JB29" s="20" t="s">
        <v>698</v>
      </c>
      <c r="JC29" s="20" t="s">
        <v>698</v>
      </c>
      <c r="JD29" s="20" t="s">
        <v>725</v>
      </c>
      <c r="JE29" s="20" t="s">
        <v>726</v>
      </c>
      <c r="JR29" s="20" t="s">
        <v>698</v>
      </c>
      <c r="JS29" s="20" t="s">
        <v>698</v>
      </c>
      <c r="JX29" s="20" t="s">
        <v>833</v>
      </c>
      <c r="JY29" s="20" t="s">
        <v>860</v>
      </c>
      <c r="JZ29" s="20" t="s">
        <v>860</v>
      </c>
      <c r="KA29" s="20" t="s">
        <v>835</v>
      </c>
      <c r="KC29" s="20" t="s">
        <v>696</v>
      </c>
      <c r="KL29" s="20" t="s">
        <v>696</v>
      </c>
      <c r="KN29" s="20" t="s">
        <v>696</v>
      </c>
      <c r="KO29" s="20" t="s">
        <v>1049</v>
      </c>
      <c r="KP29" s="20" t="s">
        <v>696</v>
      </c>
      <c r="KQ29" s="20" t="s">
        <v>696</v>
      </c>
      <c r="KR29" s="20">
        <v>1985</v>
      </c>
      <c r="KS29" s="20" t="s">
        <v>696</v>
      </c>
      <c r="KT29" s="20" t="s">
        <v>696</v>
      </c>
      <c r="KU29" s="20" t="s">
        <v>696</v>
      </c>
      <c r="KV29" s="20" t="s">
        <v>696</v>
      </c>
      <c r="KW29" s="20" t="s">
        <v>696</v>
      </c>
      <c r="KX29" s="20">
        <v>2024</v>
      </c>
      <c r="KY29" s="20">
        <v>2020</v>
      </c>
      <c r="KZ29" s="20">
        <v>2022</v>
      </c>
      <c r="LA29" s="20" t="s">
        <v>1050</v>
      </c>
      <c r="LC29" s="20" t="s">
        <v>696</v>
      </c>
      <c r="SC29" s="20" t="s">
        <v>696</v>
      </c>
      <c r="SD29" s="20" t="s">
        <v>696</v>
      </c>
      <c r="SG29" s="20" t="s">
        <v>696</v>
      </c>
      <c r="SK29" s="20">
        <v>2022</v>
      </c>
      <c r="SL29" s="20" t="s">
        <v>863</v>
      </c>
      <c r="SM29" s="20" t="s">
        <v>864</v>
      </c>
      <c r="SO29" s="20" t="s">
        <v>865</v>
      </c>
      <c r="SQ29" s="20">
        <v>2019</v>
      </c>
      <c r="SR29" s="20" t="s">
        <v>863</v>
      </c>
      <c r="SS29" s="20" t="s">
        <v>864</v>
      </c>
      <c r="SU29" s="20" t="s">
        <v>865</v>
      </c>
      <c r="TQ29" s="20">
        <v>2022</v>
      </c>
      <c r="TR29" s="20" t="s">
        <v>863</v>
      </c>
      <c r="TS29" s="20" t="s">
        <v>933</v>
      </c>
      <c r="TU29" s="20" t="s">
        <v>934</v>
      </c>
      <c r="TV29" s="20">
        <v>2019</v>
      </c>
      <c r="TW29" s="20" t="s">
        <v>863</v>
      </c>
      <c r="TX29" s="20" t="s">
        <v>933</v>
      </c>
      <c r="TZ29" s="20" t="s">
        <v>934</v>
      </c>
      <c r="UO29" s="20" t="s">
        <v>696</v>
      </c>
      <c r="UP29" s="20">
        <v>1976</v>
      </c>
      <c r="UQ29" s="20">
        <v>870</v>
      </c>
      <c r="UR29" s="20" t="s">
        <v>698</v>
      </c>
      <c r="UZ29" s="20" t="s">
        <v>698</v>
      </c>
      <c r="XL29" s="20" t="s">
        <v>730</v>
      </c>
      <c r="XM29" s="20" t="s">
        <v>731</v>
      </c>
      <c r="XN29" s="20" t="s">
        <v>732</v>
      </c>
      <c r="XO29" s="20" t="s">
        <v>733</v>
      </c>
      <c r="XQ29" s="24">
        <v>45800</v>
      </c>
      <c r="XU29" s="20" t="s">
        <v>730</v>
      </c>
      <c r="XV29" s="20" t="s">
        <v>733</v>
      </c>
      <c r="XW29" s="20" t="s">
        <v>731</v>
      </c>
      <c r="XX29" s="20" t="s">
        <v>732</v>
      </c>
      <c r="XY29" s="20" t="s">
        <v>1051</v>
      </c>
    </row>
    <row r="30" spans="1:649" ht="15.75" customHeight="1">
      <c r="A30" s="20">
        <v>186</v>
      </c>
      <c r="B30" s="21">
        <v>45610</v>
      </c>
      <c r="C30" s="20">
        <v>2024</v>
      </c>
      <c r="D30" s="20">
        <v>20240267</v>
      </c>
      <c r="E30" s="20">
        <v>40221</v>
      </c>
      <c r="F30" s="20" t="s">
        <v>885</v>
      </c>
      <c r="G30" s="20">
        <v>32099</v>
      </c>
      <c r="H30" s="20" t="s">
        <v>752</v>
      </c>
      <c r="I30" s="20" t="s">
        <v>692</v>
      </c>
      <c r="J30" s="20" t="s">
        <v>693</v>
      </c>
      <c r="K30" s="20" t="s">
        <v>694</v>
      </c>
      <c r="L30" s="20">
        <v>77002</v>
      </c>
      <c r="M30" s="22">
        <v>45580.725694444445</v>
      </c>
      <c r="N30" s="20" t="s">
        <v>695</v>
      </c>
      <c r="O30" s="20" t="s">
        <v>696</v>
      </c>
      <c r="P30" s="20">
        <v>30.080835</v>
      </c>
      <c r="Q30" s="20">
        <v>-95.072743000000003</v>
      </c>
      <c r="R30" s="20" t="s">
        <v>697</v>
      </c>
      <c r="W30" s="20">
        <v>472</v>
      </c>
      <c r="Y30" s="20">
        <v>472</v>
      </c>
      <c r="Z30" s="20" t="s">
        <v>698</v>
      </c>
      <c r="AF30" s="20">
        <v>0</v>
      </c>
      <c r="AG30" s="20" t="s">
        <v>698</v>
      </c>
      <c r="AM30" s="20">
        <v>0</v>
      </c>
      <c r="AN30" s="20" t="s">
        <v>766</v>
      </c>
      <c r="AO30" s="20" t="s">
        <v>1052</v>
      </c>
      <c r="AQ30" s="23">
        <v>45580.725694444445</v>
      </c>
      <c r="AR30" s="20" t="s">
        <v>776</v>
      </c>
      <c r="AS30" s="20" t="s">
        <v>702</v>
      </c>
      <c r="AT30" s="20" t="s">
        <v>703</v>
      </c>
      <c r="AU30" s="20" t="s">
        <v>696</v>
      </c>
      <c r="AW30" s="23">
        <v>45580.732638888891</v>
      </c>
      <c r="AX30" s="23">
        <v>45581.647222222222</v>
      </c>
      <c r="AZ30" s="20" t="s">
        <v>698</v>
      </c>
      <c r="BC30" s="23">
        <v>45580.730555555558</v>
      </c>
      <c r="BD30" s="23">
        <v>45580.725694444445</v>
      </c>
      <c r="BE30" s="23">
        <v>45580.805555555555</v>
      </c>
      <c r="BF30" s="20">
        <v>1413821</v>
      </c>
      <c r="BG30" s="20">
        <v>141400</v>
      </c>
      <c r="BH30" s="20" t="s">
        <v>698</v>
      </c>
      <c r="BN30" s="20" t="s">
        <v>777</v>
      </c>
      <c r="BP30" s="23">
        <v>45580.732638888891</v>
      </c>
      <c r="BQ30" s="20" t="s">
        <v>798</v>
      </c>
      <c r="BR30" s="20" t="s">
        <v>777</v>
      </c>
      <c r="BT30" s="23">
        <v>45580.732638888891</v>
      </c>
      <c r="BU30" s="20" t="s">
        <v>798</v>
      </c>
      <c r="BV30" s="20" t="s">
        <v>696</v>
      </c>
      <c r="BW30" s="23">
        <v>45580.727083333331</v>
      </c>
      <c r="BX30" s="20" t="s">
        <v>696</v>
      </c>
      <c r="BY30" s="23">
        <v>45580.753472222219</v>
      </c>
      <c r="BZ30" s="23">
        <v>45580.771527777775</v>
      </c>
      <c r="CA30" s="20">
        <v>0</v>
      </c>
      <c r="CB30" s="20" t="s">
        <v>1053</v>
      </c>
      <c r="CC30" s="20" t="s">
        <v>1054</v>
      </c>
      <c r="CD30" s="20" t="s">
        <v>694</v>
      </c>
      <c r="CE30" s="20">
        <v>77346</v>
      </c>
      <c r="CF30" s="20" t="s">
        <v>1055</v>
      </c>
      <c r="CG30" s="20" t="s">
        <v>1056</v>
      </c>
      <c r="CH30" s="20" t="s">
        <v>710</v>
      </c>
      <c r="CI30" s="20" t="s">
        <v>1057</v>
      </c>
      <c r="CJ30" s="20" t="s">
        <v>698</v>
      </c>
      <c r="CK30" s="20" t="s">
        <v>785</v>
      </c>
      <c r="CL30" s="20" t="s">
        <v>741</v>
      </c>
      <c r="CM30" s="20" t="s">
        <v>1058</v>
      </c>
      <c r="CO30" s="20" t="s">
        <v>728</v>
      </c>
      <c r="CP30" s="20" t="s">
        <v>698</v>
      </c>
      <c r="DM30" s="20" t="s">
        <v>743</v>
      </c>
      <c r="DN30" s="20" t="s">
        <v>744</v>
      </c>
      <c r="DO30" s="20" t="s">
        <v>745</v>
      </c>
      <c r="DP30" s="20" t="s">
        <v>698</v>
      </c>
      <c r="DQ30" s="20">
        <v>10</v>
      </c>
      <c r="DR30" s="20">
        <v>0.25</v>
      </c>
      <c r="DS30" s="20">
        <v>35000</v>
      </c>
      <c r="DT30" s="20" t="s">
        <v>746</v>
      </c>
      <c r="DU30" s="20" t="s">
        <v>926</v>
      </c>
      <c r="DW30" s="20" t="s">
        <v>1059</v>
      </c>
      <c r="DX30" s="20" t="s">
        <v>766</v>
      </c>
      <c r="DY30" s="20" t="s">
        <v>1060</v>
      </c>
      <c r="DZ30" s="20" t="s">
        <v>696</v>
      </c>
      <c r="FK30" s="20">
        <v>1931</v>
      </c>
      <c r="FL30" s="20" t="s">
        <v>728</v>
      </c>
      <c r="FM30" s="20" t="s">
        <v>719</v>
      </c>
      <c r="FO30" s="20" t="s">
        <v>1061</v>
      </c>
      <c r="FP30" s="20">
        <v>12</v>
      </c>
      <c r="FQ30" s="20">
        <v>2.4</v>
      </c>
      <c r="FY30" s="20" t="s">
        <v>698</v>
      </c>
      <c r="GC30" s="20" t="s">
        <v>696</v>
      </c>
      <c r="GD30" s="20" t="s">
        <v>698</v>
      </c>
      <c r="GE30" s="20" t="s">
        <v>696</v>
      </c>
      <c r="GH30" s="20" t="s">
        <v>696</v>
      </c>
      <c r="GK30" s="20" t="s">
        <v>698</v>
      </c>
      <c r="GT30" s="20" t="s">
        <v>698</v>
      </c>
      <c r="GU30" s="20" t="s">
        <v>696</v>
      </c>
      <c r="HB30" s="20" t="s">
        <v>696</v>
      </c>
      <c r="HC30" s="20" t="s">
        <v>696</v>
      </c>
      <c r="HF30" s="20">
        <v>30836</v>
      </c>
      <c r="HG30" s="20">
        <v>1650</v>
      </c>
      <c r="HH30" s="20">
        <v>100000</v>
      </c>
      <c r="HI30" s="20">
        <v>450000</v>
      </c>
      <c r="HJ30" s="20">
        <v>120000</v>
      </c>
      <c r="HK30" s="20">
        <v>0</v>
      </c>
      <c r="HM30" s="20">
        <v>702486</v>
      </c>
      <c r="HN30" s="20">
        <v>0</v>
      </c>
      <c r="HO30" s="20">
        <v>0</v>
      </c>
      <c r="HP30" s="20">
        <v>0</v>
      </c>
      <c r="HQ30" s="20">
        <v>0</v>
      </c>
      <c r="HR30" s="20">
        <v>119</v>
      </c>
      <c r="HS30" s="20">
        <v>800</v>
      </c>
      <c r="HT30" s="20" t="s">
        <v>787</v>
      </c>
      <c r="HV30" s="24">
        <v>37381</v>
      </c>
      <c r="HW30" s="20" t="s">
        <v>698</v>
      </c>
      <c r="HY30" s="20" t="s">
        <v>723</v>
      </c>
      <c r="HZ30" s="20" t="s">
        <v>698</v>
      </c>
      <c r="IC30" s="20">
        <v>173949</v>
      </c>
      <c r="ID30" s="20" t="s">
        <v>696</v>
      </c>
      <c r="IL30" s="20" t="s">
        <v>698</v>
      </c>
      <c r="IS30" s="20" t="s">
        <v>724</v>
      </c>
      <c r="IT30" s="20" t="s">
        <v>696</v>
      </c>
      <c r="IU30" s="20" t="s">
        <v>696</v>
      </c>
      <c r="IV30" s="20" t="s">
        <v>696</v>
      </c>
      <c r="IW30" s="20" t="s">
        <v>696</v>
      </c>
      <c r="IX30" s="20" t="s">
        <v>696</v>
      </c>
      <c r="IY30" s="20" t="s">
        <v>696</v>
      </c>
      <c r="IZ30" s="20" t="s">
        <v>696</v>
      </c>
      <c r="JA30" s="20" t="s">
        <v>696</v>
      </c>
      <c r="JB30" s="20" t="s">
        <v>698</v>
      </c>
      <c r="JC30" s="20" t="s">
        <v>698</v>
      </c>
      <c r="JD30" s="20" t="s">
        <v>725</v>
      </c>
      <c r="JE30" s="20" t="s">
        <v>726</v>
      </c>
      <c r="JR30" s="20" t="s">
        <v>698</v>
      </c>
      <c r="JS30" s="20" t="s">
        <v>698</v>
      </c>
      <c r="JX30" s="20" t="s">
        <v>1062</v>
      </c>
      <c r="JY30" s="20" t="s">
        <v>1063</v>
      </c>
      <c r="NY30" s="20" t="s">
        <v>1063</v>
      </c>
      <c r="NZ30" s="20" t="s">
        <v>1064</v>
      </c>
      <c r="OJ30" s="20" t="s">
        <v>698</v>
      </c>
      <c r="OP30" s="20" t="s">
        <v>696</v>
      </c>
      <c r="OQ30" s="20">
        <v>5</v>
      </c>
      <c r="OS30" s="20" t="s">
        <v>1065</v>
      </c>
      <c r="OT30" s="20" t="s">
        <v>1066</v>
      </c>
      <c r="OU30" s="20">
        <v>0</v>
      </c>
      <c r="OV30" s="20" t="s">
        <v>698</v>
      </c>
      <c r="XL30" s="20" t="s">
        <v>730</v>
      </c>
      <c r="XM30" s="20" t="s">
        <v>731</v>
      </c>
      <c r="XN30" s="20" t="s">
        <v>732</v>
      </c>
      <c r="XO30" s="20" t="s">
        <v>733</v>
      </c>
      <c r="XQ30" s="24">
        <v>45610</v>
      </c>
      <c r="XU30" s="20" t="s">
        <v>730</v>
      </c>
      <c r="XV30" s="20" t="s">
        <v>733</v>
      </c>
      <c r="XW30" s="20" t="s">
        <v>731</v>
      </c>
      <c r="XX30" s="20" t="s">
        <v>732</v>
      </c>
      <c r="XY30" s="20" t="s">
        <v>1067</v>
      </c>
    </row>
    <row r="31" spans="1:649" ht="15.75" customHeight="1">
      <c r="A31" s="20">
        <v>187</v>
      </c>
      <c r="B31" s="21">
        <v>45610</v>
      </c>
      <c r="C31" s="20">
        <v>2024</v>
      </c>
      <c r="D31" s="20">
        <v>20240268</v>
      </c>
      <c r="E31" s="20">
        <v>40222</v>
      </c>
      <c r="F31" s="20" t="s">
        <v>885</v>
      </c>
      <c r="G31" s="20">
        <v>32099</v>
      </c>
      <c r="H31" s="20" t="s">
        <v>752</v>
      </c>
      <c r="I31" s="20" t="s">
        <v>692</v>
      </c>
      <c r="J31" s="20" t="s">
        <v>693</v>
      </c>
      <c r="K31" s="20" t="s">
        <v>694</v>
      </c>
      <c r="L31" s="20">
        <v>77002</v>
      </c>
      <c r="M31" s="22">
        <v>45580.128472222219</v>
      </c>
      <c r="N31" s="20" t="s">
        <v>695</v>
      </c>
      <c r="O31" s="20" t="s">
        <v>696</v>
      </c>
      <c r="P31" s="20">
        <v>30.14057</v>
      </c>
      <c r="Q31" s="20">
        <v>-94.396294999999995</v>
      </c>
      <c r="R31" s="20" t="s">
        <v>697</v>
      </c>
      <c r="W31" s="20">
        <v>2</v>
      </c>
      <c r="Y31" s="20">
        <v>2</v>
      </c>
      <c r="Z31" s="20" t="s">
        <v>698</v>
      </c>
      <c r="AF31" s="20">
        <v>0</v>
      </c>
      <c r="AG31" s="20" t="s">
        <v>698</v>
      </c>
      <c r="AM31" s="20">
        <v>0</v>
      </c>
      <c r="AN31" s="20" t="s">
        <v>699</v>
      </c>
      <c r="AP31" s="20" t="s">
        <v>700</v>
      </c>
      <c r="AQ31" s="23">
        <v>45580.128472222219</v>
      </c>
      <c r="AR31" s="20" t="s">
        <v>701</v>
      </c>
      <c r="AS31" s="20" t="s">
        <v>702</v>
      </c>
      <c r="AT31" s="20" t="s">
        <v>703</v>
      </c>
      <c r="AU31" s="20" t="s">
        <v>696</v>
      </c>
      <c r="AW31" s="23">
        <v>45580.166666666664</v>
      </c>
      <c r="AX31" s="23">
        <v>45580.699305555558</v>
      </c>
      <c r="AZ31" s="20" t="s">
        <v>696</v>
      </c>
      <c r="BA31" s="20" t="s">
        <v>753</v>
      </c>
      <c r="BB31" s="23">
        <v>45580.288888888892</v>
      </c>
      <c r="BC31" s="23">
        <v>45580.128472222219</v>
      </c>
      <c r="BD31" s="23">
        <v>45580.349305555559</v>
      </c>
      <c r="BF31" s="20" t="s">
        <v>754</v>
      </c>
      <c r="BH31" s="20" t="s">
        <v>698</v>
      </c>
      <c r="BV31" s="20" t="s">
        <v>696</v>
      </c>
      <c r="BW31" s="23">
        <v>45580.137499999997</v>
      </c>
      <c r="BX31" s="20" t="s">
        <v>698</v>
      </c>
      <c r="CA31" s="20">
        <v>0</v>
      </c>
      <c r="CB31" s="20" t="s">
        <v>1036</v>
      </c>
      <c r="CC31" s="20" t="s">
        <v>1068</v>
      </c>
      <c r="CD31" s="20" t="s">
        <v>694</v>
      </c>
      <c r="CE31" s="20">
        <v>77659</v>
      </c>
      <c r="CF31" s="20" t="s">
        <v>1038</v>
      </c>
      <c r="CG31" s="20" t="s">
        <v>1039</v>
      </c>
      <c r="CH31" s="20" t="s">
        <v>710</v>
      </c>
      <c r="CI31" s="20" t="s">
        <v>711</v>
      </c>
      <c r="CJ31" s="20" t="s">
        <v>698</v>
      </c>
      <c r="CK31" s="20" t="s">
        <v>712</v>
      </c>
      <c r="CL31" s="20" t="s">
        <v>741</v>
      </c>
      <c r="CM31" s="20" t="s">
        <v>742</v>
      </c>
      <c r="CO31" s="20">
        <v>60</v>
      </c>
      <c r="CP31" s="20" t="s">
        <v>698</v>
      </c>
      <c r="DM31" s="20" t="s">
        <v>715</v>
      </c>
      <c r="DN31" s="20" t="s">
        <v>744</v>
      </c>
      <c r="DO31" s="20" t="s">
        <v>745</v>
      </c>
      <c r="DP31" s="20" t="s">
        <v>698</v>
      </c>
      <c r="DQ31" s="20">
        <v>10</v>
      </c>
      <c r="DR31" s="20">
        <v>0.36499999999999999</v>
      </c>
      <c r="DS31" s="20">
        <v>35000</v>
      </c>
      <c r="DT31" s="20" t="s">
        <v>746</v>
      </c>
      <c r="DU31" s="20" t="s">
        <v>926</v>
      </c>
      <c r="DW31" s="20" t="s">
        <v>728</v>
      </c>
      <c r="DX31" s="20" t="s">
        <v>805</v>
      </c>
      <c r="DZ31" s="20" t="s">
        <v>698</v>
      </c>
      <c r="FK31" s="20">
        <v>1931</v>
      </c>
      <c r="FL31" s="20" t="s">
        <v>728</v>
      </c>
      <c r="FM31" s="20" t="s">
        <v>719</v>
      </c>
      <c r="FO31" s="20" t="s">
        <v>720</v>
      </c>
      <c r="FR31" s="20" t="s">
        <v>749</v>
      </c>
      <c r="FY31" s="20" t="s">
        <v>698</v>
      </c>
      <c r="GC31" s="20" t="s">
        <v>696</v>
      </c>
      <c r="GD31" s="20" t="s">
        <v>698</v>
      </c>
      <c r="GE31" s="20" t="s">
        <v>696</v>
      </c>
      <c r="GH31" s="20" t="s">
        <v>696</v>
      </c>
      <c r="GK31" s="20" t="s">
        <v>698</v>
      </c>
      <c r="GT31" s="20" t="s">
        <v>698</v>
      </c>
      <c r="GU31" s="20" t="s">
        <v>698</v>
      </c>
      <c r="HF31" s="20">
        <v>0</v>
      </c>
      <c r="HG31" s="20">
        <v>27</v>
      </c>
      <c r="HH31" s="20">
        <v>7700</v>
      </c>
      <c r="HI31" s="20">
        <v>3000</v>
      </c>
      <c r="HJ31" s="20">
        <v>0</v>
      </c>
      <c r="HK31" s="20">
        <v>0</v>
      </c>
      <c r="HM31" s="20">
        <v>10727</v>
      </c>
      <c r="HN31" s="20">
        <v>0</v>
      </c>
      <c r="HO31" s="20">
        <v>0</v>
      </c>
      <c r="HP31" s="20">
        <v>0</v>
      </c>
      <c r="HQ31" s="20">
        <v>0</v>
      </c>
      <c r="HR31" s="20">
        <v>173</v>
      </c>
      <c r="HS31" s="20">
        <v>1000</v>
      </c>
      <c r="HT31" s="20" t="s">
        <v>943</v>
      </c>
      <c r="HV31" s="24">
        <v>45041</v>
      </c>
      <c r="HW31" s="20" t="s">
        <v>971</v>
      </c>
      <c r="HY31" s="20" t="s">
        <v>723</v>
      </c>
      <c r="HZ31" s="20" t="s">
        <v>698</v>
      </c>
      <c r="IS31" s="20" t="s">
        <v>724</v>
      </c>
      <c r="IT31" s="20" t="s">
        <v>696</v>
      </c>
      <c r="IU31" s="20" t="s">
        <v>696</v>
      </c>
      <c r="IV31" s="20" t="s">
        <v>696</v>
      </c>
      <c r="IW31" s="20" t="s">
        <v>696</v>
      </c>
      <c r="IX31" s="20" t="s">
        <v>696</v>
      </c>
      <c r="IY31" s="20" t="s">
        <v>696</v>
      </c>
      <c r="IZ31" s="20" t="s">
        <v>696</v>
      </c>
      <c r="JA31" s="20" t="s">
        <v>696</v>
      </c>
      <c r="JB31" s="20" t="s">
        <v>698</v>
      </c>
      <c r="JC31" s="20" t="s">
        <v>696</v>
      </c>
      <c r="JD31" s="20" t="s">
        <v>725</v>
      </c>
      <c r="JE31" s="20" t="s">
        <v>726</v>
      </c>
      <c r="JR31" s="20" t="s">
        <v>698</v>
      </c>
      <c r="JS31" s="20" t="s">
        <v>698</v>
      </c>
      <c r="JX31" s="20" t="s">
        <v>833</v>
      </c>
      <c r="JY31" s="20" t="s">
        <v>834</v>
      </c>
      <c r="JZ31" s="20" t="s">
        <v>834</v>
      </c>
      <c r="LD31" s="20" t="s">
        <v>835</v>
      </c>
      <c r="LG31" s="20" t="s">
        <v>696</v>
      </c>
      <c r="LL31" s="20" t="s">
        <v>696</v>
      </c>
      <c r="LP31" s="20" t="s">
        <v>696</v>
      </c>
      <c r="LU31" s="20" t="s">
        <v>696</v>
      </c>
      <c r="LV31" s="20" t="s">
        <v>698</v>
      </c>
      <c r="LW31" s="20" t="s">
        <v>696</v>
      </c>
      <c r="LX31" s="20" t="s">
        <v>696</v>
      </c>
      <c r="SC31" s="20" t="s">
        <v>696</v>
      </c>
      <c r="SD31" s="20" t="s">
        <v>696</v>
      </c>
      <c r="SG31" s="20" t="s">
        <v>696</v>
      </c>
      <c r="SK31" s="20">
        <v>2021</v>
      </c>
      <c r="SL31" s="20" t="s">
        <v>863</v>
      </c>
      <c r="SM31" s="20" t="s">
        <v>864</v>
      </c>
      <c r="SO31" s="20" t="s">
        <v>865</v>
      </c>
      <c r="SQ31" s="20">
        <v>2016</v>
      </c>
      <c r="SR31" s="20" t="s">
        <v>863</v>
      </c>
      <c r="SS31" s="20" t="s">
        <v>864</v>
      </c>
      <c r="SU31" s="20" t="s">
        <v>865</v>
      </c>
      <c r="TQ31" s="20">
        <v>2021</v>
      </c>
      <c r="TR31" s="20" t="s">
        <v>863</v>
      </c>
      <c r="TS31" s="20" t="s">
        <v>865</v>
      </c>
      <c r="TU31" s="20" t="s">
        <v>866</v>
      </c>
      <c r="TV31" s="20">
        <v>2016</v>
      </c>
      <c r="TW31" s="20" t="s">
        <v>863</v>
      </c>
      <c r="TX31" s="20" t="s">
        <v>865</v>
      </c>
      <c r="TZ31" s="20" t="s">
        <v>866</v>
      </c>
      <c r="UO31" s="20" t="s">
        <v>696</v>
      </c>
      <c r="UP31" s="20">
        <v>1999</v>
      </c>
      <c r="UQ31" s="20">
        <v>1094</v>
      </c>
      <c r="UR31" s="20" t="s">
        <v>698</v>
      </c>
      <c r="UZ31" s="20" t="s">
        <v>698</v>
      </c>
      <c r="XL31" s="20" t="s">
        <v>730</v>
      </c>
      <c r="XM31" s="20" t="s">
        <v>731</v>
      </c>
      <c r="XN31" s="20" t="s">
        <v>732</v>
      </c>
      <c r="XO31" s="20" t="s">
        <v>733</v>
      </c>
      <c r="XQ31" s="24">
        <v>45610</v>
      </c>
      <c r="XU31" s="20" t="s">
        <v>730</v>
      </c>
      <c r="XV31" s="20" t="s">
        <v>733</v>
      </c>
      <c r="XW31" s="20" t="s">
        <v>731</v>
      </c>
      <c r="XX31" s="20" t="s">
        <v>732</v>
      </c>
      <c r="XY31" s="20" t="s">
        <v>1069</v>
      </c>
    </row>
    <row r="32" spans="1:649" ht="15.75" customHeight="1">
      <c r="A32" s="20">
        <v>189</v>
      </c>
      <c r="B32" s="21">
        <v>45594</v>
      </c>
      <c r="C32" s="20">
        <v>2024</v>
      </c>
      <c r="D32" s="20">
        <v>20240259</v>
      </c>
      <c r="E32" s="20">
        <v>40280</v>
      </c>
      <c r="F32" s="20" t="s">
        <v>825</v>
      </c>
      <c r="G32" s="20">
        <v>12470</v>
      </c>
      <c r="H32" s="20" t="s">
        <v>1070</v>
      </c>
      <c r="I32" s="20" t="s">
        <v>692</v>
      </c>
      <c r="J32" s="20" t="s">
        <v>693</v>
      </c>
      <c r="K32" s="20" t="s">
        <v>694</v>
      </c>
      <c r="L32" s="20">
        <v>77002</v>
      </c>
      <c r="M32" s="22">
        <v>45569.75</v>
      </c>
      <c r="N32" s="20" t="s">
        <v>843</v>
      </c>
      <c r="O32" s="20" t="s">
        <v>696</v>
      </c>
      <c r="P32" s="20">
        <v>40.705019999999998</v>
      </c>
      <c r="Q32" s="20">
        <v>-84.123329999999996</v>
      </c>
      <c r="R32" s="20" t="s">
        <v>697</v>
      </c>
      <c r="W32" s="20">
        <v>0.1</v>
      </c>
      <c r="Y32" s="20">
        <v>0.1</v>
      </c>
      <c r="Z32" s="20" t="s">
        <v>698</v>
      </c>
      <c r="AF32" s="20">
        <v>0</v>
      </c>
      <c r="AG32" s="20" t="s">
        <v>698</v>
      </c>
      <c r="AM32" s="20">
        <v>0</v>
      </c>
      <c r="AN32" s="20" t="s">
        <v>699</v>
      </c>
      <c r="AP32" s="20" t="s">
        <v>1013</v>
      </c>
      <c r="AQ32" s="23">
        <v>45569.75</v>
      </c>
      <c r="AR32" s="20" t="s">
        <v>736</v>
      </c>
      <c r="AS32" s="20" t="s">
        <v>702</v>
      </c>
      <c r="AT32" s="20" t="s">
        <v>703</v>
      </c>
      <c r="AU32" s="20" t="s">
        <v>698</v>
      </c>
      <c r="AV32" s="20" t="s">
        <v>1071</v>
      </c>
      <c r="AZ32" s="20" t="s">
        <v>698</v>
      </c>
      <c r="BC32" s="23">
        <v>45569.75</v>
      </c>
      <c r="BD32" s="23">
        <v>45569.75</v>
      </c>
      <c r="BE32" s="23">
        <v>45569.843055555553</v>
      </c>
      <c r="BF32" s="20">
        <v>1412849</v>
      </c>
      <c r="BG32" s="20">
        <v>1412985</v>
      </c>
      <c r="BH32" s="20" t="s">
        <v>696</v>
      </c>
      <c r="BI32" s="23">
        <v>45569.75</v>
      </c>
      <c r="BJ32" s="20" t="s">
        <v>1072</v>
      </c>
      <c r="BL32" s="20">
        <v>0.1</v>
      </c>
      <c r="BM32" s="20" t="s">
        <v>698</v>
      </c>
      <c r="BV32" s="20" t="s">
        <v>696</v>
      </c>
      <c r="BW32" s="23">
        <v>45569.760416666664</v>
      </c>
      <c r="BX32" s="20" t="s">
        <v>698</v>
      </c>
      <c r="CA32" s="20">
        <v>0</v>
      </c>
      <c r="CB32" s="20" t="s">
        <v>1073</v>
      </c>
      <c r="CC32" s="20" t="s">
        <v>1074</v>
      </c>
      <c r="CD32" s="20" t="s">
        <v>1075</v>
      </c>
      <c r="CE32" s="20">
        <v>45804</v>
      </c>
      <c r="CF32" s="20" t="s">
        <v>708</v>
      </c>
      <c r="CG32" s="20" t="s">
        <v>1076</v>
      </c>
      <c r="CH32" s="20" t="s">
        <v>710</v>
      </c>
      <c r="CI32" s="20" t="s">
        <v>711</v>
      </c>
      <c r="CJ32" s="20" t="s">
        <v>698</v>
      </c>
      <c r="CK32" s="20" t="s">
        <v>712</v>
      </c>
      <c r="CL32" s="20" t="s">
        <v>713</v>
      </c>
      <c r="CM32" s="20" t="s">
        <v>758</v>
      </c>
      <c r="CP32" s="20" t="s">
        <v>698</v>
      </c>
      <c r="DM32" s="20" t="s">
        <v>743</v>
      </c>
      <c r="DN32" s="20" t="s">
        <v>766</v>
      </c>
      <c r="FJ32" s="20" t="s">
        <v>1077</v>
      </c>
      <c r="FK32" s="20">
        <v>2024</v>
      </c>
      <c r="FL32" s="20" t="s">
        <v>728</v>
      </c>
      <c r="FM32" s="20" t="s">
        <v>962</v>
      </c>
      <c r="FN32" s="20" t="s">
        <v>1078</v>
      </c>
      <c r="FO32" s="20" t="s">
        <v>766</v>
      </c>
      <c r="FX32" s="20" t="s">
        <v>1079</v>
      </c>
      <c r="FY32" s="20" t="s">
        <v>698</v>
      </c>
      <c r="GC32" s="20" t="s">
        <v>698</v>
      </c>
      <c r="GD32" s="20" t="s">
        <v>698</v>
      </c>
      <c r="GE32" s="20" t="s">
        <v>698</v>
      </c>
      <c r="GK32" s="20" t="s">
        <v>698</v>
      </c>
      <c r="GT32" s="20" t="s">
        <v>696</v>
      </c>
      <c r="GU32" s="20" t="s">
        <v>696</v>
      </c>
      <c r="GX32" s="20" t="s">
        <v>696</v>
      </c>
      <c r="GY32" s="20" t="s">
        <v>696</v>
      </c>
      <c r="HF32" s="20">
        <v>0</v>
      </c>
      <c r="HG32" s="20">
        <v>1</v>
      </c>
      <c r="HH32" s="20">
        <v>0</v>
      </c>
      <c r="HI32" s="20">
        <v>1000</v>
      </c>
      <c r="HJ32" s="20">
        <v>0</v>
      </c>
      <c r="HK32" s="20">
        <v>0</v>
      </c>
      <c r="HM32" s="20">
        <v>1001</v>
      </c>
      <c r="HN32" s="20">
        <v>0</v>
      </c>
      <c r="HO32" s="20">
        <v>0</v>
      </c>
      <c r="HP32" s="20">
        <v>0</v>
      </c>
      <c r="HQ32" s="20">
        <v>0</v>
      </c>
      <c r="HR32" s="20">
        <v>0</v>
      </c>
      <c r="HS32" s="20">
        <v>275</v>
      </c>
      <c r="HT32" s="20" t="s">
        <v>750</v>
      </c>
      <c r="HV32" s="24">
        <v>31365</v>
      </c>
      <c r="HW32" s="20" t="s">
        <v>698</v>
      </c>
      <c r="HY32" s="20" t="s">
        <v>723</v>
      </c>
      <c r="HZ32" s="20" t="s">
        <v>698</v>
      </c>
      <c r="IS32" s="20" t="s">
        <v>724</v>
      </c>
      <c r="IT32" s="20" t="s">
        <v>696</v>
      </c>
      <c r="IU32" s="20" t="s">
        <v>696</v>
      </c>
      <c r="IV32" s="20" t="s">
        <v>696</v>
      </c>
      <c r="IW32" s="20" t="s">
        <v>698</v>
      </c>
      <c r="IX32" s="20" t="s">
        <v>698</v>
      </c>
      <c r="IY32" s="20" t="s">
        <v>696</v>
      </c>
      <c r="IZ32" s="20" t="s">
        <v>696</v>
      </c>
      <c r="JA32" s="20" t="s">
        <v>696</v>
      </c>
      <c r="JB32" s="20" t="s">
        <v>698</v>
      </c>
      <c r="JC32" s="20" t="s">
        <v>698</v>
      </c>
      <c r="JD32" s="20" t="s">
        <v>725</v>
      </c>
      <c r="JE32" s="20" t="s">
        <v>726</v>
      </c>
      <c r="JR32" s="20" t="s">
        <v>698</v>
      </c>
      <c r="JS32" s="20" t="s">
        <v>696</v>
      </c>
      <c r="JV32" s="20">
        <v>5</v>
      </c>
      <c r="JW32" s="20">
        <v>0</v>
      </c>
      <c r="JX32" s="20" t="s">
        <v>894</v>
      </c>
      <c r="JY32" s="20" t="s">
        <v>1080</v>
      </c>
      <c r="RM32" s="20" t="s">
        <v>1080</v>
      </c>
      <c r="RS32" s="20" t="s">
        <v>696</v>
      </c>
      <c r="RV32" s="20" t="s">
        <v>1034</v>
      </c>
      <c r="RW32" s="20" t="s">
        <v>696</v>
      </c>
      <c r="RX32" s="20" t="s">
        <v>898</v>
      </c>
      <c r="XL32" s="20" t="s">
        <v>730</v>
      </c>
      <c r="XM32" s="20" t="s">
        <v>731</v>
      </c>
      <c r="XN32" s="20" t="s">
        <v>732</v>
      </c>
      <c r="XO32" s="20" t="s">
        <v>733</v>
      </c>
      <c r="XQ32" s="24">
        <v>45630</v>
      </c>
      <c r="XU32" s="20" t="s">
        <v>730</v>
      </c>
      <c r="XV32" s="20" t="s">
        <v>733</v>
      </c>
      <c r="XW32" s="20" t="s">
        <v>731</v>
      </c>
      <c r="XX32" s="20" t="s">
        <v>732</v>
      </c>
      <c r="XY32" s="20" t="s">
        <v>1081</v>
      </c>
    </row>
    <row r="33" spans="1:649" ht="15.75" customHeight="1">
      <c r="A33" s="20">
        <v>192</v>
      </c>
      <c r="B33" s="21">
        <v>45597</v>
      </c>
      <c r="C33" s="20">
        <v>2024</v>
      </c>
      <c r="D33" s="20">
        <v>20240261</v>
      </c>
      <c r="E33" s="20">
        <v>40267</v>
      </c>
      <c r="F33" s="20" t="s">
        <v>825</v>
      </c>
      <c r="G33" s="20">
        <v>31454</v>
      </c>
      <c r="H33" s="20" t="s">
        <v>1082</v>
      </c>
      <c r="I33" s="20" t="s">
        <v>771</v>
      </c>
      <c r="J33" s="20" t="s">
        <v>772</v>
      </c>
      <c r="K33" s="20" t="s">
        <v>694</v>
      </c>
      <c r="L33" s="20">
        <v>75225</v>
      </c>
      <c r="M33" s="22">
        <v>45568.40625</v>
      </c>
      <c r="N33" s="20" t="s">
        <v>695</v>
      </c>
      <c r="O33" s="20" t="s">
        <v>696</v>
      </c>
      <c r="P33" s="20">
        <v>28.63158</v>
      </c>
      <c r="Q33" s="20">
        <v>-98.790090000000006</v>
      </c>
      <c r="R33" s="20" t="s">
        <v>697</v>
      </c>
      <c r="W33" s="20">
        <v>1.78</v>
      </c>
      <c r="Y33" s="20">
        <v>0.89</v>
      </c>
      <c r="Z33" s="20" t="s">
        <v>698</v>
      </c>
      <c r="AF33" s="20">
        <v>0</v>
      </c>
      <c r="AG33" s="20" t="s">
        <v>698</v>
      </c>
      <c r="AM33" s="20">
        <v>0</v>
      </c>
      <c r="AN33" s="20" t="s">
        <v>699</v>
      </c>
      <c r="AP33" s="20" t="s">
        <v>700</v>
      </c>
      <c r="AQ33" s="23">
        <v>45568.40625</v>
      </c>
      <c r="AR33" s="20" t="s">
        <v>736</v>
      </c>
      <c r="AS33" s="20" t="s">
        <v>702</v>
      </c>
      <c r="AT33" s="20" t="s">
        <v>703</v>
      </c>
      <c r="AU33" s="20" t="s">
        <v>696</v>
      </c>
      <c r="AW33" s="23">
        <v>45568.424305555556</v>
      </c>
      <c r="AX33" s="23">
        <v>45568.776388888888</v>
      </c>
      <c r="AZ33" s="20" t="s">
        <v>698</v>
      </c>
      <c r="BC33" s="23">
        <v>45568.424305555556</v>
      </c>
      <c r="BD33" s="23">
        <v>45568.40625</v>
      </c>
      <c r="BF33" s="20" t="s">
        <v>754</v>
      </c>
      <c r="BH33" s="20" t="s">
        <v>698</v>
      </c>
      <c r="BV33" s="20" t="s">
        <v>696</v>
      </c>
      <c r="BW33" s="23">
        <v>45568.40625</v>
      </c>
      <c r="BX33" s="20" t="s">
        <v>698</v>
      </c>
      <c r="CA33" s="20">
        <v>0</v>
      </c>
      <c r="CB33" s="20" t="s">
        <v>1083</v>
      </c>
      <c r="CC33" s="20" t="s">
        <v>1084</v>
      </c>
      <c r="CD33" s="20" t="s">
        <v>694</v>
      </c>
      <c r="CE33" s="20">
        <v>78072</v>
      </c>
      <c r="CF33" s="20" t="s">
        <v>708</v>
      </c>
      <c r="CG33" s="20" t="s">
        <v>1085</v>
      </c>
      <c r="CH33" s="20" t="s">
        <v>710</v>
      </c>
      <c r="CI33" s="20" t="s">
        <v>711</v>
      </c>
      <c r="CJ33" s="20" t="s">
        <v>698</v>
      </c>
      <c r="CK33" s="20" t="s">
        <v>712</v>
      </c>
      <c r="CL33" s="20" t="s">
        <v>713</v>
      </c>
      <c r="CM33" s="20" t="s">
        <v>758</v>
      </c>
      <c r="CP33" s="20" t="s">
        <v>698</v>
      </c>
      <c r="DM33" s="20" t="s">
        <v>715</v>
      </c>
      <c r="DN33" s="20" t="s">
        <v>1086</v>
      </c>
      <c r="FK33" s="20" t="s">
        <v>728</v>
      </c>
      <c r="FL33" s="20" t="s">
        <v>728</v>
      </c>
      <c r="FM33" s="20" t="s">
        <v>719</v>
      </c>
      <c r="FO33" s="20" t="s">
        <v>720</v>
      </c>
      <c r="FR33" s="20" t="s">
        <v>749</v>
      </c>
      <c r="FY33" s="20" t="s">
        <v>698</v>
      </c>
      <c r="GC33" s="20" t="s">
        <v>696</v>
      </c>
      <c r="GD33" s="20" t="s">
        <v>698</v>
      </c>
      <c r="GE33" s="20" t="s">
        <v>696</v>
      </c>
      <c r="GH33" s="20" t="s">
        <v>696</v>
      </c>
      <c r="GK33" s="20" t="s">
        <v>698</v>
      </c>
      <c r="GT33" s="20" t="s">
        <v>698</v>
      </c>
      <c r="GU33" s="20" t="s">
        <v>698</v>
      </c>
      <c r="HF33" s="20">
        <v>0</v>
      </c>
      <c r="HG33" s="20">
        <v>66</v>
      </c>
      <c r="HH33" s="20">
        <v>12217</v>
      </c>
      <c r="HI33" s="20">
        <v>2538</v>
      </c>
      <c r="HJ33" s="20">
        <v>1500</v>
      </c>
      <c r="HK33" s="20">
        <v>0</v>
      </c>
      <c r="HM33" s="20">
        <v>16321</v>
      </c>
      <c r="HN33" s="20">
        <v>0</v>
      </c>
      <c r="HO33" s="20">
        <v>0</v>
      </c>
      <c r="HP33" s="20">
        <v>0</v>
      </c>
      <c r="HQ33" s="20">
        <v>0</v>
      </c>
      <c r="HR33" s="20">
        <v>115</v>
      </c>
      <c r="HS33" s="20">
        <v>285</v>
      </c>
      <c r="HT33" s="20" t="s">
        <v>750</v>
      </c>
      <c r="HV33" s="24">
        <v>41709</v>
      </c>
      <c r="HW33" s="20" t="s">
        <v>698</v>
      </c>
      <c r="HY33" s="20" t="s">
        <v>723</v>
      </c>
      <c r="HZ33" s="20" t="s">
        <v>698</v>
      </c>
      <c r="IS33" s="20" t="s">
        <v>724</v>
      </c>
      <c r="IT33" s="20" t="s">
        <v>696</v>
      </c>
      <c r="IU33" s="20" t="s">
        <v>696</v>
      </c>
      <c r="IV33" s="20" t="s">
        <v>696</v>
      </c>
      <c r="IW33" s="20" t="s">
        <v>698</v>
      </c>
      <c r="IX33" s="20" t="s">
        <v>698</v>
      </c>
      <c r="IY33" s="20" t="s">
        <v>696</v>
      </c>
      <c r="IZ33" s="20" t="s">
        <v>696</v>
      </c>
      <c r="JA33" s="20" t="s">
        <v>696</v>
      </c>
      <c r="JB33" s="20" t="s">
        <v>698</v>
      </c>
      <c r="JC33" s="20" t="s">
        <v>698</v>
      </c>
      <c r="JD33" s="20" t="s">
        <v>725</v>
      </c>
      <c r="JE33" s="20" t="s">
        <v>1087</v>
      </c>
      <c r="JR33" s="20" t="s">
        <v>698</v>
      </c>
      <c r="JS33" s="20" t="s">
        <v>698</v>
      </c>
      <c r="JX33" s="20" t="s">
        <v>833</v>
      </c>
      <c r="JY33" s="20" t="s">
        <v>834</v>
      </c>
      <c r="JZ33" s="20" t="s">
        <v>834</v>
      </c>
      <c r="LD33" s="20" t="s">
        <v>835</v>
      </c>
      <c r="LH33" s="20" t="s">
        <v>696</v>
      </c>
      <c r="LL33" s="20" t="s">
        <v>696</v>
      </c>
      <c r="LP33" s="20" t="s">
        <v>696</v>
      </c>
      <c r="LU33" s="20" t="s">
        <v>696</v>
      </c>
      <c r="LV33" s="20" t="s">
        <v>698</v>
      </c>
      <c r="LW33" s="20" t="s">
        <v>838</v>
      </c>
      <c r="LX33" s="20" t="s">
        <v>838</v>
      </c>
      <c r="XL33" s="20" t="s">
        <v>1088</v>
      </c>
      <c r="XM33" s="20" t="s">
        <v>1089</v>
      </c>
      <c r="XN33" s="20" t="s">
        <v>1090</v>
      </c>
      <c r="XO33" s="20" t="s">
        <v>1091</v>
      </c>
      <c r="XP33" s="20" t="s">
        <v>1092</v>
      </c>
      <c r="XQ33" s="24">
        <v>45628</v>
      </c>
      <c r="XU33" s="20" t="s">
        <v>1093</v>
      </c>
      <c r="XV33" s="20" t="s">
        <v>1094</v>
      </c>
      <c r="XW33" s="20" t="s">
        <v>1095</v>
      </c>
      <c r="XX33" s="20" t="s">
        <v>1096</v>
      </c>
      <c r="XY33" s="20" t="s">
        <v>1097</v>
      </c>
    </row>
    <row r="34" spans="1:649" ht="15.75" customHeight="1">
      <c r="A34" s="20">
        <v>203</v>
      </c>
      <c r="B34" s="21">
        <v>45580</v>
      </c>
      <c r="C34" s="20">
        <v>2024</v>
      </c>
      <c r="D34" s="20">
        <v>20240245</v>
      </c>
      <c r="E34" s="20">
        <v>40111</v>
      </c>
      <c r="F34" s="20" t="s">
        <v>690</v>
      </c>
      <c r="G34" s="20">
        <v>32099</v>
      </c>
      <c r="H34" s="20" t="s">
        <v>752</v>
      </c>
      <c r="I34" s="20" t="s">
        <v>692</v>
      </c>
      <c r="J34" s="20" t="s">
        <v>693</v>
      </c>
      <c r="K34" s="20" t="s">
        <v>694</v>
      </c>
      <c r="L34" s="20">
        <v>77002</v>
      </c>
      <c r="M34" s="22">
        <v>45551.422222222223</v>
      </c>
      <c r="N34" s="20" t="s">
        <v>695</v>
      </c>
      <c r="O34" s="20" t="s">
        <v>696</v>
      </c>
      <c r="P34" s="20">
        <v>29.663823000000001</v>
      </c>
      <c r="Q34" s="20">
        <v>-95.101920000000007</v>
      </c>
      <c r="R34" s="20" t="s">
        <v>773</v>
      </c>
      <c r="S34" s="20" t="s">
        <v>1098</v>
      </c>
      <c r="W34" s="20">
        <v>38793</v>
      </c>
      <c r="X34" s="20">
        <v>398</v>
      </c>
      <c r="Y34" s="20">
        <v>0</v>
      </c>
      <c r="Z34" s="20" t="s">
        <v>696</v>
      </c>
      <c r="AA34" s="20">
        <v>0</v>
      </c>
      <c r="AB34" s="20">
        <v>0</v>
      </c>
      <c r="AC34" s="20">
        <v>0</v>
      </c>
      <c r="AD34" s="20">
        <v>0</v>
      </c>
      <c r="AE34" s="20">
        <v>1</v>
      </c>
      <c r="AF34" s="20">
        <v>1</v>
      </c>
      <c r="AG34" s="20" t="s">
        <v>698</v>
      </c>
      <c r="AM34" s="20">
        <v>0</v>
      </c>
      <c r="AN34" s="20" t="s">
        <v>846</v>
      </c>
      <c r="AQ34" s="23">
        <v>45551.422222222223</v>
      </c>
      <c r="AR34" s="20" t="s">
        <v>776</v>
      </c>
      <c r="AS34" s="20" t="s">
        <v>702</v>
      </c>
      <c r="AT34" s="20" t="s">
        <v>703</v>
      </c>
      <c r="AU34" s="20" t="s">
        <v>696</v>
      </c>
      <c r="AW34" s="23">
        <v>45551.423611111109</v>
      </c>
      <c r="AX34" s="23">
        <v>45557.077777777777</v>
      </c>
      <c r="AZ34" s="20" t="s">
        <v>696</v>
      </c>
      <c r="BA34" s="20" t="s">
        <v>753</v>
      </c>
      <c r="BB34" s="23">
        <v>45551.445833333331</v>
      </c>
      <c r="BC34" s="23">
        <v>45551.445833333331</v>
      </c>
      <c r="BD34" s="23">
        <v>45551.452777777777</v>
      </c>
      <c r="BE34" s="23">
        <v>45551.479166666664</v>
      </c>
      <c r="BF34" s="20">
        <v>1410978</v>
      </c>
      <c r="BG34" s="20">
        <v>1411188</v>
      </c>
      <c r="BH34" s="20" t="s">
        <v>696</v>
      </c>
      <c r="BI34" s="23">
        <v>45551.422222222223</v>
      </c>
      <c r="BJ34" s="20" t="s">
        <v>1072</v>
      </c>
      <c r="BL34" s="20">
        <v>38793</v>
      </c>
      <c r="BM34" s="20" t="s">
        <v>696</v>
      </c>
      <c r="BN34" s="20" t="s">
        <v>777</v>
      </c>
      <c r="BP34" s="23">
        <v>45551.472916666666</v>
      </c>
      <c r="BQ34" s="20" t="s">
        <v>798</v>
      </c>
      <c r="BR34" s="20" t="s">
        <v>777</v>
      </c>
      <c r="BT34" s="23">
        <v>45551.472916666666</v>
      </c>
      <c r="BU34" s="20" t="s">
        <v>798</v>
      </c>
      <c r="CA34" s="20">
        <v>1500</v>
      </c>
      <c r="CB34" s="20" t="s">
        <v>1099</v>
      </c>
      <c r="CC34" s="20" t="s">
        <v>1100</v>
      </c>
      <c r="CD34" s="20" t="s">
        <v>694</v>
      </c>
      <c r="CE34" s="20">
        <v>77571</v>
      </c>
      <c r="CF34" s="20" t="s">
        <v>1101</v>
      </c>
      <c r="CG34" s="20" t="s">
        <v>1056</v>
      </c>
      <c r="CH34" s="20" t="s">
        <v>710</v>
      </c>
      <c r="CI34" s="20" t="s">
        <v>1102</v>
      </c>
      <c r="CJ34" s="20" t="s">
        <v>698</v>
      </c>
      <c r="CK34" s="20" t="s">
        <v>785</v>
      </c>
      <c r="CL34" s="20" t="s">
        <v>713</v>
      </c>
      <c r="CM34" s="20" t="s">
        <v>758</v>
      </c>
      <c r="CP34" s="20" t="s">
        <v>698</v>
      </c>
      <c r="DM34" s="20" t="s">
        <v>715</v>
      </c>
      <c r="DN34" s="20" t="s">
        <v>744</v>
      </c>
      <c r="DO34" s="20" t="s">
        <v>745</v>
      </c>
      <c r="DP34" s="20" t="s">
        <v>698</v>
      </c>
      <c r="DQ34" s="20">
        <v>3.5</v>
      </c>
      <c r="DR34" s="20">
        <v>0.3</v>
      </c>
      <c r="DS34" s="20">
        <v>35000</v>
      </c>
      <c r="DT34" s="20" t="s">
        <v>1103</v>
      </c>
      <c r="DU34" s="20" t="s">
        <v>747</v>
      </c>
      <c r="DW34" s="20" t="s">
        <v>1104</v>
      </c>
      <c r="DX34" s="20" t="s">
        <v>904</v>
      </c>
      <c r="DZ34" s="20" t="s">
        <v>696</v>
      </c>
      <c r="FK34" s="20">
        <v>2012</v>
      </c>
      <c r="FL34" s="20">
        <v>2012</v>
      </c>
      <c r="FM34" s="20" t="s">
        <v>719</v>
      </c>
      <c r="FO34" s="20" t="s">
        <v>766</v>
      </c>
      <c r="FX34" s="20" t="s">
        <v>1105</v>
      </c>
      <c r="FY34" s="20" t="s">
        <v>698</v>
      </c>
      <c r="GC34" s="20" t="s">
        <v>698</v>
      </c>
      <c r="GD34" s="20" t="s">
        <v>698</v>
      </c>
      <c r="GE34" s="20" t="s">
        <v>698</v>
      </c>
      <c r="GK34" s="20" t="s">
        <v>698</v>
      </c>
      <c r="GT34" s="20" t="s">
        <v>696</v>
      </c>
      <c r="GU34" s="20" t="s">
        <v>696</v>
      </c>
      <c r="GV34" s="20" t="s">
        <v>696</v>
      </c>
      <c r="GW34" s="20" t="s">
        <v>696</v>
      </c>
      <c r="GX34" s="20" t="s">
        <v>696</v>
      </c>
      <c r="GY34" s="20" t="s">
        <v>696</v>
      </c>
      <c r="GZ34" s="20" t="s">
        <v>696</v>
      </c>
      <c r="HA34" s="20" t="s">
        <v>696</v>
      </c>
      <c r="HB34" s="20" t="s">
        <v>696</v>
      </c>
      <c r="HC34" s="20" t="s">
        <v>696</v>
      </c>
      <c r="HD34" s="20" t="s">
        <v>696</v>
      </c>
      <c r="HE34" s="20" t="s">
        <v>696</v>
      </c>
      <c r="HF34" s="20">
        <v>850000</v>
      </c>
      <c r="HG34" s="20">
        <v>802782</v>
      </c>
      <c r="HH34" s="20">
        <v>1322185</v>
      </c>
      <c r="HI34" s="20">
        <v>301795</v>
      </c>
      <c r="HJ34" s="20">
        <v>0</v>
      </c>
      <c r="HK34" s="20">
        <v>0</v>
      </c>
      <c r="HM34" s="20">
        <v>3276762</v>
      </c>
      <c r="HN34" s="20">
        <v>0</v>
      </c>
      <c r="HO34" s="20">
        <v>0</v>
      </c>
      <c r="HP34" s="20">
        <v>1465</v>
      </c>
      <c r="HQ34" s="20">
        <v>30</v>
      </c>
      <c r="HR34" s="20">
        <v>893</v>
      </c>
      <c r="HS34" s="20">
        <v>1440</v>
      </c>
      <c r="HT34" s="20" t="s">
        <v>787</v>
      </c>
      <c r="HV34" s="24">
        <v>41082</v>
      </c>
      <c r="HW34" s="20" t="s">
        <v>698</v>
      </c>
      <c r="HY34" s="20" t="s">
        <v>723</v>
      </c>
      <c r="HZ34" s="20" t="s">
        <v>698</v>
      </c>
      <c r="IC34" s="20">
        <v>76273</v>
      </c>
      <c r="ID34" s="20" t="s">
        <v>696</v>
      </c>
      <c r="IL34" s="20" t="s">
        <v>698</v>
      </c>
      <c r="IS34" s="20" t="s">
        <v>724</v>
      </c>
      <c r="IT34" s="20" t="s">
        <v>696</v>
      </c>
      <c r="IU34" s="20" t="s">
        <v>696</v>
      </c>
      <c r="IV34" s="20" t="s">
        <v>696</v>
      </c>
      <c r="IW34" s="20" t="s">
        <v>696</v>
      </c>
      <c r="IX34" s="20" t="s">
        <v>698</v>
      </c>
      <c r="IY34" s="20" t="s">
        <v>696</v>
      </c>
      <c r="IZ34" s="20" t="s">
        <v>696</v>
      </c>
      <c r="JA34" s="20" t="s">
        <v>696</v>
      </c>
      <c r="JB34" s="20" t="s">
        <v>696</v>
      </c>
      <c r="JC34" s="20" t="s">
        <v>698</v>
      </c>
      <c r="JD34" s="20" t="s">
        <v>725</v>
      </c>
      <c r="JE34" s="20" t="s">
        <v>1105</v>
      </c>
      <c r="JR34" s="20" t="s">
        <v>696</v>
      </c>
      <c r="JS34" s="20" t="s">
        <v>698</v>
      </c>
      <c r="JT34" s="20">
        <v>1</v>
      </c>
      <c r="JU34" s="20">
        <v>0</v>
      </c>
      <c r="JX34" s="20" t="s">
        <v>1062</v>
      </c>
      <c r="JY34" s="20" t="s">
        <v>1063</v>
      </c>
      <c r="NY34" s="20" t="s">
        <v>1063</v>
      </c>
      <c r="NZ34" s="20" t="s">
        <v>1106</v>
      </c>
      <c r="OJ34" s="20" t="s">
        <v>728</v>
      </c>
      <c r="OP34" s="20" t="s">
        <v>728</v>
      </c>
      <c r="OR34" s="20" t="s">
        <v>696</v>
      </c>
      <c r="OS34" s="20" t="s">
        <v>1107</v>
      </c>
      <c r="OT34" s="20" t="s">
        <v>1108</v>
      </c>
      <c r="OU34" s="20">
        <v>492</v>
      </c>
      <c r="OV34" s="20" t="s">
        <v>696</v>
      </c>
      <c r="OX34" s="20" t="s">
        <v>696</v>
      </c>
      <c r="XL34" s="20" t="s">
        <v>1109</v>
      </c>
      <c r="XN34" s="20" t="s">
        <v>1110</v>
      </c>
      <c r="XO34" s="20" t="s">
        <v>1111</v>
      </c>
      <c r="XQ34" s="24">
        <v>45580</v>
      </c>
      <c r="XU34" s="20" t="s">
        <v>1112</v>
      </c>
      <c r="XV34" s="20" t="s">
        <v>1113</v>
      </c>
      <c r="XW34" s="20" t="s">
        <v>1114</v>
      </c>
      <c r="XX34" s="20" t="s">
        <v>1115</v>
      </c>
      <c r="XY34" s="20" t="s">
        <v>1116</v>
      </c>
    </row>
    <row r="35" spans="1:649" ht="15.75" customHeight="1">
      <c r="A35" s="20">
        <v>204</v>
      </c>
      <c r="B35" s="21">
        <v>45576</v>
      </c>
      <c r="C35" s="20">
        <v>2024</v>
      </c>
      <c r="D35" s="20">
        <v>20240244</v>
      </c>
      <c r="E35" s="20">
        <v>40099</v>
      </c>
      <c r="F35" s="20" t="s">
        <v>690</v>
      </c>
      <c r="G35" s="20">
        <v>12470</v>
      </c>
      <c r="H35" s="20" t="s">
        <v>1070</v>
      </c>
      <c r="I35" s="20" t="s">
        <v>692</v>
      </c>
      <c r="J35" s="20" t="s">
        <v>693</v>
      </c>
      <c r="K35" s="20" t="s">
        <v>694</v>
      </c>
      <c r="L35" s="20">
        <v>77002</v>
      </c>
      <c r="M35" s="22">
        <v>45550.228472222225</v>
      </c>
      <c r="N35" s="20" t="s">
        <v>843</v>
      </c>
      <c r="O35" s="20" t="s">
        <v>696</v>
      </c>
      <c r="P35" s="20">
        <v>40.707241000000003</v>
      </c>
      <c r="Q35" s="20">
        <v>-84.118080000000006</v>
      </c>
      <c r="R35" s="20" t="s">
        <v>697</v>
      </c>
      <c r="W35" s="20">
        <v>2</v>
      </c>
      <c r="Y35" s="20">
        <v>2</v>
      </c>
      <c r="Z35" s="20" t="s">
        <v>698</v>
      </c>
      <c r="AF35" s="20">
        <v>0</v>
      </c>
      <c r="AG35" s="20" t="s">
        <v>698</v>
      </c>
      <c r="AM35" s="20">
        <v>0</v>
      </c>
      <c r="AN35" s="20" t="s">
        <v>775</v>
      </c>
      <c r="AQ35" s="23">
        <v>45550.228472222225</v>
      </c>
      <c r="AR35" s="20" t="s">
        <v>736</v>
      </c>
      <c r="AS35" s="20" t="s">
        <v>702</v>
      </c>
      <c r="AT35" s="20" t="s">
        <v>703</v>
      </c>
      <c r="AU35" s="20" t="s">
        <v>696</v>
      </c>
      <c r="AW35" s="23">
        <v>45550.277777777781</v>
      </c>
      <c r="AX35" s="23">
        <v>45550.53402777778</v>
      </c>
      <c r="AZ35" s="20" t="s">
        <v>698</v>
      </c>
      <c r="BC35" s="23">
        <v>45550.261805555558</v>
      </c>
      <c r="BD35" s="23">
        <v>45550.26666666667</v>
      </c>
      <c r="BF35" s="20" t="s">
        <v>754</v>
      </c>
      <c r="BH35" s="20" t="s">
        <v>698</v>
      </c>
      <c r="BV35" s="20" t="s">
        <v>696</v>
      </c>
      <c r="BW35" s="23">
        <v>45550.234027777777</v>
      </c>
      <c r="BX35" s="20" t="s">
        <v>696</v>
      </c>
      <c r="BY35" s="23">
        <v>45550.26666666667</v>
      </c>
      <c r="BZ35" s="23">
        <v>45550.4375</v>
      </c>
      <c r="CA35" s="20">
        <v>0</v>
      </c>
      <c r="CB35" s="20" t="s">
        <v>1073</v>
      </c>
      <c r="CC35" s="20" t="s">
        <v>1117</v>
      </c>
      <c r="CD35" s="20" t="s">
        <v>1075</v>
      </c>
      <c r="CE35" s="20">
        <v>45804</v>
      </c>
      <c r="CF35" s="20" t="s">
        <v>1118</v>
      </c>
      <c r="CG35" s="20" t="s">
        <v>1076</v>
      </c>
      <c r="CH35" s="20" t="s">
        <v>710</v>
      </c>
      <c r="CI35" s="20" t="s">
        <v>711</v>
      </c>
      <c r="CJ35" s="20" t="s">
        <v>698</v>
      </c>
      <c r="CK35" s="20" t="s">
        <v>712</v>
      </c>
      <c r="CL35" s="20" t="s">
        <v>741</v>
      </c>
      <c r="CM35" s="20" t="s">
        <v>742</v>
      </c>
      <c r="CO35" s="20">
        <v>48</v>
      </c>
      <c r="CP35" s="20" t="s">
        <v>698</v>
      </c>
      <c r="DM35" s="20" t="s">
        <v>743</v>
      </c>
      <c r="DN35" s="20" t="s">
        <v>744</v>
      </c>
      <c r="DO35" s="20" t="s">
        <v>745</v>
      </c>
      <c r="DP35" s="20" t="s">
        <v>698</v>
      </c>
      <c r="DQ35" s="20">
        <v>16</v>
      </c>
      <c r="DR35" s="20">
        <v>0.25</v>
      </c>
      <c r="DS35" s="20">
        <v>35000</v>
      </c>
      <c r="DT35" s="20" t="s">
        <v>1103</v>
      </c>
      <c r="DU35" s="20" t="s">
        <v>926</v>
      </c>
      <c r="DW35" s="20" t="s">
        <v>728</v>
      </c>
      <c r="DX35" s="20" t="s">
        <v>805</v>
      </c>
      <c r="DZ35" s="20" t="s">
        <v>728</v>
      </c>
      <c r="FK35" s="20" t="s">
        <v>728</v>
      </c>
      <c r="FL35" s="20" t="s">
        <v>728</v>
      </c>
      <c r="FM35" s="20" t="s">
        <v>719</v>
      </c>
      <c r="FO35" s="20" t="s">
        <v>720</v>
      </c>
      <c r="FR35" s="20" t="s">
        <v>749</v>
      </c>
      <c r="FY35" s="20" t="s">
        <v>698</v>
      </c>
      <c r="GC35" s="20" t="s">
        <v>696</v>
      </c>
      <c r="GD35" s="20" t="s">
        <v>698</v>
      </c>
      <c r="GE35" s="20" t="s">
        <v>696</v>
      </c>
      <c r="GH35" s="20" t="s">
        <v>696</v>
      </c>
      <c r="GK35" s="20" t="s">
        <v>698</v>
      </c>
      <c r="GT35" s="20" t="s">
        <v>696</v>
      </c>
      <c r="GU35" s="20" t="s">
        <v>696</v>
      </c>
      <c r="GX35" s="20" t="s">
        <v>696</v>
      </c>
      <c r="GY35" s="20" t="s">
        <v>696</v>
      </c>
      <c r="HF35" s="20">
        <v>0</v>
      </c>
      <c r="HG35" s="20">
        <v>27</v>
      </c>
      <c r="HH35" s="20">
        <v>10000</v>
      </c>
      <c r="HI35" s="20">
        <v>12000</v>
      </c>
      <c r="HJ35" s="20">
        <v>9000</v>
      </c>
      <c r="HK35" s="20">
        <v>0</v>
      </c>
      <c r="HM35" s="20">
        <v>31027</v>
      </c>
      <c r="HN35" s="20">
        <v>0</v>
      </c>
      <c r="HO35" s="20">
        <v>0</v>
      </c>
      <c r="HP35" s="20">
        <v>0</v>
      </c>
      <c r="HQ35" s="20">
        <v>0</v>
      </c>
      <c r="HR35" s="20">
        <v>50</v>
      </c>
      <c r="HS35" s="20">
        <v>275</v>
      </c>
      <c r="HT35" s="20" t="s">
        <v>750</v>
      </c>
      <c r="HV35" s="24">
        <v>42457</v>
      </c>
      <c r="HW35" s="20" t="s">
        <v>698</v>
      </c>
      <c r="HY35" s="20" t="s">
        <v>723</v>
      </c>
      <c r="HZ35" s="20" t="s">
        <v>698</v>
      </c>
      <c r="IS35" s="20" t="s">
        <v>724</v>
      </c>
      <c r="IT35" s="20" t="s">
        <v>696</v>
      </c>
      <c r="IU35" s="20" t="s">
        <v>696</v>
      </c>
      <c r="IV35" s="20" t="s">
        <v>696</v>
      </c>
      <c r="IW35" s="20" t="s">
        <v>698</v>
      </c>
      <c r="IX35" s="20" t="s">
        <v>698</v>
      </c>
      <c r="IY35" s="20" t="s">
        <v>696</v>
      </c>
      <c r="IZ35" s="20" t="s">
        <v>696</v>
      </c>
      <c r="JA35" s="20" t="s">
        <v>696</v>
      </c>
      <c r="JB35" s="20" t="s">
        <v>698</v>
      </c>
      <c r="JC35" s="20" t="s">
        <v>698</v>
      </c>
      <c r="JD35" s="20" t="s">
        <v>725</v>
      </c>
      <c r="JE35" s="20" t="s">
        <v>726</v>
      </c>
      <c r="JR35" s="20" t="s">
        <v>698</v>
      </c>
      <c r="JS35" s="20" t="s">
        <v>698</v>
      </c>
      <c r="JX35" s="20" t="s">
        <v>727</v>
      </c>
      <c r="JY35" s="20" t="s">
        <v>728</v>
      </c>
      <c r="RY35" s="20" t="s">
        <v>728</v>
      </c>
      <c r="SA35" s="20" t="s">
        <v>729</v>
      </c>
      <c r="XL35" s="20" t="s">
        <v>730</v>
      </c>
      <c r="XM35" s="20" t="s">
        <v>731</v>
      </c>
      <c r="XN35" s="20" t="s">
        <v>732</v>
      </c>
      <c r="XO35" s="20" t="s">
        <v>733</v>
      </c>
      <c r="XQ35" s="24">
        <v>45576</v>
      </c>
      <c r="XU35" s="20" t="s">
        <v>730</v>
      </c>
      <c r="XV35" s="20" t="s">
        <v>733</v>
      </c>
      <c r="XW35" s="20" t="s">
        <v>731</v>
      </c>
      <c r="XX35" s="20" t="s">
        <v>732</v>
      </c>
      <c r="XY35" s="20" t="s">
        <v>1119</v>
      </c>
    </row>
    <row r="36" spans="1:649" ht="15.75" customHeight="1">
      <c r="A36" s="20">
        <v>209</v>
      </c>
      <c r="B36" s="21">
        <v>45576</v>
      </c>
      <c r="C36" s="20">
        <v>2024</v>
      </c>
      <c r="D36" s="20">
        <v>20240242</v>
      </c>
      <c r="E36" s="20">
        <v>40439</v>
      </c>
      <c r="F36" s="20" t="s">
        <v>825</v>
      </c>
      <c r="G36" s="20">
        <v>22442</v>
      </c>
      <c r="H36" s="20" t="s">
        <v>886</v>
      </c>
      <c r="I36" s="20" t="s">
        <v>692</v>
      </c>
      <c r="J36" s="20" t="s">
        <v>693</v>
      </c>
      <c r="K36" s="20" t="s">
        <v>694</v>
      </c>
      <c r="L36" s="20">
        <v>77002</v>
      </c>
      <c r="M36" s="22">
        <v>45546.510416666664</v>
      </c>
      <c r="N36" s="20" t="s">
        <v>695</v>
      </c>
      <c r="O36" s="20" t="s">
        <v>696</v>
      </c>
      <c r="P36" s="20">
        <v>32.483409999999999</v>
      </c>
      <c r="Q36" s="20">
        <v>-94.839160000000007</v>
      </c>
      <c r="R36" s="20" t="s">
        <v>697</v>
      </c>
      <c r="W36" s="20">
        <v>30</v>
      </c>
      <c r="Y36" s="20">
        <v>30</v>
      </c>
      <c r="Z36" s="20" t="s">
        <v>698</v>
      </c>
      <c r="AF36" s="20">
        <v>0</v>
      </c>
      <c r="AG36" s="20" t="s">
        <v>698</v>
      </c>
      <c r="AM36" s="20">
        <v>0</v>
      </c>
      <c r="AN36" s="20" t="s">
        <v>699</v>
      </c>
      <c r="AP36" s="20" t="s">
        <v>1013</v>
      </c>
      <c r="AQ36" s="23">
        <v>45546.510416666664</v>
      </c>
      <c r="AR36" s="20" t="s">
        <v>701</v>
      </c>
      <c r="AS36" s="20" t="s">
        <v>702</v>
      </c>
      <c r="AT36" s="20" t="s">
        <v>703</v>
      </c>
      <c r="AU36" s="20" t="s">
        <v>696</v>
      </c>
      <c r="AW36" s="23">
        <v>45546.525000000001</v>
      </c>
      <c r="AX36" s="23">
        <v>45546.854166666664</v>
      </c>
      <c r="AZ36" s="20" t="s">
        <v>698</v>
      </c>
      <c r="BC36" s="23">
        <v>45546.5625</v>
      </c>
      <c r="BD36" s="23">
        <v>45546.854166666664</v>
      </c>
      <c r="BF36" s="20" t="s">
        <v>754</v>
      </c>
      <c r="BH36" s="20" t="s">
        <v>698</v>
      </c>
      <c r="BV36" s="20" t="s">
        <v>696</v>
      </c>
      <c r="BW36" s="23">
        <v>45546.510416666664</v>
      </c>
      <c r="BX36" s="20" t="s">
        <v>698</v>
      </c>
      <c r="CA36" s="20">
        <v>0</v>
      </c>
      <c r="CB36" s="20" t="s">
        <v>1120</v>
      </c>
      <c r="CC36" s="20" t="s">
        <v>1121</v>
      </c>
      <c r="CD36" s="20" t="s">
        <v>694</v>
      </c>
      <c r="CE36" s="20">
        <v>75604</v>
      </c>
      <c r="CF36" s="20" t="s">
        <v>1122</v>
      </c>
      <c r="CG36" s="20" t="s">
        <v>1123</v>
      </c>
      <c r="CH36" s="20" t="s">
        <v>710</v>
      </c>
      <c r="CI36" s="20" t="s">
        <v>711</v>
      </c>
      <c r="CJ36" s="20" t="s">
        <v>698</v>
      </c>
      <c r="CK36" s="20" t="s">
        <v>712</v>
      </c>
      <c r="CL36" s="20" t="s">
        <v>741</v>
      </c>
      <c r="CM36" s="20" t="s">
        <v>742</v>
      </c>
      <c r="CO36" s="20">
        <v>132</v>
      </c>
      <c r="CP36" s="20" t="s">
        <v>698</v>
      </c>
      <c r="DM36" s="20" t="s">
        <v>743</v>
      </c>
      <c r="DN36" s="20" t="s">
        <v>744</v>
      </c>
      <c r="DO36" s="20" t="s">
        <v>745</v>
      </c>
      <c r="DP36" s="20" t="s">
        <v>698</v>
      </c>
      <c r="DQ36" s="20">
        <v>12</v>
      </c>
      <c r="DR36" s="20">
        <v>0.4</v>
      </c>
      <c r="DS36" s="20">
        <v>35000</v>
      </c>
      <c r="DT36" s="20" t="s">
        <v>1103</v>
      </c>
      <c r="DU36" s="20" t="s">
        <v>747</v>
      </c>
      <c r="DW36" s="20" t="s">
        <v>1124</v>
      </c>
      <c r="DX36" s="20" t="s">
        <v>748</v>
      </c>
      <c r="DZ36" s="20" t="s">
        <v>698</v>
      </c>
      <c r="FK36" s="20">
        <v>2016</v>
      </c>
      <c r="FL36" s="20">
        <v>2014</v>
      </c>
      <c r="FM36" s="20" t="s">
        <v>719</v>
      </c>
      <c r="FO36" s="20" t="s">
        <v>720</v>
      </c>
      <c r="FR36" s="20" t="s">
        <v>749</v>
      </c>
      <c r="FY36" s="20" t="s">
        <v>698</v>
      </c>
      <c r="GC36" s="20" t="s">
        <v>696</v>
      </c>
      <c r="GD36" s="20" t="s">
        <v>698</v>
      </c>
      <c r="GE36" s="20" t="s">
        <v>696</v>
      </c>
      <c r="GH36" s="20" t="s">
        <v>696</v>
      </c>
      <c r="GK36" s="20" t="s">
        <v>698</v>
      </c>
      <c r="GT36" s="20" t="s">
        <v>698</v>
      </c>
      <c r="GU36" s="20" t="s">
        <v>698</v>
      </c>
      <c r="HF36" s="20">
        <v>0</v>
      </c>
      <c r="HG36" s="20">
        <v>0</v>
      </c>
      <c r="HH36" s="20">
        <v>500</v>
      </c>
      <c r="HI36" s="20">
        <v>15000</v>
      </c>
      <c r="HJ36" s="20">
        <v>15000</v>
      </c>
      <c r="HK36" s="20">
        <v>0</v>
      </c>
      <c r="HM36" s="20">
        <v>30500</v>
      </c>
      <c r="HN36" s="20">
        <v>0</v>
      </c>
      <c r="HO36" s="20">
        <v>0</v>
      </c>
      <c r="HP36" s="20">
        <v>0</v>
      </c>
      <c r="HQ36" s="20">
        <v>0</v>
      </c>
      <c r="HR36" s="20">
        <v>20</v>
      </c>
      <c r="HS36" s="20">
        <v>285</v>
      </c>
      <c r="HT36" s="20" t="s">
        <v>750</v>
      </c>
      <c r="HV36" s="24">
        <v>42488</v>
      </c>
      <c r="HW36" s="20" t="s">
        <v>698</v>
      </c>
      <c r="HY36" s="20" t="s">
        <v>723</v>
      </c>
      <c r="HZ36" s="20" t="s">
        <v>698</v>
      </c>
      <c r="IS36" s="20" t="s">
        <v>724</v>
      </c>
      <c r="IT36" s="20" t="s">
        <v>696</v>
      </c>
      <c r="IU36" s="20" t="s">
        <v>696</v>
      </c>
      <c r="IV36" s="20" t="s">
        <v>696</v>
      </c>
      <c r="IW36" s="20" t="s">
        <v>698</v>
      </c>
      <c r="IX36" s="20" t="s">
        <v>698</v>
      </c>
      <c r="IY36" s="20" t="s">
        <v>696</v>
      </c>
      <c r="IZ36" s="20" t="s">
        <v>696</v>
      </c>
      <c r="JA36" s="20" t="s">
        <v>696</v>
      </c>
      <c r="JB36" s="20" t="s">
        <v>698</v>
      </c>
      <c r="JC36" s="20" t="s">
        <v>698</v>
      </c>
      <c r="JD36" s="20" t="s">
        <v>725</v>
      </c>
      <c r="JE36" s="20" t="s">
        <v>726</v>
      </c>
      <c r="JR36" s="20" t="s">
        <v>698</v>
      </c>
      <c r="JS36" s="20" t="s">
        <v>698</v>
      </c>
      <c r="JX36" s="20" t="s">
        <v>833</v>
      </c>
      <c r="JY36" s="20" t="s">
        <v>834</v>
      </c>
      <c r="JZ36" s="20" t="s">
        <v>834</v>
      </c>
      <c r="LD36" s="20" t="s">
        <v>835</v>
      </c>
      <c r="LH36" s="20" t="s">
        <v>696</v>
      </c>
      <c r="LM36" s="20" t="s">
        <v>696</v>
      </c>
      <c r="LP36" s="20" t="s">
        <v>696</v>
      </c>
      <c r="LU36" s="20" t="s">
        <v>698</v>
      </c>
      <c r="LV36" s="20" t="s">
        <v>698</v>
      </c>
      <c r="LW36" s="20" t="s">
        <v>838</v>
      </c>
      <c r="LX36" s="20" t="s">
        <v>838</v>
      </c>
      <c r="SC36" s="20" t="s">
        <v>698</v>
      </c>
      <c r="UO36" s="20" t="s">
        <v>698</v>
      </c>
      <c r="UR36" s="20" t="s">
        <v>698</v>
      </c>
      <c r="UZ36" s="20" t="s">
        <v>698</v>
      </c>
      <c r="XL36" s="20" t="s">
        <v>730</v>
      </c>
      <c r="XM36" s="20" t="s">
        <v>731</v>
      </c>
      <c r="XN36" s="20" t="s">
        <v>732</v>
      </c>
      <c r="XO36" s="20" t="s">
        <v>733</v>
      </c>
      <c r="XQ36" s="24">
        <v>45681</v>
      </c>
      <c r="XU36" s="20" t="s">
        <v>730</v>
      </c>
      <c r="XV36" s="20" t="s">
        <v>733</v>
      </c>
      <c r="XW36" s="20" t="s">
        <v>731</v>
      </c>
      <c r="XX36" s="20" t="s">
        <v>732</v>
      </c>
      <c r="XY36" s="20" t="s">
        <v>1125</v>
      </c>
    </row>
    <row r="37" spans="1:649" ht="15.75" customHeight="1">
      <c r="A37" s="20">
        <v>210</v>
      </c>
      <c r="B37" s="21">
        <v>45576</v>
      </c>
      <c r="C37" s="20">
        <v>2024</v>
      </c>
      <c r="D37" s="20">
        <v>20240241</v>
      </c>
      <c r="E37" s="20">
        <v>40278</v>
      </c>
      <c r="F37" s="20" t="s">
        <v>825</v>
      </c>
      <c r="G37" s="20">
        <v>31888</v>
      </c>
      <c r="H37" s="20" t="s">
        <v>1126</v>
      </c>
      <c r="I37" s="20" t="s">
        <v>692</v>
      </c>
      <c r="J37" s="20" t="s">
        <v>693</v>
      </c>
      <c r="K37" s="20" t="s">
        <v>694</v>
      </c>
      <c r="L37" s="20">
        <v>77002</v>
      </c>
      <c r="M37" s="22">
        <v>45546.447916666664</v>
      </c>
      <c r="N37" s="20" t="s">
        <v>695</v>
      </c>
      <c r="O37" s="20" t="s">
        <v>696</v>
      </c>
      <c r="P37" s="20">
        <v>31.754958999999999</v>
      </c>
      <c r="Q37" s="20">
        <v>-103.065136</v>
      </c>
      <c r="R37" s="20" t="s">
        <v>697</v>
      </c>
      <c r="W37" s="20">
        <v>1.6</v>
      </c>
      <c r="Y37" s="20">
        <v>1.6</v>
      </c>
      <c r="Z37" s="20" t="s">
        <v>698</v>
      </c>
      <c r="AF37" s="20">
        <v>0</v>
      </c>
      <c r="AG37" s="20" t="s">
        <v>698</v>
      </c>
      <c r="AM37" s="20">
        <v>0</v>
      </c>
      <c r="AN37" s="20" t="s">
        <v>699</v>
      </c>
      <c r="AP37" s="20" t="s">
        <v>700</v>
      </c>
      <c r="AQ37" s="23">
        <v>45546.447916666664</v>
      </c>
      <c r="AR37" s="20" t="s">
        <v>701</v>
      </c>
      <c r="AS37" s="20" t="s">
        <v>702</v>
      </c>
      <c r="AT37" s="20" t="s">
        <v>703</v>
      </c>
      <c r="AU37" s="20" t="s">
        <v>696</v>
      </c>
      <c r="AW37" s="23">
        <v>45546.456944444442</v>
      </c>
      <c r="AX37" s="23">
        <v>45546.5</v>
      </c>
      <c r="AZ37" s="20" t="s">
        <v>696</v>
      </c>
      <c r="BA37" s="20" t="s">
        <v>753</v>
      </c>
      <c r="BB37" s="23">
        <v>45546.484722222223</v>
      </c>
      <c r="BC37" s="23">
        <v>45546.456944444442</v>
      </c>
      <c r="BD37" s="23">
        <v>45546.456944444442</v>
      </c>
      <c r="BF37" s="20" t="s">
        <v>754</v>
      </c>
      <c r="BH37" s="20" t="s">
        <v>698</v>
      </c>
      <c r="BV37" s="20" t="s">
        <v>698</v>
      </c>
      <c r="BX37" s="20" t="s">
        <v>698</v>
      </c>
      <c r="CA37" s="20">
        <v>0</v>
      </c>
      <c r="CB37" s="20" t="s">
        <v>1127</v>
      </c>
      <c r="CC37" s="20" t="s">
        <v>1128</v>
      </c>
      <c r="CD37" s="20" t="s">
        <v>694</v>
      </c>
      <c r="CE37" s="20">
        <v>79745</v>
      </c>
      <c r="CF37" s="20" t="s">
        <v>708</v>
      </c>
      <c r="CG37" s="20" t="s">
        <v>1129</v>
      </c>
      <c r="CH37" s="20" t="s">
        <v>784</v>
      </c>
      <c r="CI37" s="20" t="s">
        <v>711</v>
      </c>
      <c r="CJ37" s="20" t="s">
        <v>698</v>
      </c>
      <c r="CK37" s="20" t="s">
        <v>712</v>
      </c>
      <c r="CL37" s="20" t="s">
        <v>713</v>
      </c>
      <c r="CM37" s="20" t="s">
        <v>758</v>
      </c>
      <c r="CP37" s="20" t="s">
        <v>698</v>
      </c>
      <c r="DM37" s="20" t="s">
        <v>715</v>
      </c>
      <c r="DN37" s="20" t="s">
        <v>822</v>
      </c>
      <c r="FK37" s="20" t="s">
        <v>728</v>
      </c>
      <c r="FL37" s="20" t="s">
        <v>728</v>
      </c>
      <c r="FM37" s="20" t="s">
        <v>719</v>
      </c>
      <c r="FO37" s="20" t="s">
        <v>893</v>
      </c>
      <c r="FY37" s="20" t="s">
        <v>698</v>
      </c>
      <c r="GC37" s="20" t="s">
        <v>696</v>
      </c>
      <c r="GD37" s="20" t="s">
        <v>698</v>
      </c>
      <c r="GE37" s="20" t="s">
        <v>696</v>
      </c>
      <c r="GH37" s="20" t="s">
        <v>696</v>
      </c>
      <c r="GK37" s="20" t="s">
        <v>698</v>
      </c>
      <c r="GT37" s="20" t="s">
        <v>698</v>
      </c>
      <c r="GU37" s="20" t="s">
        <v>698</v>
      </c>
      <c r="HF37" s="20">
        <v>0</v>
      </c>
      <c r="HG37" s="20">
        <v>150</v>
      </c>
      <c r="HH37" s="20">
        <v>200</v>
      </c>
      <c r="HI37" s="20">
        <v>800</v>
      </c>
      <c r="HJ37" s="20">
        <v>10000</v>
      </c>
      <c r="HK37" s="20">
        <v>0</v>
      </c>
      <c r="HM37" s="20">
        <v>11150</v>
      </c>
      <c r="HN37" s="20">
        <v>0</v>
      </c>
      <c r="HO37" s="20">
        <v>0</v>
      </c>
      <c r="HP37" s="20">
        <v>0</v>
      </c>
      <c r="HQ37" s="20">
        <v>0</v>
      </c>
      <c r="HR37" s="20">
        <v>5</v>
      </c>
      <c r="HS37" s="20">
        <v>285</v>
      </c>
      <c r="HT37" s="20" t="s">
        <v>943</v>
      </c>
      <c r="HV37" s="24">
        <v>42640</v>
      </c>
      <c r="HW37" s="20" t="s">
        <v>698</v>
      </c>
      <c r="HY37" s="20" t="s">
        <v>723</v>
      </c>
      <c r="HZ37" s="20" t="s">
        <v>698</v>
      </c>
      <c r="IS37" s="20" t="s">
        <v>724</v>
      </c>
      <c r="IT37" s="20" t="s">
        <v>698</v>
      </c>
      <c r="IY37" s="20" t="s">
        <v>698</v>
      </c>
      <c r="JD37" s="20" t="s">
        <v>832</v>
      </c>
      <c r="JR37" s="20" t="s">
        <v>698</v>
      </c>
      <c r="JS37" s="20" t="s">
        <v>698</v>
      </c>
      <c r="JX37" s="20" t="s">
        <v>789</v>
      </c>
      <c r="JY37" s="20" t="s">
        <v>790</v>
      </c>
      <c r="QB37" s="20" t="s">
        <v>790</v>
      </c>
      <c r="QH37" s="20" t="s">
        <v>696</v>
      </c>
      <c r="RK37" s="20" t="s">
        <v>696</v>
      </c>
      <c r="RL37" s="20" t="s">
        <v>1130</v>
      </c>
      <c r="XL37" s="20" t="s">
        <v>730</v>
      </c>
      <c r="XM37" s="20" t="s">
        <v>731</v>
      </c>
      <c r="XN37" s="20" t="s">
        <v>732</v>
      </c>
      <c r="XO37" s="20" t="s">
        <v>733</v>
      </c>
      <c r="XQ37" s="24">
        <v>45630</v>
      </c>
      <c r="XU37" s="20" t="s">
        <v>730</v>
      </c>
      <c r="XV37" s="20" t="s">
        <v>733</v>
      </c>
      <c r="XW37" s="20" t="s">
        <v>731</v>
      </c>
      <c r="XX37" s="20" t="s">
        <v>732</v>
      </c>
      <c r="XY37" s="20" t="s">
        <v>1131</v>
      </c>
    </row>
    <row r="38" spans="1:649" ht="15.75" customHeight="1">
      <c r="A38" s="20">
        <v>211</v>
      </c>
      <c r="B38" s="21">
        <v>45576</v>
      </c>
      <c r="C38" s="20">
        <v>2024</v>
      </c>
      <c r="D38" s="20">
        <v>20240243</v>
      </c>
      <c r="E38" s="20">
        <v>40098</v>
      </c>
      <c r="F38" s="20" t="s">
        <v>825</v>
      </c>
      <c r="G38" s="20">
        <v>39706</v>
      </c>
      <c r="H38" s="20" t="s">
        <v>817</v>
      </c>
      <c r="I38" s="20" t="s">
        <v>692</v>
      </c>
      <c r="J38" s="20" t="s">
        <v>693</v>
      </c>
      <c r="K38" s="20" t="s">
        <v>694</v>
      </c>
      <c r="L38" s="20">
        <v>77002</v>
      </c>
      <c r="M38" s="22">
        <v>45546.208333333336</v>
      </c>
      <c r="N38" s="20" t="s">
        <v>695</v>
      </c>
      <c r="O38" s="20" t="s">
        <v>696</v>
      </c>
      <c r="P38" s="20">
        <v>30.001325000000001</v>
      </c>
      <c r="Q38" s="20">
        <v>-93.992525000000001</v>
      </c>
      <c r="R38" s="20" t="s">
        <v>697</v>
      </c>
      <c r="W38" s="20">
        <v>100</v>
      </c>
      <c r="Y38" s="20">
        <v>100</v>
      </c>
      <c r="Z38" s="20" t="s">
        <v>698</v>
      </c>
      <c r="AF38" s="20">
        <v>0</v>
      </c>
      <c r="AG38" s="20" t="s">
        <v>698</v>
      </c>
      <c r="AM38" s="20">
        <v>0</v>
      </c>
      <c r="AN38" s="20" t="s">
        <v>699</v>
      </c>
      <c r="AP38" s="20" t="s">
        <v>1013</v>
      </c>
      <c r="AQ38" s="23">
        <v>45546.208333333336</v>
      </c>
      <c r="AR38" s="20" t="s">
        <v>736</v>
      </c>
      <c r="AS38" s="20" t="s">
        <v>702</v>
      </c>
      <c r="AT38" s="20" t="s">
        <v>703</v>
      </c>
      <c r="AU38" s="20" t="s">
        <v>696</v>
      </c>
      <c r="AW38" s="23">
        <v>45546.208333333336</v>
      </c>
      <c r="AX38" s="23">
        <v>45546.25</v>
      </c>
      <c r="AZ38" s="20" t="s">
        <v>698</v>
      </c>
      <c r="BC38" s="23">
        <v>45546.208333333336</v>
      </c>
      <c r="BD38" s="23">
        <v>45546.208333333336</v>
      </c>
      <c r="BE38" s="23">
        <v>45546.308333333334</v>
      </c>
      <c r="BF38" s="20">
        <v>1410452</v>
      </c>
      <c r="BG38" s="20">
        <v>1411792</v>
      </c>
      <c r="BH38" s="20" t="s">
        <v>698</v>
      </c>
      <c r="BV38" s="20" t="s">
        <v>696</v>
      </c>
      <c r="BW38" s="23">
        <v>45546.216666666667</v>
      </c>
      <c r="BX38" s="20" t="s">
        <v>698</v>
      </c>
      <c r="CA38" s="20">
        <v>0</v>
      </c>
      <c r="CB38" s="20" t="s">
        <v>818</v>
      </c>
      <c r="CC38" s="20" t="s">
        <v>819</v>
      </c>
      <c r="CD38" s="20" t="s">
        <v>694</v>
      </c>
      <c r="CE38" s="20">
        <v>77627</v>
      </c>
      <c r="CF38" s="20" t="s">
        <v>820</v>
      </c>
      <c r="CG38" s="20" t="s">
        <v>821</v>
      </c>
      <c r="CH38" s="20" t="s">
        <v>710</v>
      </c>
      <c r="CI38" s="20" t="s">
        <v>711</v>
      </c>
      <c r="CJ38" s="20" t="s">
        <v>698</v>
      </c>
      <c r="CK38" s="20" t="s">
        <v>712</v>
      </c>
      <c r="CL38" s="20" t="s">
        <v>713</v>
      </c>
      <c r="CM38" s="20" t="s">
        <v>758</v>
      </c>
      <c r="CP38" s="20" t="s">
        <v>698</v>
      </c>
      <c r="DM38" s="20" t="s">
        <v>743</v>
      </c>
      <c r="DN38" s="20" t="s">
        <v>822</v>
      </c>
      <c r="FK38" s="20">
        <v>2016</v>
      </c>
      <c r="FL38" s="20">
        <v>2016</v>
      </c>
      <c r="FM38" s="20" t="s">
        <v>719</v>
      </c>
      <c r="FO38" s="20" t="s">
        <v>720</v>
      </c>
      <c r="FR38" s="20" t="s">
        <v>768</v>
      </c>
      <c r="FY38" s="20" t="s">
        <v>698</v>
      </c>
      <c r="GC38" s="20" t="s">
        <v>696</v>
      </c>
      <c r="GD38" s="20" t="s">
        <v>698</v>
      </c>
      <c r="GE38" s="20" t="s">
        <v>696</v>
      </c>
      <c r="GH38" s="20" t="s">
        <v>696</v>
      </c>
      <c r="GK38" s="20" t="s">
        <v>698</v>
      </c>
      <c r="GT38" s="20" t="s">
        <v>696</v>
      </c>
      <c r="GU38" s="20" t="s">
        <v>696</v>
      </c>
      <c r="GX38" s="20" t="s">
        <v>696</v>
      </c>
      <c r="GY38" s="20" t="s">
        <v>696</v>
      </c>
      <c r="HF38" s="20">
        <v>0</v>
      </c>
      <c r="HG38" s="20">
        <v>10000</v>
      </c>
      <c r="HH38" s="20">
        <v>6500</v>
      </c>
      <c r="HI38" s="20">
        <v>7000</v>
      </c>
      <c r="HJ38" s="20">
        <v>300000</v>
      </c>
      <c r="HK38" s="20">
        <v>0</v>
      </c>
      <c r="HM38" s="20">
        <v>323500</v>
      </c>
      <c r="HN38" s="20">
        <v>0</v>
      </c>
      <c r="HO38" s="20">
        <v>0</v>
      </c>
      <c r="HP38" s="20">
        <v>0</v>
      </c>
      <c r="HQ38" s="20">
        <v>0</v>
      </c>
      <c r="HR38" s="20">
        <v>147</v>
      </c>
      <c r="HS38" s="20">
        <v>290</v>
      </c>
      <c r="HT38" s="20" t="s">
        <v>787</v>
      </c>
      <c r="HV38" s="24">
        <v>42726</v>
      </c>
      <c r="HW38" s="20" t="s">
        <v>698</v>
      </c>
      <c r="HY38" s="20" t="s">
        <v>723</v>
      </c>
      <c r="HZ38" s="20" t="s">
        <v>698</v>
      </c>
      <c r="IS38" s="20" t="s">
        <v>724</v>
      </c>
      <c r="IT38" s="20" t="s">
        <v>696</v>
      </c>
      <c r="IU38" s="20" t="s">
        <v>696</v>
      </c>
      <c r="IV38" s="20" t="s">
        <v>696</v>
      </c>
      <c r="IW38" s="20" t="s">
        <v>698</v>
      </c>
      <c r="IX38" s="20" t="s">
        <v>698</v>
      </c>
      <c r="IY38" s="20" t="s">
        <v>696</v>
      </c>
      <c r="IZ38" s="20" t="s">
        <v>696</v>
      </c>
      <c r="JA38" s="20" t="s">
        <v>696</v>
      </c>
      <c r="JB38" s="20" t="s">
        <v>698</v>
      </c>
      <c r="JC38" s="20" t="s">
        <v>698</v>
      </c>
      <c r="JD38" s="20" t="s">
        <v>725</v>
      </c>
      <c r="JE38" s="20" t="s">
        <v>726</v>
      </c>
      <c r="JR38" s="20" t="s">
        <v>698</v>
      </c>
      <c r="JS38" s="20" t="s">
        <v>698</v>
      </c>
      <c r="JX38" s="20" t="s">
        <v>789</v>
      </c>
      <c r="JY38" s="20" t="s">
        <v>790</v>
      </c>
      <c r="QB38" s="20" t="s">
        <v>790</v>
      </c>
      <c r="QI38" s="20" t="s">
        <v>696</v>
      </c>
      <c r="RK38" s="20" t="s">
        <v>696</v>
      </c>
      <c r="RL38" s="20" t="s">
        <v>1132</v>
      </c>
      <c r="XH38" s="20" t="s">
        <v>696</v>
      </c>
      <c r="XL38" s="20" t="s">
        <v>730</v>
      </c>
      <c r="XM38" s="20" t="s">
        <v>731</v>
      </c>
      <c r="XN38" s="20" t="s">
        <v>732</v>
      </c>
      <c r="XO38" s="20" t="s">
        <v>733</v>
      </c>
      <c r="XQ38" s="24">
        <v>45576</v>
      </c>
      <c r="XU38" s="20" t="s">
        <v>730</v>
      </c>
      <c r="XV38" s="20" t="s">
        <v>733</v>
      </c>
      <c r="XW38" s="20" t="s">
        <v>731</v>
      </c>
      <c r="XX38" s="20" t="s">
        <v>732</v>
      </c>
      <c r="XY38" s="20" t="s">
        <v>1133</v>
      </c>
    </row>
    <row r="39" spans="1:649" ht="15.75" customHeight="1">
      <c r="A39" s="20">
        <v>212</v>
      </c>
      <c r="B39" s="21">
        <v>45569</v>
      </c>
      <c r="C39" s="20">
        <v>2024</v>
      </c>
      <c r="D39" s="20">
        <v>20240235</v>
      </c>
      <c r="E39" s="20">
        <v>40070</v>
      </c>
      <c r="F39" s="20" t="s">
        <v>840</v>
      </c>
      <c r="G39" s="20">
        <v>31888</v>
      </c>
      <c r="H39" s="20" t="s">
        <v>1126</v>
      </c>
      <c r="I39" s="20" t="s">
        <v>692</v>
      </c>
      <c r="J39" s="20" t="s">
        <v>693</v>
      </c>
      <c r="K39" s="20" t="s">
        <v>694</v>
      </c>
      <c r="L39" s="20">
        <v>77002</v>
      </c>
      <c r="M39" s="22">
        <v>45541.291666666664</v>
      </c>
      <c r="N39" s="20" t="s">
        <v>695</v>
      </c>
      <c r="O39" s="20" t="s">
        <v>696</v>
      </c>
      <c r="P39" s="20">
        <v>32.68873</v>
      </c>
      <c r="Q39" s="20">
        <v>-102.64766</v>
      </c>
      <c r="R39" s="20" t="s">
        <v>697</v>
      </c>
      <c r="W39" s="20">
        <v>2</v>
      </c>
      <c r="Y39" s="20">
        <v>2</v>
      </c>
      <c r="Z39" s="20" t="s">
        <v>698</v>
      </c>
      <c r="AF39" s="20">
        <v>0</v>
      </c>
      <c r="AG39" s="20" t="s">
        <v>698</v>
      </c>
      <c r="AM39" s="20">
        <v>0</v>
      </c>
      <c r="AN39" s="20" t="s">
        <v>699</v>
      </c>
      <c r="AP39" s="20" t="s">
        <v>700</v>
      </c>
      <c r="AQ39" s="23">
        <v>45541.32708333333</v>
      </c>
      <c r="AR39" s="20" t="s">
        <v>701</v>
      </c>
      <c r="AS39" s="20" t="s">
        <v>702</v>
      </c>
      <c r="AT39" s="20" t="s">
        <v>703</v>
      </c>
      <c r="AU39" s="20" t="s">
        <v>696</v>
      </c>
      <c r="AW39" s="23">
        <v>45541.32708333333</v>
      </c>
      <c r="AX39" s="23">
        <v>45541.625</v>
      </c>
      <c r="AZ39" s="20" t="s">
        <v>696</v>
      </c>
      <c r="BA39" s="20" t="s">
        <v>753</v>
      </c>
      <c r="BB39" s="23">
        <v>45541.34652777778</v>
      </c>
      <c r="BC39" s="23">
        <v>45541.32708333333</v>
      </c>
      <c r="BD39" s="23">
        <v>45541.32708333333</v>
      </c>
      <c r="BF39" s="20" t="s">
        <v>754</v>
      </c>
      <c r="BH39" s="20" t="s">
        <v>698</v>
      </c>
      <c r="BV39" s="20" t="s">
        <v>696</v>
      </c>
      <c r="BW39" s="23">
        <v>45541.333333333336</v>
      </c>
      <c r="BX39" s="20" t="s">
        <v>698</v>
      </c>
      <c r="CA39" s="20">
        <v>0</v>
      </c>
      <c r="CB39" s="20" t="s">
        <v>1134</v>
      </c>
      <c r="CC39" s="20" t="s">
        <v>1135</v>
      </c>
      <c r="CD39" s="20" t="s">
        <v>694</v>
      </c>
      <c r="CE39" s="20">
        <v>79360</v>
      </c>
      <c r="CF39" s="20" t="s">
        <v>1136</v>
      </c>
      <c r="CG39" s="20" t="s">
        <v>1137</v>
      </c>
      <c r="CH39" s="20" t="s">
        <v>784</v>
      </c>
      <c r="CI39" s="20" t="s">
        <v>711</v>
      </c>
      <c r="CJ39" s="20" t="s">
        <v>698</v>
      </c>
      <c r="CK39" s="20" t="s">
        <v>712</v>
      </c>
      <c r="CL39" s="20" t="s">
        <v>741</v>
      </c>
      <c r="CM39" s="20" t="s">
        <v>742</v>
      </c>
      <c r="CO39" s="20">
        <v>20</v>
      </c>
      <c r="CP39" s="20" t="s">
        <v>698</v>
      </c>
      <c r="DM39" s="20" t="s">
        <v>715</v>
      </c>
      <c r="DN39" s="20" t="s">
        <v>892</v>
      </c>
      <c r="FK39" s="20" t="s">
        <v>728</v>
      </c>
      <c r="FL39" s="20" t="s">
        <v>728</v>
      </c>
      <c r="FM39" s="20" t="s">
        <v>719</v>
      </c>
      <c r="FO39" s="20" t="s">
        <v>720</v>
      </c>
      <c r="FR39" s="20" t="s">
        <v>749</v>
      </c>
      <c r="FY39" s="20" t="s">
        <v>698</v>
      </c>
      <c r="GC39" s="20" t="s">
        <v>696</v>
      </c>
      <c r="GD39" s="20" t="s">
        <v>698</v>
      </c>
      <c r="GE39" s="20" t="s">
        <v>696</v>
      </c>
      <c r="GH39" s="20" t="s">
        <v>696</v>
      </c>
      <c r="GK39" s="20" t="s">
        <v>698</v>
      </c>
      <c r="GT39" s="20" t="s">
        <v>698</v>
      </c>
      <c r="GU39" s="20" t="s">
        <v>698</v>
      </c>
      <c r="HF39" s="20">
        <v>0</v>
      </c>
      <c r="HG39" s="20">
        <v>0</v>
      </c>
      <c r="HH39" s="20">
        <v>2000</v>
      </c>
      <c r="HI39" s="20">
        <v>2000</v>
      </c>
      <c r="HJ39" s="20">
        <v>1000</v>
      </c>
      <c r="HK39" s="20">
        <v>0</v>
      </c>
      <c r="HM39" s="20">
        <v>5000</v>
      </c>
      <c r="HN39" s="20">
        <v>0</v>
      </c>
      <c r="HO39" s="20">
        <v>0</v>
      </c>
      <c r="HP39" s="20">
        <v>0</v>
      </c>
      <c r="HQ39" s="20">
        <v>0</v>
      </c>
      <c r="HR39" s="20">
        <v>40</v>
      </c>
      <c r="HS39" s="20">
        <v>275</v>
      </c>
      <c r="HT39" s="20" t="s">
        <v>750</v>
      </c>
      <c r="HV39" s="24">
        <v>41407</v>
      </c>
      <c r="HW39" s="20" t="s">
        <v>698</v>
      </c>
      <c r="HY39" s="20" t="s">
        <v>723</v>
      </c>
      <c r="HZ39" s="20" t="s">
        <v>698</v>
      </c>
      <c r="IS39" s="20" t="s">
        <v>808</v>
      </c>
      <c r="IT39" s="20" t="s">
        <v>696</v>
      </c>
      <c r="IU39" s="20" t="s">
        <v>696</v>
      </c>
      <c r="IV39" s="20" t="s">
        <v>696</v>
      </c>
      <c r="IW39" s="20" t="s">
        <v>698</v>
      </c>
      <c r="IX39" s="20" t="s">
        <v>698</v>
      </c>
      <c r="IY39" s="20" t="s">
        <v>698</v>
      </c>
      <c r="JD39" s="20" t="s">
        <v>725</v>
      </c>
      <c r="JE39" s="20" t="s">
        <v>726</v>
      </c>
      <c r="JR39" s="20" t="s">
        <v>698</v>
      </c>
      <c r="JS39" s="20" t="s">
        <v>698</v>
      </c>
      <c r="JX39" s="20" t="s">
        <v>727</v>
      </c>
      <c r="JY39" s="20" t="s">
        <v>728</v>
      </c>
      <c r="RY39" s="20" t="s">
        <v>728</v>
      </c>
      <c r="SA39" s="20" t="s">
        <v>729</v>
      </c>
      <c r="XL39" s="20" t="s">
        <v>730</v>
      </c>
      <c r="XM39" s="20" t="s">
        <v>731</v>
      </c>
      <c r="XN39" s="20" t="s">
        <v>732</v>
      </c>
      <c r="XO39" s="20" t="s">
        <v>733</v>
      </c>
      <c r="XQ39" s="24">
        <v>45569</v>
      </c>
      <c r="XU39" s="20" t="s">
        <v>730</v>
      </c>
      <c r="XV39" s="20" t="s">
        <v>733</v>
      </c>
      <c r="XW39" s="20" t="s">
        <v>731</v>
      </c>
      <c r="XX39" s="20" t="s">
        <v>732</v>
      </c>
      <c r="XY39" s="20" t="s">
        <v>1138</v>
      </c>
    </row>
    <row r="40" spans="1:649" ht="15.75" customHeight="1">
      <c r="A40" s="20">
        <v>218</v>
      </c>
      <c r="B40" s="21">
        <v>45561</v>
      </c>
      <c r="C40" s="20">
        <v>2024</v>
      </c>
      <c r="D40" s="20">
        <v>20240229</v>
      </c>
      <c r="E40" s="20">
        <v>40040</v>
      </c>
      <c r="F40" s="20" t="s">
        <v>690</v>
      </c>
      <c r="G40" s="20">
        <v>32099</v>
      </c>
      <c r="H40" s="20" t="s">
        <v>752</v>
      </c>
      <c r="I40" s="20" t="s">
        <v>692</v>
      </c>
      <c r="J40" s="20" t="s">
        <v>693</v>
      </c>
      <c r="K40" s="20" t="s">
        <v>694</v>
      </c>
      <c r="L40" s="20">
        <v>77002</v>
      </c>
      <c r="M40" s="22">
        <v>45533.864583333336</v>
      </c>
      <c r="N40" s="20" t="s">
        <v>695</v>
      </c>
      <c r="O40" s="20" t="s">
        <v>696</v>
      </c>
      <c r="P40" s="20">
        <v>31.584060999999998</v>
      </c>
      <c r="Q40" s="20">
        <v>-94.815932000000004</v>
      </c>
      <c r="R40" s="20" t="s">
        <v>697</v>
      </c>
      <c r="W40" s="20">
        <v>1.9</v>
      </c>
      <c r="Y40" s="20">
        <v>1.9</v>
      </c>
      <c r="Z40" s="20" t="s">
        <v>698</v>
      </c>
      <c r="AF40" s="20">
        <v>0</v>
      </c>
      <c r="AG40" s="20" t="s">
        <v>698</v>
      </c>
      <c r="AM40" s="20">
        <v>0</v>
      </c>
      <c r="AN40" s="20" t="s">
        <v>775</v>
      </c>
      <c r="AQ40" s="23">
        <v>45533.864583333336</v>
      </c>
      <c r="AR40" s="20" t="s">
        <v>776</v>
      </c>
      <c r="AS40" s="20" t="s">
        <v>702</v>
      </c>
      <c r="AT40" s="20" t="s">
        <v>703</v>
      </c>
      <c r="AU40" s="20" t="s">
        <v>696</v>
      </c>
      <c r="AW40" s="23">
        <v>45533.869444444441</v>
      </c>
      <c r="AX40" s="23">
        <v>45534.75</v>
      </c>
      <c r="AZ40" s="20" t="s">
        <v>696</v>
      </c>
      <c r="BA40" s="20" t="s">
        <v>753</v>
      </c>
      <c r="BB40" s="23">
        <v>45534.339583333334</v>
      </c>
      <c r="BC40" s="23">
        <v>45533.895833333336</v>
      </c>
      <c r="BD40" s="23">
        <v>45534.020833333336</v>
      </c>
      <c r="BE40" s="23">
        <v>45534.049305555556</v>
      </c>
      <c r="BF40" s="20">
        <v>1409437</v>
      </c>
      <c r="BG40" s="20">
        <v>1409548</v>
      </c>
      <c r="BH40" s="20" t="s">
        <v>698</v>
      </c>
      <c r="BN40" s="20" t="s">
        <v>777</v>
      </c>
      <c r="BP40" s="23">
        <v>45533.870138888888</v>
      </c>
      <c r="BQ40" s="20" t="s">
        <v>798</v>
      </c>
      <c r="BR40" s="20" t="s">
        <v>777</v>
      </c>
      <c r="BT40" s="23">
        <v>45533.872916666667</v>
      </c>
      <c r="BU40" s="20" t="s">
        <v>798</v>
      </c>
      <c r="BV40" s="20" t="s">
        <v>696</v>
      </c>
      <c r="BW40" s="23">
        <v>45533.869444444441</v>
      </c>
      <c r="BX40" s="20" t="s">
        <v>696</v>
      </c>
      <c r="BY40" s="23">
        <v>45533.9375</v>
      </c>
      <c r="BZ40" s="23">
        <v>45534.020833333336</v>
      </c>
      <c r="CA40" s="20">
        <v>0</v>
      </c>
      <c r="CB40" s="20" t="s">
        <v>1021</v>
      </c>
      <c r="CC40" s="20" t="s">
        <v>1139</v>
      </c>
      <c r="CD40" s="20" t="s">
        <v>694</v>
      </c>
      <c r="CE40" s="20">
        <v>75964</v>
      </c>
      <c r="CF40" s="20" t="s">
        <v>1140</v>
      </c>
      <c r="CG40" s="20" t="s">
        <v>1140</v>
      </c>
      <c r="CH40" s="20" t="s">
        <v>784</v>
      </c>
      <c r="CI40" s="20">
        <v>130.04</v>
      </c>
      <c r="CJ40" s="20" t="s">
        <v>698</v>
      </c>
      <c r="CK40" s="20" t="s">
        <v>785</v>
      </c>
      <c r="CL40" s="20" t="s">
        <v>741</v>
      </c>
      <c r="CM40" s="20" t="s">
        <v>742</v>
      </c>
      <c r="CO40" s="20">
        <v>24</v>
      </c>
      <c r="CP40" s="20" t="s">
        <v>698</v>
      </c>
      <c r="DM40" s="20" t="s">
        <v>715</v>
      </c>
      <c r="DN40" s="20" t="s">
        <v>1141</v>
      </c>
      <c r="DQ40" s="20">
        <v>10</v>
      </c>
      <c r="DR40" s="20">
        <v>0.307</v>
      </c>
      <c r="DS40" s="20">
        <v>35000</v>
      </c>
      <c r="DT40" s="20" t="s">
        <v>746</v>
      </c>
      <c r="DU40" s="20" t="s">
        <v>926</v>
      </c>
      <c r="DW40" s="20" t="s">
        <v>728</v>
      </c>
      <c r="DX40" s="20" t="s">
        <v>805</v>
      </c>
      <c r="DZ40" s="20" t="s">
        <v>696</v>
      </c>
      <c r="EA40" s="20" t="s">
        <v>1142</v>
      </c>
      <c r="EC40" s="20" t="s">
        <v>698</v>
      </c>
      <c r="FK40" s="20">
        <v>1931</v>
      </c>
      <c r="FL40" s="20" t="s">
        <v>728</v>
      </c>
      <c r="FM40" s="20" t="s">
        <v>719</v>
      </c>
      <c r="FO40" s="20" t="s">
        <v>720</v>
      </c>
      <c r="FR40" s="20" t="s">
        <v>749</v>
      </c>
      <c r="FY40" s="20" t="s">
        <v>698</v>
      </c>
      <c r="GC40" s="20" t="s">
        <v>696</v>
      </c>
      <c r="GD40" s="20" t="s">
        <v>698</v>
      </c>
      <c r="GE40" s="20" t="s">
        <v>696</v>
      </c>
      <c r="GF40" s="20" t="s">
        <v>696</v>
      </c>
      <c r="GH40" s="20" t="s">
        <v>696</v>
      </c>
      <c r="GK40" s="20" t="s">
        <v>696</v>
      </c>
      <c r="GM40" s="20" t="s">
        <v>696</v>
      </c>
      <c r="GR40" s="20">
        <v>1.9</v>
      </c>
      <c r="GS40" s="20" t="s">
        <v>1143</v>
      </c>
      <c r="GT40" s="20" t="s">
        <v>698</v>
      </c>
      <c r="GU40" s="20" t="s">
        <v>698</v>
      </c>
      <c r="HF40" s="20">
        <v>3000</v>
      </c>
      <c r="HG40" s="20">
        <v>138</v>
      </c>
      <c r="HH40" s="20">
        <v>12000</v>
      </c>
      <c r="HI40" s="20">
        <v>40000</v>
      </c>
      <c r="HJ40" s="20">
        <v>1500</v>
      </c>
      <c r="HK40" s="20">
        <v>0</v>
      </c>
      <c r="HM40" s="20">
        <v>56638</v>
      </c>
      <c r="HN40" s="20">
        <v>0</v>
      </c>
      <c r="HO40" s="20">
        <v>0</v>
      </c>
      <c r="HP40" s="20">
        <v>0</v>
      </c>
      <c r="HQ40" s="20">
        <v>0</v>
      </c>
      <c r="HR40" s="20">
        <v>320</v>
      </c>
      <c r="HS40" s="20">
        <v>1000</v>
      </c>
      <c r="HT40" s="20" t="s">
        <v>787</v>
      </c>
      <c r="HV40" s="24">
        <v>45051</v>
      </c>
      <c r="HW40" s="20" t="s">
        <v>698</v>
      </c>
      <c r="HY40" s="20" t="s">
        <v>723</v>
      </c>
      <c r="HZ40" s="20" t="s">
        <v>698</v>
      </c>
      <c r="IC40" s="20">
        <v>31152</v>
      </c>
      <c r="ID40" s="20" t="s">
        <v>696</v>
      </c>
      <c r="IL40" s="20" t="s">
        <v>698</v>
      </c>
      <c r="IS40" s="20" t="s">
        <v>724</v>
      </c>
      <c r="IT40" s="20" t="s">
        <v>696</v>
      </c>
      <c r="IU40" s="20" t="s">
        <v>696</v>
      </c>
      <c r="IV40" s="20" t="s">
        <v>696</v>
      </c>
      <c r="IW40" s="20" t="s">
        <v>698</v>
      </c>
      <c r="IX40" s="20" t="s">
        <v>698</v>
      </c>
      <c r="IY40" s="20" t="s">
        <v>696</v>
      </c>
      <c r="IZ40" s="20" t="s">
        <v>696</v>
      </c>
      <c r="JA40" s="20" t="s">
        <v>696</v>
      </c>
      <c r="JB40" s="20" t="s">
        <v>698</v>
      </c>
      <c r="JC40" s="20" t="s">
        <v>698</v>
      </c>
      <c r="JD40" s="20" t="s">
        <v>725</v>
      </c>
      <c r="JE40" s="20" t="s">
        <v>726</v>
      </c>
      <c r="JR40" s="20" t="s">
        <v>698</v>
      </c>
      <c r="JS40" s="20" t="s">
        <v>698</v>
      </c>
      <c r="JX40" s="20" t="s">
        <v>727</v>
      </c>
      <c r="JY40" s="20" t="s">
        <v>728</v>
      </c>
      <c r="RY40" s="20" t="s">
        <v>728</v>
      </c>
      <c r="SA40" s="20" t="s">
        <v>729</v>
      </c>
      <c r="XL40" s="20" t="s">
        <v>730</v>
      </c>
      <c r="XM40" s="20" t="s">
        <v>731</v>
      </c>
      <c r="XN40" s="20" t="s">
        <v>732</v>
      </c>
      <c r="XO40" s="20" t="s">
        <v>733</v>
      </c>
      <c r="XQ40" s="24">
        <v>45561</v>
      </c>
      <c r="XU40" s="20" t="s">
        <v>730</v>
      </c>
      <c r="XV40" s="20" t="s">
        <v>733</v>
      </c>
      <c r="XW40" s="20" t="s">
        <v>731</v>
      </c>
      <c r="XX40" s="20" t="s">
        <v>732</v>
      </c>
      <c r="XY40" s="20" t="s">
        <v>1144</v>
      </c>
    </row>
    <row r="41" spans="1:649" ht="15.75" customHeight="1">
      <c r="A41" s="20">
        <v>219</v>
      </c>
      <c r="B41" s="21">
        <v>45561</v>
      </c>
      <c r="C41" s="20">
        <v>2024</v>
      </c>
      <c r="D41" s="20">
        <v>20240230</v>
      </c>
      <c r="E41" s="20">
        <v>40443</v>
      </c>
      <c r="F41" s="20" t="s">
        <v>825</v>
      </c>
      <c r="G41" s="20">
        <v>32099</v>
      </c>
      <c r="H41" s="20" t="s">
        <v>752</v>
      </c>
      <c r="I41" s="20" t="s">
        <v>692</v>
      </c>
      <c r="J41" s="20" t="s">
        <v>693</v>
      </c>
      <c r="K41" s="20" t="s">
        <v>694</v>
      </c>
      <c r="L41" s="20">
        <v>77002</v>
      </c>
      <c r="M41" s="22">
        <v>45533.770833333336</v>
      </c>
      <c r="N41" s="20" t="s">
        <v>695</v>
      </c>
      <c r="O41" s="20" t="s">
        <v>696</v>
      </c>
      <c r="P41" s="20">
        <v>31.790901999999999</v>
      </c>
      <c r="Q41" s="20">
        <v>-100.06370200000001</v>
      </c>
      <c r="R41" s="20" t="s">
        <v>697</v>
      </c>
      <c r="W41" s="20">
        <v>225</v>
      </c>
      <c r="Y41" s="20">
        <v>225</v>
      </c>
      <c r="Z41" s="20" t="s">
        <v>698</v>
      </c>
      <c r="AF41" s="20">
        <v>0</v>
      </c>
      <c r="AG41" s="20" t="s">
        <v>698</v>
      </c>
      <c r="AM41" s="20">
        <v>0</v>
      </c>
      <c r="AN41" s="20" t="s">
        <v>775</v>
      </c>
      <c r="AQ41" s="23">
        <v>45533.770833333336</v>
      </c>
      <c r="AR41" s="20" t="s">
        <v>776</v>
      </c>
      <c r="AS41" s="20" t="s">
        <v>702</v>
      </c>
      <c r="AT41" s="20" t="s">
        <v>703</v>
      </c>
      <c r="AU41" s="20" t="s">
        <v>696</v>
      </c>
      <c r="AW41" s="23">
        <v>45533.78125</v>
      </c>
      <c r="AX41" s="23">
        <v>45534.541666666664</v>
      </c>
      <c r="AZ41" s="20" t="s">
        <v>698</v>
      </c>
      <c r="BC41" s="23">
        <v>45533.791666666664</v>
      </c>
      <c r="BD41" s="23">
        <v>45533.854166666664</v>
      </c>
      <c r="BE41" s="23">
        <v>45533.959722222222</v>
      </c>
      <c r="BF41" s="20">
        <v>1409432</v>
      </c>
      <c r="BG41" s="20">
        <v>1409569</v>
      </c>
      <c r="BH41" s="20" t="s">
        <v>698</v>
      </c>
      <c r="BN41" s="20" t="s">
        <v>777</v>
      </c>
      <c r="BP41" s="23">
        <v>45533.781944444447</v>
      </c>
      <c r="BQ41" s="20" t="s">
        <v>798</v>
      </c>
      <c r="BR41" s="20" t="s">
        <v>777</v>
      </c>
      <c r="BT41" s="23">
        <v>45533.782638888886</v>
      </c>
      <c r="BU41" s="20" t="s">
        <v>798</v>
      </c>
      <c r="BV41" s="20" t="s">
        <v>696</v>
      </c>
      <c r="BW41" s="23">
        <v>45533.779861111114</v>
      </c>
      <c r="BX41" s="20" t="s">
        <v>698</v>
      </c>
      <c r="CA41" s="20">
        <v>0</v>
      </c>
      <c r="CB41" s="20" t="s">
        <v>1145</v>
      </c>
      <c r="CC41" s="20" t="s">
        <v>1146</v>
      </c>
      <c r="CD41" s="20" t="s">
        <v>694</v>
      </c>
      <c r="CE41" s="20">
        <v>76821</v>
      </c>
      <c r="CF41" s="20" t="s">
        <v>1147</v>
      </c>
      <c r="CG41" s="20" t="s">
        <v>1148</v>
      </c>
      <c r="CH41" s="20" t="s">
        <v>710</v>
      </c>
      <c r="CI41" s="20">
        <v>79450.399999999994</v>
      </c>
      <c r="CJ41" s="20" t="s">
        <v>698</v>
      </c>
      <c r="CK41" s="20" t="s">
        <v>785</v>
      </c>
      <c r="CL41" s="20" t="s">
        <v>741</v>
      </c>
      <c r="CM41" s="20" t="s">
        <v>742</v>
      </c>
      <c r="CO41" s="20">
        <v>48</v>
      </c>
      <c r="CP41" s="20" t="s">
        <v>698</v>
      </c>
      <c r="DM41" s="20" t="s">
        <v>743</v>
      </c>
      <c r="DN41" s="20" t="s">
        <v>744</v>
      </c>
      <c r="DO41" s="20" t="s">
        <v>745</v>
      </c>
      <c r="DP41" s="20" t="s">
        <v>698</v>
      </c>
      <c r="DQ41" s="20">
        <v>10</v>
      </c>
      <c r="DR41" s="20">
        <v>0.307</v>
      </c>
      <c r="DS41" s="20">
        <v>35000</v>
      </c>
      <c r="DT41" s="20" t="s">
        <v>1024</v>
      </c>
      <c r="DU41" s="20" t="s">
        <v>926</v>
      </c>
      <c r="DW41" s="20" t="s">
        <v>728</v>
      </c>
      <c r="DX41" s="20" t="s">
        <v>928</v>
      </c>
      <c r="DZ41" s="20" t="s">
        <v>696</v>
      </c>
      <c r="FK41" s="20">
        <v>1928</v>
      </c>
      <c r="FL41" s="20" t="s">
        <v>728</v>
      </c>
      <c r="FM41" s="20" t="s">
        <v>719</v>
      </c>
      <c r="FO41" s="20" t="s">
        <v>720</v>
      </c>
      <c r="FR41" s="20" t="s">
        <v>749</v>
      </c>
      <c r="FY41" s="20" t="s">
        <v>698</v>
      </c>
      <c r="GC41" s="20" t="s">
        <v>696</v>
      </c>
      <c r="GD41" s="20" t="s">
        <v>698</v>
      </c>
      <c r="GE41" s="20" t="s">
        <v>696</v>
      </c>
      <c r="GH41" s="20" t="s">
        <v>696</v>
      </c>
      <c r="GK41" s="20" t="s">
        <v>698</v>
      </c>
      <c r="GT41" s="20" t="s">
        <v>698</v>
      </c>
      <c r="GU41" s="20" t="s">
        <v>698</v>
      </c>
      <c r="HF41" s="20">
        <v>10000</v>
      </c>
      <c r="HG41" s="20">
        <v>16875</v>
      </c>
      <c r="HH41" s="20">
        <v>123643</v>
      </c>
      <c r="HI41" s="20">
        <v>22000</v>
      </c>
      <c r="HJ41" s="20">
        <v>150000</v>
      </c>
      <c r="HK41" s="20">
        <v>0</v>
      </c>
      <c r="HM41" s="20">
        <v>322518</v>
      </c>
      <c r="HN41" s="20">
        <v>0</v>
      </c>
      <c r="HO41" s="20">
        <v>0</v>
      </c>
      <c r="HP41" s="20">
        <v>0</v>
      </c>
      <c r="HQ41" s="20">
        <v>0</v>
      </c>
      <c r="HR41" s="20">
        <v>573</v>
      </c>
      <c r="HS41" s="20">
        <v>1067</v>
      </c>
      <c r="HT41" s="20" t="s">
        <v>787</v>
      </c>
      <c r="HV41" s="24">
        <v>32444</v>
      </c>
      <c r="HW41" s="20" t="s">
        <v>698</v>
      </c>
      <c r="HY41" s="20" t="s">
        <v>723</v>
      </c>
      <c r="HZ41" s="20" t="s">
        <v>698</v>
      </c>
      <c r="IC41" s="20">
        <v>212203</v>
      </c>
      <c r="ID41" s="20" t="s">
        <v>696</v>
      </c>
      <c r="IL41" s="20" t="s">
        <v>698</v>
      </c>
      <c r="IS41" s="20" t="s">
        <v>724</v>
      </c>
      <c r="IT41" s="20" t="s">
        <v>696</v>
      </c>
      <c r="IU41" s="20" t="s">
        <v>696</v>
      </c>
      <c r="IV41" s="20" t="s">
        <v>696</v>
      </c>
      <c r="IW41" s="20" t="s">
        <v>698</v>
      </c>
      <c r="IX41" s="20" t="s">
        <v>698</v>
      </c>
      <c r="IY41" s="20" t="s">
        <v>696</v>
      </c>
      <c r="IZ41" s="20" t="s">
        <v>696</v>
      </c>
      <c r="JA41" s="20" t="s">
        <v>696</v>
      </c>
      <c r="JB41" s="20" t="s">
        <v>698</v>
      </c>
      <c r="JC41" s="20" t="s">
        <v>698</v>
      </c>
      <c r="JD41" s="20" t="s">
        <v>725</v>
      </c>
      <c r="JE41" s="20" t="s">
        <v>726</v>
      </c>
      <c r="JR41" s="20" t="s">
        <v>698</v>
      </c>
      <c r="JS41" s="20" t="s">
        <v>698</v>
      </c>
      <c r="JX41" s="20" t="s">
        <v>833</v>
      </c>
      <c r="JY41" s="20" t="s">
        <v>860</v>
      </c>
      <c r="JZ41" s="20" t="s">
        <v>860</v>
      </c>
      <c r="KA41" s="20" t="s">
        <v>835</v>
      </c>
      <c r="KC41" s="20" t="s">
        <v>696</v>
      </c>
      <c r="KM41" s="20" t="s">
        <v>696</v>
      </c>
      <c r="KP41" s="20" t="s">
        <v>696</v>
      </c>
      <c r="KQ41" s="20" t="s">
        <v>696</v>
      </c>
      <c r="KR41" s="20">
        <v>1950</v>
      </c>
      <c r="KS41" s="20" t="s">
        <v>696</v>
      </c>
      <c r="KT41" s="20" t="s">
        <v>696</v>
      </c>
      <c r="KU41" s="20" t="s">
        <v>696</v>
      </c>
      <c r="KV41" s="20" t="s">
        <v>696</v>
      </c>
      <c r="KX41" s="20">
        <v>2024</v>
      </c>
      <c r="KY41" s="20">
        <v>2024</v>
      </c>
      <c r="LC41" s="20" t="s">
        <v>696</v>
      </c>
      <c r="SC41" s="20" t="s">
        <v>696</v>
      </c>
      <c r="SD41" s="20" t="s">
        <v>696</v>
      </c>
      <c r="SG41" s="20" t="s">
        <v>696</v>
      </c>
      <c r="SK41" s="20">
        <v>2023</v>
      </c>
      <c r="SL41" s="20" t="s">
        <v>863</v>
      </c>
      <c r="SM41" s="20" t="s">
        <v>864</v>
      </c>
      <c r="SO41" s="20" t="s">
        <v>865</v>
      </c>
      <c r="SQ41" s="20">
        <v>2016</v>
      </c>
      <c r="SR41" s="20" t="s">
        <v>863</v>
      </c>
      <c r="SS41" s="20" t="s">
        <v>864</v>
      </c>
      <c r="SU41" s="20" t="s">
        <v>865</v>
      </c>
      <c r="TQ41" s="20">
        <v>2023</v>
      </c>
      <c r="TR41" s="20" t="s">
        <v>863</v>
      </c>
      <c r="TS41" s="20" t="s">
        <v>933</v>
      </c>
      <c r="TU41" s="20" t="s">
        <v>934</v>
      </c>
      <c r="TV41" s="20">
        <v>2016</v>
      </c>
      <c r="TW41" s="20" t="s">
        <v>863</v>
      </c>
      <c r="TX41" s="20" t="s">
        <v>933</v>
      </c>
      <c r="TZ41" s="20" t="s">
        <v>934</v>
      </c>
      <c r="UO41" s="20" t="s">
        <v>696</v>
      </c>
      <c r="UP41" s="20">
        <v>1988</v>
      </c>
      <c r="UQ41" s="20">
        <v>1335</v>
      </c>
      <c r="UR41" s="20" t="s">
        <v>698</v>
      </c>
      <c r="UZ41" s="20" t="s">
        <v>698</v>
      </c>
      <c r="XL41" s="20" t="s">
        <v>730</v>
      </c>
      <c r="XM41" s="20" t="s">
        <v>731</v>
      </c>
      <c r="XN41" s="20" t="s">
        <v>732</v>
      </c>
      <c r="XO41" s="20" t="s">
        <v>733</v>
      </c>
      <c r="XQ41" s="24">
        <v>45681</v>
      </c>
      <c r="XU41" s="20" t="s">
        <v>730</v>
      </c>
      <c r="XV41" s="20" t="s">
        <v>733</v>
      </c>
      <c r="XW41" s="20" t="s">
        <v>731</v>
      </c>
      <c r="XX41" s="20" t="s">
        <v>732</v>
      </c>
      <c r="XY41" s="20" t="s">
        <v>1149</v>
      </c>
    </row>
    <row r="42" spans="1:649" ht="15.75" customHeight="1">
      <c r="A42" s="20">
        <v>224</v>
      </c>
      <c r="B42" s="21">
        <v>45559</v>
      </c>
      <c r="C42" s="20">
        <v>2024</v>
      </c>
      <c r="D42" s="20">
        <v>20240225</v>
      </c>
      <c r="E42" s="20">
        <v>40028</v>
      </c>
      <c r="F42" s="20" t="s">
        <v>690</v>
      </c>
      <c r="G42" s="20">
        <v>31888</v>
      </c>
      <c r="H42" s="20" t="s">
        <v>1126</v>
      </c>
      <c r="I42" s="20" t="s">
        <v>692</v>
      </c>
      <c r="J42" s="20" t="s">
        <v>693</v>
      </c>
      <c r="K42" s="20" t="s">
        <v>694</v>
      </c>
      <c r="L42" s="20">
        <v>77002</v>
      </c>
      <c r="M42" s="22">
        <v>45529.520833333336</v>
      </c>
      <c r="N42" s="20" t="s">
        <v>695</v>
      </c>
      <c r="O42" s="20" t="s">
        <v>696</v>
      </c>
      <c r="P42" s="20">
        <v>32.223060500000003</v>
      </c>
      <c r="Q42" s="20">
        <v>-103.7056489</v>
      </c>
      <c r="R42" s="20" t="s">
        <v>697</v>
      </c>
      <c r="W42" s="20">
        <v>2.5</v>
      </c>
      <c r="Y42" s="20">
        <v>2.5</v>
      </c>
      <c r="Z42" s="20" t="s">
        <v>698</v>
      </c>
      <c r="AF42" s="20">
        <v>0</v>
      </c>
      <c r="AG42" s="20" t="s">
        <v>698</v>
      </c>
      <c r="AM42" s="20">
        <v>0</v>
      </c>
      <c r="AN42" s="20" t="s">
        <v>699</v>
      </c>
      <c r="AP42" s="20" t="s">
        <v>700</v>
      </c>
      <c r="AQ42" s="23">
        <v>45529.520833333336</v>
      </c>
      <c r="AR42" s="20" t="s">
        <v>907</v>
      </c>
      <c r="AS42" s="20" t="s">
        <v>702</v>
      </c>
      <c r="AT42" s="20" t="s">
        <v>703</v>
      </c>
      <c r="AU42" s="20" t="s">
        <v>698</v>
      </c>
      <c r="AV42" s="20" t="s">
        <v>1150</v>
      </c>
      <c r="AZ42" s="20" t="s">
        <v>698</v>
      </c>
      <c r="BC42" s="23">
        <v>45529.520833333336</v>
      </c>
      <c r="BD42" s="23">
        <v>45529.520833333336</v>
      </c>
      <c r="BF42" s="20" t="s">
        <v>754</v>
      </c>
      <c r="BH42" s="20" t="s">
        <v>698</v>
      </c>
      <c r="BV42" s="20" t="s">
        <v>696</v>
      </c>
      <c r="BW42" s="23">
        <v>45529.545138888891</v>
      </c>
      <c r="BX42" s="20" t="s">
        <v>698</v>
      </c>
      <c r="CA42" s="20">
        <v>0</v>
      </c>
      <c r="CB42" s="20" t="s">
        <v>1151</v>
      </c>
      <c r="CC42" s="20" t="s">
        <v>1152</v>
      </c>
      <c r="CD42" s="20" t="s">
        <v>1153</v>
      </c>
      <c r="CE42" s="20">
        <v>88252</v>
      </c>
      <c r="CF42" s="20" t="s">
        <v>1154</v>
      </c>
      <c r="CG42" s="20" t="s">
        <v>1155</v>
      </c>
      <c r="CH42" s="20" t="s">
        <v>710</v>
      </c>
      <c r="CI42" s="20" t="s">
        <v>711</v>
      </c>
      <c r="CJ42" s="20" t="s">
        <v>698</v>
      </c>
      <c r="CK42" s="20" t="s">
        <v>712</v>
      </c>
      <c r="CL42" s="20" t="s">
        <v>910</v>
      </c>
      <c r="CP42" s="20" t="s">
        <v>698</v>
      </c>
      <c r="DM42" s="20" t="s">
        <v>743</v>
      </c>
      <c r="DN42" s="20" t="s">
        <v>911</v>
      </c>
      <c r="EW42" s="20" t="s">
        <v>1156</v>
      </c>
      <c r="EY42" s="20" t="s">
        <v>913</v>
      </c>
      <c r="FD42" s="20">
        <v>40</v>
      </c>
      <c r="FE42" s="20" t="s">
        <v>698</v>
      </c>
      <c r="FG42" s="20" t="s">
        <v>696</v>
      </c>
      <c r="FH42" s="20">
        <v>2022</v>
      </c>
      <c r="FK42" s="20">
        <v>2017</v>
      </c>
      <c r="FL42" s="20">
        <v>2017</v>
      </c>
      <c r="FM42" s="20" t="s">
        <v>719</v>
      </c>
      <c r="FO42" s="20" t="s">
        <v>720</v>
      </c>
      <c r="FR42" s="20" t="s">
        <v>766</v>
      </c>
      <c r="FS42" s="20" t="s">
        <v>1157</v>
      </c>
      <c r="FY42" s="20" t="s">
        <v>698</v>
      </c>
      <c r="GC42" s="20" t="s">
        <v>696</v>
      </c>
      <c r="GD42" s="20" t="s">
        <v>698</v>
      </c>
      <c r="GE42" s="20" t="s">
        <v>696</v>
      </c>
      <c r="GH42" s="20" t="s">
        <v>696</v>
      </c>
      <c r="GK42" s="20" t="s">
        <v>698</v>
      </c>
      <c r="GT42" s="20" t="s">
        <v>698</v>
      </c>
      <c r="GU42" s="20" t="s">
        <v>698</v>
      </c>
      <c r="HF42" s="20">
        <v>0</v>
      </c>
      <c r="HG42" s="20">
        <v>200</v>
      </c>
      <c r="HH42" s="20">
        <v>0</v>
      </c>
      <c r="HI42" s="20">
        <v>200</v>
      </c>
      <c r="HJ42" s="20">
        <v>11000</v>
      </c>
      <c r="HK42" s="20">
        <v>0</v>
      </c>
      <c r="HM42" s="20">
        <v>11400</v>
      </c>
      <c r="HN42" s="20">
        <v>0</v>
      </c>
      <c r="HO42" s="20">
        <v>0</v>
      </c>
      <c r="HP42" s="20">
        <v>0</v>
      </c>
      <c r="HQ42" s="20">
        <v>0</v>
      </c>
      <c r="HR42" s="20">
        <v>14.7</v>
      </c>
      <c r="HZ42" s="20" t="s">
        <v>698</v>
      </c>
      <c r="IS42" s="20" t="s">
        <v>724</v>
      </c>
      <c r="IT42" s="20" t="s">
        <v>696</v>
      </c>
      <c r="IU42" s="20" t="s">
        <v>696</v>
      </c>
      <c r="IV42" s="20" t="s">
        <v>696</v>
      </c>
      <c r="IW42" s="20" t="s">
        <v>698</v>
      </c>
      <c r="IX42" s="20" t="s">
        <v>698</v>
      </c>
      <c r="IY42" s="20" t="s">
        <v>698</v>
      </c>
      <c r="JD42" s="20" t="s">
        <v>725</v>
      </c>
      <c r="JE42" s="20" t="s">
        <v>726</v>
      </c>
      <c r="JR42" s="20" t="s">
        <v>698</v>
      </c>
      <c r="JS42" s="20" t="s">
        <v>698</v>
      </c>
      <c r="JX42" s="20" t="s">
        <v>727</v>
      </c>
      <c r="JY42" s="20" t="s">
        <v>728</v>
      </c>
      <c r="RY42" s="20" t="s">
        <v>728</v>
      </c>
      <c r="SA42" s="20" t="s">
        <v>729</v>
      </c>
      <c r="XL42" s="20" t="s">
        <v>730</v>
      </c>
      <c r="XM42" s="20" t="s">
        <v>731</v>
      </c>
      <c r="XN42" s="20" t="s">
        <v>732</v>
      </c>
      <c r="XO42" s="20" t="s">
        <v>733</v>
      </c>
      <c r="XQ42" s="24">
        <v>45559</v>
      </c>
      <c r="XU42" s="20" t="s">
        <v>730</v>
      </c>
      <c r="XV42" s="20" t="s">
        <v>733</v>
      </c>
      <c r="XW42" s="20" t="s">
        <v>731</v>
      </c>
      <c r="XX42" s="20" t="s">
        <v>732</v>
      </c>
      <c r="XY42" s="20" t="s">
        <v>1158</v>
      </c>
    </row>
    <row r="43" spans="1:649" ht="15.75" customHeight="1">
      <c r="A43" s="20">
        <v>226</v>
      </c>
      <c r="B43" s="21">
        <v>45553</v>
      </c>
      <c r="C43" s="20">
        <v>2024</v>
      </c>
      <c r="D43" s="20">
        <v>20240219</v>
      </c>
      <c r="E43" s="20">
        <v>40008</v>
      </c>
      <c r="F43" s="20" t="s">
        <v>690</v>
      </c>
      <c r="G43" s="20">
        <v>32099</v>
      </c>
      <c r="H43" s="20" t="s">
        <v>752</v>
      </c>
      <c r="I43" s="20" t="s">
        <v>692</v>
      </c>
      <c r="J43" s="20" t="s">
        <v>693</v>
      </c>
      <c r="K43" s="20" t="s">
        <v>694</v>
      </c>
      <c r="L43" s="20">
        <v>77002</v>
      </c>
      <c r="M43" s="22">
        <v>45524.372916666667</v>
      </c>
      <c r="N43" s="20" t="s">
        <v>843</v>
      </c>
      <c r="O43" s="20" t="s">
        <v>696</v>
      </c>
      <c r="P43" s="20">
        <v>42.384495000000001</v>
      </c>
      <c r="Q43" s="20">
        <v>-83.353622000000001</v>
      </c>
      <c r="R43" s="20" t="s">
        <v>697</v>
      </c>
      <c r="W43" s="20">
        <v>5</v>
      </c>
      <c r="Y43" s="20">
        <v>5</v>
      </c>
      <c r="Z43" s="20" t="s">
        <v>698</v>
      </c>
      <c r="AF43" s="20">
        <v>0</v>
      </c>
      <c r="AG43" s="20" t="s">
        <v>698</v>
      </c>
      <c r="AM43" s="20">
        <v>0</v>
      </c>
      <c r="AN43" s="20" t="s">
        <v>775</v>
      </c>
      <c r="AQ43" s="23">
        <v>45524.372916666667</v>
      </c>
      <c r="AR43" s="20" t="s">
        <v>776</v>
      </c>
      <c r="AS43" s="20" t="s">
        <v>702</v>
      </c>
      <c r="AT43" s="20" t="s">
        <v>703</v>
      </c>
      <c r="AU43" s="20" t="s">
        <v>696</v>
      </c>
      <c r="AW43" s="23">
        <v>45524.375694444447</v>
      </c>
      <c r="AX43" s="23">
        <v>45528.40625</v>
      </c>
      <c r="AZ43" s="20" t="s">
        <v>698</v>
      </c>
      <c r="BC43" s="23">
        <v>45524.383333333331</v>
      </c>
      <c r="BD43" s="23">
        <v>45524.383333333331</v>
      </c>
      <c r="BE43" s="23">
        <v>45524.502083333333</v>
      </c>
      <c r="BF43" s="20">
        <v>1408478</v>
      </c>
      <c r="BG43" s="20">
        <v>1408663</v>
      </c>
      <c r="BH43" s="20" t="s">
        <v>698</v>
      </c>
      <c r="BN43" s="20" t="s">
        <v>777</v>
      </c>
      <c r="BP43" s="23">
        <v>45524.380555555559</v>
      </c>
      <c r="BQ43" s="20" t="s">
        <v>779</v>
      </c>
      <c r="BR43" s="20" t="s">
        <v>777</v>
      </c>
      <c r="BT43" s="23">
        <v>45524.380555555559</v>
      </c>
      <c r="BU43" s="20" t="s">
        <v>779</v>
      </c>
      <c r="BV43" s="20" t="s">
        <v>696</v>
      </c>
      <c r="BW43" s="23">
        <v>45524.379861111112</v>
      </c>
      <c r="BX43" s="20" t="s">
        <v>696</v>
      </c>
      <c r="BY43" s="23">
        <v>45524.448611111111</v>
      </c>
      <c r="BZ43" s="23">
        <v>45524.506944444445</v>
      </c>
      <c r="CA43" s="20">
        <v>0</v>
      </c>
      <c r="CB43" s="20" t="s">
        <v>1159</v>
      </c>
      <c r="CC43" s="20" t="s">
        <v>1160</v>
      </c>
      <c r="CD43" s="20" t="s">
        <v>976</v>
      </c>
      <c r="CE43" s="20">
        <v>48154</v>
      </c>
      <c r="CF43" s="20" t="s">
        <v>1161</v>
      </c>
      <c r="CG43" s="20" t="s">
        <v>1162</v>
      </c>
      <c r="CH43" s="20" t="s">
        <v>710</v>
      </c>
      <c r="CI43" s="20">
        <v>344498.8</v>
      </c>
      <c r="CJ43" s="20" t="s">
        <v>698</v>
      </c>
      <c r="CK43" s="20" t="s">
        <v>785</v>
      </c>
      <c r="CL43" s="20" t="s">
        <v>741</v>
      </c>
      <c r="CM43" s="20" t="s">
        <v>742</v>
      </c>
      <c r="CO43" s="20">
        <v>42</v>
      </c>
      <c r="CP43" s="20" t="s">
        <v>698</v>
      </c>
      <c r="DM43" s="20" t="s">
        <v>743</v>
      </c>
      <c r="DN43" s="20" t="s">
        <v>744</v>
      </c>
      <c r="DO43" s="20" t="s">
        <v>745</v>
      </c>
      <c r="DP43" s="20" t="s">
        <v>698</v>
      </c>
      <c r="DQ43" s="20">
        <v>16</v>
      </c>
      <c r="DR43" s="20">
        <v>0.25</v>
      </c>
      <c r="DS43" s="20">
        <v>60000</v>
      </c>
      <c r="DT43" s="20" t="s">
        <v>1163</v>
      </c>
      <c r="DU43" s="20" t="s">
        <v>747</v>
      </c>
      <c r="DW43" s="20" t="s">
        <v>1164</v>
      </c>
      <c r="DX43" s="20" t="s">
        <v>805</v>
      </c>
      <c r="DZ43" s="20" t="s">
        <v>696</v>
      </c>
      <c r="FK43" s="20">
        <v>1967</v>
      </c>
      <c r="FL43" s="20">
        <v>1967</v>
      </c>
      <c r="FM43" s="20" t="s">
        <v>719</v>
      </c>
      <c r="FO43" s="20" t="s">
        <v>766</v>
      </c>
      <c r="FX43" s="20" t="s">
        <v>806</v>
      </c>
      <c r="FY43" s="20" t="s">
        <v>698</v>
      </c>
      <c r="GC43" s="20" t="s">
        <v>696</v>
      </c>
      <c r="GD43" s="20" t="s">
        <v>698</v>
      </c>
      <c r="GE43" s="20" t="s">
        <v>696</v>
      </c>
      <c r="GH43" s="20" t="s">
        <v>696</v>
      </c>
      <c r="GK43" s="20" t="s">
        <v>698</v>
      </c>
      <c r="GT43" s="20" t="s">
        <v>696</v>
      </c>
      <c r="GU43" s="20" t="s">
        <v>696</v>
      </c>
      <c r="GX43" s="20" t="s">
        <v>696</v>
      </c>
      <c r="GY43" s="20" t="s">
        <v>696</v>
      </c>
      <c r="HF43" s="20">
        <v>18000</v>
      </c>
      <c r="HG43" s="20">
        <v>360</v>
      </c>
      <c r="HH43" s="20">
        <v>225580</v>
      </c>
      <c r="HI43" s="20">
        <v>155995</v>
      </c>
      <c r="HJ43" s="20">
        <v>275000</v>
      </c>
      <c r="HK43" s="20">
        <v>0</v>
      </c>
      <c r="HM43" s="20">
        <v>674935</v>
      </c>
      <c r="HN43" s="20">
        <v>0</v>
      </c>
      <c r="HO43" s="20">
        <v>0</v>
      </c>
      <c r="HP43" s="20">
        <v>0</v>
      </c>
      <c r="HQ43" s="20">
        <v>0</v>
      </c>
      <c r="HR43" s="20">
        <v>1205</v>
      </c>
      <c r="HS43" s="20">
        <v>1300</v>
      </c>
      <c r="HT43" s="20" t="s">
        <v>787</v>
      </c>
      <c r="HV43" s="24">
        <v>31888</v>
      </c>
      <c r="HW43" s="20" t="s">
        <v>698</v>
      </c>
      <c r="HY43" s="20" t="s">
        <v>723</v>
      </c>
      <c r="HZ43" s="20" t="s">
        <v>698</v>
      </c>
      <c r="IC43" s="20">
        <v>55986</v>
      </c>
      <c r="ID43" s="20" t="s">
        <v>696</v>
      </c>
      <c r="IL43" s="20" t="s">
        <v>698</v>
      </c>
      <c r="IS43" s="20" t="s">
        <v>724</v>
      </c>
      <c r="IT43" s="20" t="s">
        <v>696</v>
      </c>
      <c r="IU43" s="20" t="s">
        <v>696</v>
      </c>
      <c r="IV43" s="20" t="s">
        <v>696</v>
      </c>
      <c r="IW43" s="20" t="s">
        <v>698</v>
      </c>
      <c r="IX43" s="20" t="s">
        <v>698</v>
      </c>
      <c r="IY43" s="20" t="s">
        <v>696</v>
      </c>
      <c r="IZ43" s="20" t="s">
        <v>696</v>
      </c>
      <c r="JA43" s="20" t="s">
        <v>696</v>
      </c>
      <c r="JB43" s="20" t="s">
        <v>698</v>
      </c>
      <c r="JC43" s="20" t="s">
        <v>698</v>
      </c>
      <c r="JD43" s="20" t="s">
        <v>725</v>
      </c>
      <c r="JE43" s="20" t="s">
        <v>726</v>
      </c>
      <c r="JR43" s="20" t="s">
        <v>698</v>
      </c>
      <c r="JS43" s="20" t="s">
        <v>698</v>
      </c>
      <c r="JX43" s="20" t="s">
        <v>727</v>
      </c>
      <c r="JY43" s="20" t="s">
        <v>728</v>
      </c>
      <c r="RY43" s="20" t="s">
        <v>728</v>
      </c>
      <c r="SA43" s="20" t="s">
        <v>729</v>
      </c>
      <c r="XL43" s="20" t="s">
        <v>730</v>
      </c>
      <c r="XM43" s="20" t="s">
        <v>731</v>
      </c>
      <c r="XN43" s="20" t="s">
        <v>732</v>
      </c>
      <c r="XO43" s="20" t="s">
        <v>733</v>
      </c>
      <c r="XQ43" s="24">
        <v>45553</v>
      </c>
      <c r="XU43" s="20" t="s">
        <v>730</v>
      </c>
      <c r="XV43" s="20" t="s">
        <v>733</v>
      </c>
      <c r="XW43" s="20" t="s">
        <v>731</v>
      </c>
      <c r="XX43" s="20" t="s">
        <v>732</v>
      </c>
      <c r="XY43" s="20" t="s">
        <v>1165</v>
      </c>
    </row>
    <row r="44" spans="1:649" ht="15.75" customHeight="1">
      <c r="A44" s="20">
        <v>233</v>
      </c>
      <c r="B44" s="21">
        <v>45546</v>
      </c>
      <c r="C44" s="20">
        <v>2024</v>
      </c>
      <c r="D44" s="20">
        <v>20240216</v>
      </c>
      <c r="E44" s="20">
        <v>40223</v>
      </c>
      <c r="F44" s="20" t="s">
        <v>825</v>
      </c>
      <c r="G44" s="20">
        <v>31888</v>
      </c>
      <c r="H44" s="20" t="s">
        <v>1126</v>
      </c>
      <c r="I44" s="20" t="s">
        <v>692</v>
      </c>
      <c r="J44" s="20" t="s">
        <v>693</v>
      </c>
      <c r="K44" s="20" t="s">
        <v>694</v>
      </c>
      <c r="L44" s="20">
        <v>77002</v>
      </c>
      <c r="M44" s="22">
        <v>45516.020833333336</v>
      </c>
      <c r="N44" s="20" t="s">
        <v>695</v>
      </c>
      <c r="O44" s="20" t="s">
        <v>696</v>
      </c>
      <c r="P44" s="20">
        <v>35.511293000000002</v>
      </c>
      <c r="Q44" s="20">
        <v>-97.884653999999998</v>
      </c>
      <c r="R44" s="20" t="s">
        <v>697</v>
      </c>
      <c r="W44" s="20">
        <v>5</v>
      </c>
      <c r="Y44" s="20">
        <v>5</v>
      </c>
      <c r="Z44" s="20" t="s">
        <v>698</v>
      </c>
      <c r="AF44" s="20">
        <v>0</v>
      </c>
      <c r="AG44" s="20" t="s">
        <v>698</v>
      </c>
      <c r="AM44" s="20">
        <v>0</v>
      </c>
      <c r="AN44" s="20" t="s">
        <v>699</v>
      </c>
      <c r="AP44" s="20" t="s">
        <v>700</v>
      </c>
      <c r="AQ44" s="23">
        <v>45516.020833333336</v>
      </c>
      <c r="AR44" s="20" t="s">
        <v>701</v>
      </c>
      <c r="AS44" s="20" t="s">
        <v>702</v>
      </c>
      <c r="AT44" s="20" t="s">
        <v>703</v>
      </c>
      <c r="AU44" s="20" t="s">
        <v>696</v>
      </c>
      <c r="AW44" s="23">
        <v>45516.045138888891</v>
      </c>
      <c r="AX44" s="23">
        <v>45516.069444444445</v>
      </c>
      <c r="AZ44" s="20" t="s">
        <v>698</v>
      </c>
      <c r="BC44" s="23">
        <v>45516.020833333336</v>
      </c>
      <c r="BD44" s="23">
        <v>45516.029861111114</v>
      </c>
      <c r="BF44" s="20" t="s">
        <v>754</v>
      </c>
      <c r="BH44" s="20" t="s">
        <v>698</v>
      </c>
      <c r="BV44" s="20" t="s">
        <v>696</v>
      </c>
      <c r="BW44" s="23">
        <v>45516.020833333336</v>
      </c>
      <c r="BX44" s="20" t="s">
        <v>698</v>
      </c>
      <c r="CA44" s="20">
        <v>0</v>
      </c>
      <c r="CB44" s="20" t="s">
        <v>1166</v>
      </c>
      <c r="CC44" s="20" t="s">
        <v>1167</v>
      </c>
      <c r="CD44" s="20" t="s">
        <v>739</v>
      </c>
      <c r="CE44" s="20">
        <v>73036</v>
      </c>
      <c r="CF44" s="20" t="s">
        <v>1168</v>
      </c>
      <c r="CG44" s="20" t="s">
        <v>1169</v>
      </c>
      <c r="CH44" s="20" t="s">
        <v>784</v>
      </c>
      <c r="CI44" s="20" t="s">
        <v>711</v>
      </c>
      <c r="CJ44" s="20" t="s">
        <v>698</v>
      </c>
      <c r="CK44" s="20" t="s">
        <v>712</v>
      </c>
      <c r="CL44" s="20" t="s">
        <v>741</v>
      </c>
      <c r="CM44" s="20" t="s">
        <v>742</v>
      </c>
      <c r="CO44" s="20">
        <v>28</v>
      </c>
      <c r="CP44" s="20" t="s">
        <v>698</v>
      </c>
      <c r="DM44" s="20" t="s">
        <v>743</v>
      </c>
      <c r="DN44" s="20" t="s">
        <v>1170</v>
      </c>
      <c r="EU44" s="20" t="s">
        <v>1171</v>
      </c>
      <c r="EV44" s="20" t="s">
        <v>1172</v>
      </c>
      <c r="FK44" s="20" t="s">
        <v>728</v>
      </c>
      <c r="FL44" s="20" t="s">
        <v>728</v>
      </c>
      <c r="FM44" s="20" t="s">
        <v>962</v>
      </c>
      <c r="FN44" s="20" t="s">
        <v>1171</v>
      </c>
      <c r="FO44" s="20" t="s">
        <v>720</v>
      </c>
      <c r="FR44" s="20" t="s">
        <v>768</v>
      </c>
      <c r="FY44" s="20" t="s">
        <v>698</v>
      </c>
      <c r="GC44" s="20" t="s">
        <v>696</v>
      </c>
      <c r="GD44" s="20" t="s">
        <v>698</v>
      </c>
      <c r="GE44" s="20" t="s">
        <v>696</v>
      </c>
      <c r="GH44" s="20" t="s">
        <v>696</v>
      </c>
      <c r="GK44" s="20" t="s">
        <v>698</v>
      </c>
      <c r="GT44" s="20" t="s">
        <v>696</v>
      </c>
      <c r="GU44" s="20" t="s">
        <v>696</v>
      </c>
      <c r="GZ44" s="20" t="s">
        <v>696</v>
      </c>
      <c r="HA44" s="20" t="s">
        <v>696</v>
      </c>
      <c r="HF44" s="20">
        <v>0</v>
      </c>
      <c r="HG44" s="20">
        <v>0</v>
      </c>
      <c r="HH44" s="20">
        <v>100</v>
      </c>
      <c r="HI44" s="20">
        <v>20000</v>
      </c>
      <c r="HJ44" s="20">
        <v>20000</v>
      </c>
      <c r="HK44" s="20">
        <v>0</v>
      </c>
      <c r="HM44" s="20">
        <v>40100</v>
      </c>
      <c r="HN44" s="20">
        <v>0</v>
      </c>
      <c r="HO44" s="20">
        <v>0</v>
      </c>
      <c r="HP44" s="20">
        <v>0</v>
      </c>
      <c r="HQ44" s="20">
        <v>0</v>
      </c>
      <c r="HR44" s="20">
        <v>258</v>
      </c>
      <c r="HS44" s="20">
        <v>740</v>
      </c>
      <c r="HT44" s="20" t="s">
        <v>787</v>
      </c>
      <c r="HV44" s="24">
        <v>42684</v>
      </c>
      <c r="HW44" s="20" t="s">
        <v>698</v>
      </c>
      <c r="HY44" s="20" t="s">
        <v>723</v>
      </c>
      <c r="HZ44" s="20" t="s">
        <v>698</v>
      </c>
      <c r="IS44" s="20" t="s">
        <v>724</v>
      </c>
      <c r="IT44" s="20" t="s">
        <v>696</v>
      </c>
      <c r="IU44" s="20" t="s">
        <v>696</v>
      </c>
      <c r="IV44" s="20" t="s">
        <v>696</v>
      </c>
      <c r="IW44" s="20" t="s">
        <v>698</v>
      </c>
      <c r="IX44" s="20" t="s">
        <v>698</v>
      </c>
      <c r="IY44" s="20" t="s">
        <v>696</v>
      </c>
      <c r="IZ44" s="20" t="s">
        <v>696</v>
      </c>
      <c r="JA44" s="20" t="s">
        <v>696</v>
      </c>
      <c r="JB44" s="20" t="s">
        <v>698</v>
      </c>
      <c r="JC44" s="20" t="s">
        <v>698</v>
      </c>
      <c r="JD44" s="20" t="s">
        <v>725</v>
      </c>
      <c r="JE44" s="20" t="s">
        <v>726</v>
      </c>
      <c r="JR44" s="20" t="s">
        <v>698</v>
      </c>
      <c r="JS44" s="20" t="s">
        <v>698</v>
      </c>
      <c r="JX44" s="20" t="s">
        <v>1173</v>
      </c>
      <c r="JY44" s="20" t="s">
        <v>1174</v>
      </c>
      <c r="LY44" s="20" t="s">
        <v>1174</v>
      </c>
      <c r="MA44" s="20" t="s">
        <v>766</v>
      </c>
      <c r="MD44" s="20" t="s">
        <v>1175</v>
      </c>
      <c r="ME44" s="20" t="s">
        <v>698</v>
      </c>
      <c r="XL44" s="20" t="s">
        <v>730</v>
      </c>
      <c r="XM44" s="20" t="s">
        <v>731</v>
      </c>
      <c r="XN44" s="20" t="s">
        <v>732</v>
      </c>
      <c r="XO44" s="20" t="s">
        <v>733</v>
      </c>
      <c r="XQ44" s="24">
        <v>45610</v>
      </c>
      <c r="XU44" s="20" t="s">
        <v>730</v>
      </c>
      <c r="XV44" s="20" t="s">
        <v>733</v>
      </c>
      <c r="XW44" s="20" t="s">
        <v>731</v>
      </c>
      <c r="XX44" s="20" t="s">
        <v>732</v>
      </c>
      <c r="XY44" s="20" t="s">
        <v>1176</v>
      </c>
    </row>
    <row r="45" spans="1:649" ht="15.75" customHeight="1">
      <c r="A45" s="20">
        <v>235</v>
      </c>
      <c r="B45" s="21">
        <v>45540</v>
      </c>
      <c r="C45" s="20">
        <v>2024</v>
      </c>
      <c r="D45" s="20">
        <v>20240213</v>
      </c>
      <c r="E45" s="20">
        <v>39973</v>
      </c>
      <c r="F45" s="20" t="s">
        <v>690</v>
      </c>
      <c r="G45" s="20">
        <v>18718</v>
      </c>
      <c r="H45" s="20" t="s">
        <v>918</v>
      </c>
      <c r="I45" s="20" t="s">
        <v>692</v>
      </c>
      <c r="J45" s="20" t="s">
        <v>693</v>
      </c>
      <c r="K45" s="20" t="s">
        <v>694</v>
      </c>
      <c r="L45" s="20">
        <v>77002</v>
      </c>
      <c r="M45" s="22">
        <v>45513.322916666664</v>
      </c>
      <c r="N45" s="20" t="s">
        <v>843</v>
      </c>
      <c r="O45" s="20" t="s">
        <v>696</v>
      </c>
      <c r="P45" s="20">
        <v>39.851131000000002</v>
      </c>
      <c r="Q45" s="20">
        <v>-75.415270000000007</v>
      </c>
      <c r="R45" s="20" t="s">
        <v>844</v>
      </c>
      <c r="S45" s="20" t="s">
        <v>936</v>
      </c>
      <c r="W45" s="20">
        <v>1342</v>
      </c>
      <c r="Y45" s="20">
        <v>1342</v>
      </c>
      <c r="Z45" s="20" t="s">
        <v>698</v>
      </c>
      <c r="AF45" s="20">
        <v>0</v>
      </c>
      <c r="AG45" s="20" t="s">
        <v>698</v>
      </c>
      <c r="AM45" s="20">
        <v>0</v>
      </c>
      <c r="AN45" s="20" t="s">
        <v>699</v>
      </c>
      <c r="AP45" s="20" t="s">
        <v>700</v>
      </c>
      <c r="AQ45" s="23">
        <v>45513.322916666664</v>
      </c>
      <c r="AR45" s="20" t="s">
        <v>907</v>
      </c>
      <c r="AS45" s="20" t="s">
        <v>702</v>
      </c>
      <c r="AT45" s="20" t="s">
        <v>703</v>
      </c>
      <c r="AU45" s="20" t="s">
        <v>696</v>
      </c>
      <c r="AW45" s="23">
        <v>45513.324999999997</v>
      </c>
      <c r="AY45" s="20" t="s">
        <v>696</v>
      </c>
      <c r="AZ45" s="20" t="s">
        <v>696</v>
      </c>
      <c r="BA45" s="20" t="s">
        <v>753</v>
      </c>
      <c r="BB45" s="23">
        <v>45513.447916666664</v>
      </c>
      <c r="BC45" s="23">
        <v>45513.354166666664</v>
      </c>
      <c r="BD45" s="23">
        <v>45513.357638888891</v>
      </c>
      <c r="BE45" s="23">
        <v>45513.447916666664</v>
      </c>
      <c r="BF45" s="20">
        <v>1407384</v>
      </c>
      <c r="BG45" s="20">
        <v>1407549</v>
      </c>
      <c r="BH45" s="20" t="s">
        <v>698</v>
      </c>
      <c r="BV45" s="20" t="s">
        <v>696</v>
      </c>
      <c r="BW45" s="23">
        <v>45513.375</v>
      </c>
      <c r="BX45" s="20" t="s">
        <v>696</v>
      </c>
      <c r="BY45" s="23">
        <v>45513.357638888891</v>
      </c>
      <c r="BZ45" s="23">
        <v>45513.357638888891</v>
      </c>
      <c r="CA45" s="20">
        <v>0</v>
      </c>
      <c r="CB45" s="20" t="s">
        <v>1177</v>
      </c>
      <c r="CC45" s="20" t="s">
        <v>1178</v>
      </c>
      <c r="CD45" s="20" t="s">
        <v>921</v>
      </c>
      <c r="CE45" s="20">
        <v>19014</v>
      </c>
      <c r="CF45" s="20" t="s">
        <v>1179</v>
      </c>
      <c r="CG45" s="20" t="s">
        <v>1180</v>
      </c>
      <c r="CH45" s="20" t="s">
        <v>710</v>
      </c>
      <c r="CI45" s="20" t="s">
        <v>711</v>
      </c>
      <c r="CJ45" s="20" t="s">
        <v>698</v>
      </c>
      <c r="CK45" s="20" t="s">
        <v>712</v>
      </c>
      <c r="CL45" s="20" t="s">
        <v>910</v>
      </c>
      <c r="CP45" s="20" t="s">
        <v>698</v>
      </c>
      <c r="DM45" s="20" t="s">
        <v>743</v>
      </c>
      <c r="DN45" s="20" t="s">
        <v>911</v>
      </c>
      <c r="EW45" s="20" t="s">
        <v>1181</v>
      </c>
      <c r="EY45" s="20" t="s">
        <v>913</v>
      </c>
      <c r="FD45" s="20">
        <v>48</v>
      </c>
      <c r="FE45" s="20" t="s">
        <v>698</v>
      </c>
      <c r="FF45" s="20">
        <v>2016</v>
      </c>
      <c r="FH45" s="20">
        <v>2021</v>
      </c>
      <c r="FK45" s="20">
        <v>1951</v>
      </c>
      <c r="FL45" s="20">
        <v>1951</v>
      </c>
      <c r="FM45" s="20" t="s">
        <v>719</v>
      </c>
      <c r="FO45" s="20" t="s">
        <v>766</v>
      </c>
      <c r="FX45" s="20" t="s">
        <v>1157</v>
      </c>
      <c r="FY45" s="20" t="s">
        <v>698</v>
      </c>
      <c r="GC45" s="20" t="s">
        <v>696</v>
      </c>
      <c r="GD45" s="20" t="s">
        <v>696</v>
      </c>
      <c r="GE45" s="20" t="s">
        <v>696</v>
      </c>
      <c r="GG45" s="20" t="s">
        <v>696</v>
      </c>
      <c r="GH45" s="20" t="s">
        <v>696</v>
      </c>
      <c r="GK45" s="20" t="s">
        <v>696</v>
      </c>
      <c r="GN45" s="20" t="s">
        <v>696</v>
      </c>
      <c r="GR45" s="20">
        <v>0.2</v>
      </c>
      <c r="GS45" s="20" t="s">
        <v>1182</v>
      </c>
      <c r="GT45" s="20" t="s">
        <v>696</v>
      </c>
      <c r="GU45" s="20" t="s">
        <v>696</v>
      </c>
      <c r="GX45" s="20" t="s">
        <v>696</v>
      </c>
      <c r="GY45" s="20" t="s">
        <v>696</v>
      </c>
      <c r="HF45" s="20">
        <v>0</v>
      </c>
      <c r="HG45" s="20">
        <v>18900</v>
      </c>
      <c r="HH45" s="20">
        <v>2750000</v>
      </c>
      <c r="HI45" s="20">
        <v>250000</v>
      </c>
      <c r="HJ45" s="20">
        <v>75000</v>
      </c>
      <c r="HK45" s="20">
        <v>0</v>
      </c>
      <c r="HM45" s="20">
        <v>3093900</v>
      </c>
      <c r="HN45" s="20">
        <v>0</v>
      </c>
      <c r="HO45" s="20">
        <v>0</v>
      </c>
      <c r="HP45" s="20">
        <v>0</v>
      </c>
      <c r="HQ45" s="20">
        <v>0</v>
      </c>
      <c r="HR45" s="20">
        <v>14.7</v>
      </c>
      <c r="HZ45" s="20" t="s">
        <v>698</v>
      </c>
      <c r="IS45" s="20" t="s">
        <v>724</v>
      </c>
      <c r="IT45" s="20" t="s">
        <v>696</v>
      </c>
      <c r="IU45" s="20" t="s">
        <v>696</v>
      </c>
      <c r="IV45" s="20" t="s">
        <v>696</v>
      </c>
      <c r="IW45" s="20" t="s">
        <v>698</v>
      </c>
      <c r="IX45" s="20" t="s">
        <v>698</v>
      </c>
      <c r="IY45" s="20" t="s">
        <v>696</v>
      </c>
      <c r="IZ45" s="20" t="s">
        <v>696</v>
      </c>
      <c r="JA45" s="20" t="s">
        <v>696</v>
      </c>
      <c r="JB45" s="20" t="s">
        <v>698</v>
      </c>
      <c r="JC45" s="20" t="s">
        <v>698</v>
      </c>
      <c r="JD45" s="20" t="s">
        <v>725</v>
      </c>
      <c r="JE45" s="20" t="s">
        <v>726</v>
      </c>
      <c r="JR45" s="20" t="s">
        <v>698</v>
      </c>
      <c r="JS45" s="20" t="s">
        <v>698</v>
      </c>
      <c r="JX45" s="20" t="s">
        <v>727</v>
      </c>
      <c r="JY45" s="20" t="s">
        <v>728</v>
      </c>
      <c r="RY45" s="20" t="s">
        <v>728</v>
      </c>
      <c r="SA45" s="20" t="s">
        <v>729</v>
      </c>
      <c r="XL45" s="20" t="s">
        <v>730</v>
      </c>
      <c r="XM45" s="20" t="s">
        <v>731</v>
      </c>
      <c r="XN45" s="20" t="s">
        <v>732</v>
      </c>
      <c r="XO45" s="20" t="s">
        <v>733</v>
      </c>
      <c r="XQ45" s="24">
        <v>45540</v>
      </c>
      <c r="XU45" s="20" t="s">
        <v>730</v>
      </c>
      <c r="XV45" s="20" t="s">
        <v>733</v>
      </c>
      <c r="XW45" s="20" t="s">
        <v>731</v>
      </c>
      <c r="XX45" s="20" t="s">
        <v>732</v>
      </c>
      <c r="XY45" s="20" t="s">
        <v>1183</v>
      </c>
    </row>
    <row r="46" spans="1:649" ht="15.75" customHeight="1">
      <c r="A46" s="20">
        <v>236</v>
      </c>
      <c r="B46" s="21">
        <v>45532</v>
      </c>
      <c r="C46" s="20">
        <v>2024</v>
      </c>
      <c r="D46" s="20">
        <v>20240201</v>
      </c>
      <c r="E46" s="20">
        <v>40833</v>
      </c>
      <c r="F46" s="20" t="s">
        <v>825</v>
      </c>
      <c r="G46" s="20">
        <v>32099</v>
      </c>
      <c r="H46" s="20" t="s">
        <v>752</v>
      </c>
      <c r="I46" s="20" t="s">
        <v>692</v>
      </c>
      <c r="J46" s="20" t="s">
        <v>693</v>
      </c>
      <c r="K46" s="20" t="s">
        <v>694</v>
      </c>
      <c r="L46" s="20">
        <v>77002</v>
      </c>
      <c r="M46" s="22">
        <v>45512.5</v>
      </c>
      <c r="N46" s="20" t="s">
        <v>695</v>
      </c>
      <c r="O46" s="20" t="s">
        <v>696</v>
      </c>
      <c r="P46" s="20">
        <v>35.485621000000002</v>
      </c>
      <c r="Q46" s="20">
        <v>-100.93967600000001</v>
      </c>
      <c r="R46" s="20" t="s">
        <v>697</v>
      </c>
      <c r="W46" s="20">
        <v>50</v>
      </c>
      <c r="Y46" s="20">
        <v>50</v>
      </c>
      <c r="Z46" s="20" t="s">
        <v>698</v>
      </c>
      <c r="AF46" s="20">
        <v>0</v>
      </c>
      <c r="AG46" s="20" t="s">
        <v>698</v>
      </c>
      <c r="AM46" s="20">
        <v>0</v>
      </c>
      <c r="AN46" s="20" t="s">
        <v>699</v>
      </c>
      <c r="AP46" s="20" t="s">
        <v>700</v>
      </c>
      <c r="AQ46" s="23">
        <v>45512.5</v>
      </c>
      <c r="AR46" s="20" t="s">
        <v>701</v>
      </c>
      <c r="AS46" s="20" t="s">
        <v>702</v>
      </c>
      <c r="AT46" s="20" t="s">
        <v>703</v>
      </c>
      <c r="AU46" s="20" t="s">
        <v>696</v>
      </c>
      <c r="AW46" s="23">
        <v>45512.508333333331</v>
      </c>
      <c r="AX46" s="23">
        <v>45540.708333333336</v>
      </c>
      <c r="AZ46" s="20" t="s">
        <v>696</v>
      </c>
      <c r="BA46" s="20" t="s">
        <v>753</v>
      </c>
      <c r="BB46" s="23">
        <v>45512.628472222219</v>
      </c>
      <c r="BC46" s="23">
        <v>45512.572916666664</v>
      </c>
      <c r="BD46" s="23">
        <v>45512.583333333336</v>
      </c>
      <c r="BE46" s="23">
        <v>45512.626388888886</v>
      </c>
      <c r="BF46" s="20">
        <v>1407325</v>
      </c>
      <c r="BG46" s="20">
        <v>1407520</v>
      </c>
      <c r="BH46" s="20" t="s">
        <v>698</v>
      </c>
      <c r="BV46" s="20" t="s">
        <v>696</v>
      </c>
      <c r="BW46" s="23">
        <v>45512.541666666664</v>
      </c>
      <c r="BX46" s="20" t="s">
        <v>698</v>
      </c>
      <c r="CA46" s="20">
        <v>0</v>
      </c>
      <c r="CB46" s="20" t="s">
        <v>1184</v>
      </c>
      <c r="CC46" s="20" t="s">
        <v>1185</v>
      </c>
      <c r="CD46" s="20" t="s">
        <v>694</v>
      </c>
      <c r="CE46" s="20">
        <v>79065</v>
      </c>
      <c r="CF46" s="20" t="s">
        <v>1186</v>
      </c>
      <c r="CG46" s="20" t="s">
        <v>1187</v>
      </c>
      <c r="CH46" s="20" t="s">
        <v>710</v>
      </c>
      <c r="CI46" s="20" t="s">
        <v>711</v>
      </c>
      <c r="CJ46" s="20" t="s">
        <v>698</v>
      </c>
      <c r="CK46" s="20" t="s">
        <v>712</v>
      </c>
      <c r="CL46" s="20" t="s">
        <v>713</v>
      </c>
      <c r="CM46" s="20" t="s">
        <v>758</v>
      </c>
      <c r="CP46" s="20" t="s">
        <v>698</v>
      </c>
      <c r="DM46" s="20" t="s">
        <v>715</v>
      </c>
      <c r="DN46" s="20" t="s">
        <v>829</v>
      </c>
      <c r="EM46" s="20" t="s">
        <v>1188</v>
      </c>
      <c r="EN46" s="20" t="s">
        <v>1189</v>
      </c>
      <c r="EP46" s="20" t="s">
        <v>728</v>
      </c>
      <c r="FK46" s="20" t="s">
        <v>728</v>
      </c>
      <c r="FL46" s="20" t="s">
        <v>728</v>
      </c>
      <c r="FM46" s="20" t="s">
        <v>719</v>
      </c>
      <c r="FO46" s="20" t="s">
        <v>720</v>
      </c>
      <c r="FR46" s="20" t="s">
        <v>721</v>
      </c>
      <c r="FY46" s="20" t="s">
        <v>698</v>
      </c>
      <c r="GC46" s="20" t="s">
        <v>696</v>
      </c>
      <c r="GD46" s="20" t="s">
        <v>698</v>
      </c>
      <c r="GE46" s="20" t="s">
        <v>696</v>
      </c>
      <c r="GH46" s="20" t="s">
        <v>696</v>
      </c>
      <c r="GK46" s="20" t="s">
        <v>698</v>
      </c>
      <c r="GT46" s="20" t="s">
        <v>698</v>
      </c>
      <c r="GU46" s="20" t="s">
        <v>698</v>
      </c>
      <c r="HF46" s="20">
        <v>0</v>
      </c>
      <c r="HG46" s="20">
        <v>395</v>
      </c>
      <c r="HH46" s="20">
        <v>25000</v>
      </c>
      <c r="HI46" s="20">
        <v>2500</v>
      </c>
      <c r="HJ46" s="20">
        <v>40000</v>
      </c>
      <c r="HK46" s="20">
        <v>0</v>
      </c>
      <c r="HM46" s="20">
        <v>67895</v>
      </c>
      <c r="HN46" s="20">
        <v>0</v>
      </c>
      <c r="HO46" s="20">
        <v>0</v>
      </c>
      <c r="HP46" s="20">
        <v>0</v>
      </c>
      <c r="HQ46" s="20">
        <v>0</v>
      </c>
      <c r="HR46" s="20">
        <v>55</v>
      </c>
      <c r="HS46" s="20">
        <v>580</v>
      </c>
      <c r="HT46" s="20" t="s">
        <v>722</v>
      </c>
      <c r="HV46" s="24">
        <v>41275</v>
      </c>
      <c r="HW46" s="20" t="s">
        <v>698</v>
      </c>
      <c r="HY46" s="20" t="s">
        <v>723</v>
      </c>
      <c r="HZ46" s="20" t="s">
        <v>698</v>
      </c>
      <c r="IS46" s="20" t="s">
        <v>724</v>
      </c>
      <c r="IT46" s="20" t="s">
        <v>696</v>
      </c>
      <c r="IU46" s="20" t="s">
        <v>696</v>
      </c>
      <c r="IV46" s="20" t="s">
        <v>696</v>
      </c>
      <c r="IW46" s="20" t="s">
        <v>698</v>
      </c>
      <c r="IX46" s="20" t="s">
        <v>698</v>
      </c>
      <c r="IY46" s="20" t="s">
        <v>696</v>
      </c>
      <c r="IZ46" s="20" t="s">
        <v>696</v>
      </c>
      <c r="JA46" s="20" t="s">
        <v>696</v>
      </c>
      <c r="JB46" s="20" t="s">
        <v>698</v>
      </c>
      <c r="JC46" s="20" t="s">
        <v>698</v>
      </c>
      <c r="JD46" s="20" t="s">
        <v>725</v>
      </c>
      <c r="JE46" s="20" t="s">
        <v>726</v>
      </c>
      <c r="JR46" s="20" t="s">
        <v>698</v>
      </c>
      <c r="JS46" s="20" t="s">
        <v>698</v>
      </c>
      <c r="JX46" s="20" t="s">
        <v>789</v>
      </c>
      <c r="JY46" s="20" t="s">
        <v>790</v>
      </c>
      <c r="QB46" s="20" t="s">
        <v>790</v>
      </c>
      <c r="QH46" s="20" t="s">
        <v>696</v>
      </c>
      <c r="RK46" s="20" t="s">
        <v>696</v>
      </c>
      <c r="RL46" s="20" t="s">
        <v>1190</v>
      </c>
      <c r="XL46" s="20" t="s">
        <v>730</v>
      </c>
      <c r="XM46" s="20" t="s">
        <v>731</v>
      </c>
      <c r="XN46" s="20" t="s">
        <v>732</v>
      </c>
      <c r="XO46" s="20" t="s">
        <v>733</v>
      </c>
      <c r="XQ46" s="24">
        <v>45779</v>
      </c>
      <c r="XU46" s="20" t="s">
        <v>730</v>
      </c>
      <c r="XV46" s="20" t="s">
        <v>733</v>
      </c>
      <c r="XW46" s="20" t="s">
        <v>731</v>
      </c>
      <c r="XX46" s="20" t="s">
        <v>732</v>
      </c>
      <c r="XY46" s="20" t="s">
        <v>1191</v>
      </c>
    </row>
    <row r="47" spans="1:649" ht="15.75" customHeight="1">
      <c r="A47" s="20">
        <v>237</v>
      </c>
      <c r="B47" s="21">
        <v>45538</v>
      </c>
      <c r="C47" s="20">
        <v>2024</v>
      </c>
      <c r="D47" s="20">
        <v>20240210</v>
      </c>
      <c r="E47" s="20">
        <v>40616</v>
      </c>
      <c r="F47" s="20" t="s">
        <v>825</v>
      </c>
      <c r="G47" s="20">
        <v>12470</v>
      </c>
      <c r="H47" s="20" t="s">
        <v>1070</v>
      </c>
      <c r="I47" s="20" t="s">
        <v>692</v>
      </c>
      <c r="J47" s="20" t="s">
        <v>693</v>
      </c>
      <c r="K47" s="20" t="s">
        <v>694</v>
      </c>
      <c r="L47" s="20">
        <v>77002</v>
      </c>
      <c r="M47" s="22">
        <v>45512.291666666664</v>
      </c>
      <c r="N47" s="20" t="s">
        <v>695</v>
      </c>
      <c r="O47" s="20" t="s">
        <v>696</v>
      </c>
      <c r="P47" s="20">
        <v>32.876168999999997</v>
      </c>
      <c r="Q47" s="20">
        <v>-91.052987999999999</v>
      </c>
      <c r="R47" s="20" t="s">
        <v>697</v>
      </c>
      <c r="W47" s="20">
        <v>0.4</v>
      </c>
      <c r="Y47" s="20">
        <v>0.4</v>
      </c>
      <c r="Z47" s="20" t="s">
        <v>698</v>
      </c>
      <c r="AF47" s="20">
        <v>0</v>
      </c>
      <c r="AG47" s="20" t="s">
        <v>698</v>
      </c>
      <c r="AM47" s="20">
        <v>0</v>
      </c>
      <c r="AN47" s="20" t="s">
        <v>699</v>
      </c>
      <c r="AP47" s="20" t="s">
        <v>700</v>
      </c>
      <c r="AQ47" s="23">
        <v>45512.302083333336</v>
      </c>
      <c r="AR47" s="20" t="s">
        <v>701</v>
      </c>
      <c r="AS47" s="20" t="s">
        <v>702</v>
      </c>
      <c r="AT47" s="20" t="s">
        <v>703</v>
      </c>
      <c r="AU47" s="20" t="s">
        <v>698</v>
      </c>
      <c r="AV47" s="20" t="s">
        <v>1192</v>
      </c>
      <c r="AZ47" s="20" t="s">
        <v>696</v>
      </c>
      <c r="BA47" s="20" t="s">
        <v>753</v>
      </c>
      <c r="BB47" s="23">
        <v>45512.511805555558</v>
      </c>
      <c r="BC47" s="23">
        <v>45512.3125</v>
      </c>
      <c r="BD47" s="23">
        <v>45512.3125</v>
      </c>
      <c r="BF47" s="20" t="s">
        <v>754</v>
      </c>
      <c r="BH47" s="20" t="s">
        <v>698</v>
      </c>
      <c r="BV47" s="20" t="s">
        <v>696</v>
      </c>
      <c r="BW47" s="23">
        <v>45512.304166666669</v>
      </c>
      <c r="BX47" s="20" t="s">
        <v>698</v>
      </c>
      <c r="CA47" s="20">
        <v>0</v>
      </c>
      <c r="CB47" s="20" t="s">
        <v>1193</v>
      </c>
      <c r="CC47" s="20" t="s">
        <v>1194</v>
      </c>
      <c r="CD47" s="20" t="s">
        <v>1195</v>
      </c>
      <c r="CE47" s="20">
        <v>39111</v>
      </c>
      <c r="CF47" s="20" t="s">
        <v>1196</v>
      </c>
      <c r="CG47" s="20" t="s">
        <v>1197</v>
      </c>
      <c r="CH47" s="20" t="s">
        <v>784</v>
      </c>
      <c r="CI47" s="20">
        <v>227</v>
      </c>
      <c r="CJ47" s="20" t="s">
        <v>698</v>
      </c>
      <c r="CK47" s="20" t="s">
        <v>712</v>
      </c>
      <c r="CL47" s="20" t="s">
        <v>713</v>
      </c>
      <c r="CM47" s="20" t="s">
        <v>758</v>
      </c>
      <c r="CP47" s="20" t="s">
        <v>698</v>
      </c>
      <c r="DM47" s="20" t="s">
        <v>743</v>
      </c>
      <c r="DN47" s="20" t="s">
        <v>744</v>
      </c>
      <c r="DO47" s="20" t="s">
        <v>745</v>
      </c>
      <c r="DP47" s="20" t="s">
        <v>698</v>
      </c>
      <c r="DQ47" s="20">
        <v>16</v>
      </c>
      <c r="DR47" s="20">
        <v>0.375</v>
      </c>
      <c r="DS47" s="20">
        <v>42000</v>
      </c>
      <c r="DT47" s="20" t="s">
        <v>1198</v>
      </c>
      <c r="DU47" s="20" t="s">
        <v>926</v>
      </c>
      <c r="DW47" s="20" t="s">
        <v>728</v>
      </c>
      <c r="DX47" s="20" t="s">
        <v>928</v>
      </c>
      <c r="DZ47" s="20" t="s">
        <v>696</v>
      </c>
      <c r="FK47" s="20">
        <v>1950</v>
      </c>
      <c r="FL47" s="20">
        <v>1948</v>
      </c>
      <c r="FM47" s="20" t="s">
        <v>719</v>
      </c>
      <c r="FO47" s="20" t="s">
        <v>720</v>
      </c>
      <c r="FR47" s="20" t="s">
        <v>749</v>
      </c>
      <c r="FY47" s="20" t="s">
        <v>698</v>
      </c>
      <c r="GC47" s="20" t="s">
        <v>696</v>
      </c>
      <c r="GD47" s="20" t="s">
        <v>698</v>
      </c>
      <c r="GE47" s="20" t="s">
        <v>696</v>
      </c>
      <c r="GH47" s="20" t="s">
        <v>696</v>
      </c>
      <c r="GK47" s="20" t="s">
        <v>698</v>
      </c>
      <c r="GT47" s="20" t="s">
        <v>696</v>
      </c>
      <c r="GU47" s="20" t="s">
        <v>698</v>
      </c>
      <c r="HF47" s="20">
        <v>0</v>
      </c>
      <c r="HG47" s="20">
        <v>0</v>
      </c>
      <c r="HH47" s="20">
        <v>11029</v>
      </c>
      <c r="HI47" s="20">
        <v>5329</v>
      </c>
      <c r="HJ47" s="20">
        <v>1800</v>
      </c>
      <c r="HK47" s="20">
        <v>0</v>
      </c>
      <c r="HM47" s="20">
        <v>18158</v>
      </c>
      <c r="HN47" s="20">
        <v>0</v>
      </c>
      <c r="HO47" s="20">
        <v>0</v>
      </c>
      <c r="HP47" s="20">
        <v>0</v>
      </c>
      <c r="HQ47" s="20">
        <v>0</v>
      </c>
      <c r="HR47" s="20">
        <v>200</v>
      </c>
      <c r="HS47" s="20">
        <v>250</v>
      </c>
      <c r="HT47" s="20" t="s">
        <v>750</v>
      </c>
      <c r="HV47" s="24">
        <v>44459</v>
      </c>
      <c r="HW47" s="20" t="s">
        <v>698</v>
      </c>
      <c r="HY47" s="20" t="s">
        <v>723</v>
      </c>
      <c r="HZ47" s="20" t="s">
        <v>698</v>
      </c>
      <c r="IS47" s="20" t="s">
        <v>724</v>
      </c>
      <c r="IT47" s="20" t="s">
        <v>696</v>
      </c>
      <c r="IU47" s="20" t="s">
        <v>696</v>
      </c>
      <c r="IV47" s="20" t="s">
        <v>696</v>
      </c>
      <c r="IW47" s="20" t="s">
        <v>698</v>
      </c>
      <c r="IX47" s="20" t="s">
        <v>698</v>
      </c>
      <c r="IY47" s="20" t="s">
        <v>698</v>
      </c>
      <c r="JD47" s="20" t="s">
        <v>725</v>
      </c>
      <c r="JE47" s="20" t="s">
        <v>726</v>
      </c>
      <c r="JR47" s="20" t="s">
        <v>698</v>
      </c>
      <c r="JS47" s="20" t="s">
        <v>698</v>
      </c>
      <c r="JX47" s="20" t="s">
        <v>833</v>
      </c>
      <c r="JY47" s="20" t="s">
        <v>834</v>
      </c>
      <c r="JZ47" s="20" t="s">
        <v>834</v>
      </c>
      <c r="LD47" s="20" t="s">
        <v>835</v>
      </c>
      <c r="LG47" s="20" t="s">
        <v>696</v>
      </c>
      <c r="LH47" s="20" t="s">
        <v>696</v>
      </c>
      <c r="LL47" s="20" t="s">
        <v>696</v>
      </c>
      <c r="LM47" s="20" t="s">
        <v>696</v>
      </c>
      <c r="LP47" s="20" t="s">
        <v>696</v>
      </c>
      <c r="LR47" s="20" t="s">
        <v>696</v>
      </c>
      <c r="LU47" s="20" t="s">
        <v>696</v>
      </c>
      <c r="LV47" s="20" t="s">
        <v>698</v>
      </c>
      <c r="LW47" s="20" t="s">
        <v>838</v>
      </c>
      <c r="LX47" s="20" t="s">
        <v>838</v>
      </c>
      <c r="SC47" s="20" t="s">
        <v>698</v>
      </c>
      <c r="UO47" s="20" t="s">
        <v>698</v>
      </c>
      <c r="UR47" s="20" t="s">
        <v>698</v>
      </c>
      <c r="UZ47" s="20" t="s">
        <v>698</v>
      </c>
      <c r="XL47" s="20" t="s">
        <v>730</v>
      </c>
      <c r="XM47" s="20" t="s">
        <v>731</v>
      </c>
      <c r="XN47" s="20" t="s">
        <v>732</v>
      </c>
      <c r="XO47" s="20" t="s">
        <v>733</v>
      </c>
      <c r="XQ47" s="24">
        <v>45728</v>
      </c>
      <c r="XU47" s="20" t="s">
        <v>730</v>
      </c>
      <c r="XV47" s="20" t="s">
        <v>733</v>
      </c>
      <c r="XW47" s="20" t="s">
        <v>731</v>
      </c>
      <c r="XX47" s="20" t="s">
        <v>732</v>
      </c>
      <c r="XY47" s="20" t="s">
        <v>1199</v>
      </c>
    </row>
    <row r="48" spans="1:649" ht="15.75" customHeight="1">
      <c r="A48" s="20">
        <v>248</v>
      </c>
      <c r="B48" s="21">
        <v>45530</v>
      </c>
      <c r="C48" s="20">
        <v>2024</v>
      </c>
      <c r="D48" s="20">
        <v>20240199</v>
      </c>
      <c r="E48" s="20">
        <v>40934</v>
      </c>
      <c r="F48" s="20" t="s">
        <v>825</v>
      </c>
      <c r="G48" s="20">
        <v>22442</v>
      </c>
      <c r="H48" s="20" t="s">
        <v>886</v>
      </c>
      <c r="I48" s="20" t="s">
        <v>692</v>
      </c>
      <c r="J48" s="20" t="s">
        <v>693</v>
      </c>
      <c r="K48" s="20" t="s">
        <v>694</v>
      </c>
      <c r="L48" s="20">
        <v>77002</v>
      </c>
      <c r="M48" s="22">
        <v>45501.625</v>
      </c>
      <c r="N48" s="20" t="s">
        <v>695</v>
      </c>
      <c r="O48" s="20" t="s">
        <v>696</v>
      </c>
      <c r="P48" s="20">
        <v>32.531550000000003</v>
      </c>
      <c r="Q48" s="20">
        <v>-100.8306</v>
      </c>
      <c r="R48" s="20" t="s">
        <v>697</v>
      </c>
      <c r="W48" s="20">
        <v>3.07</v>
      </c>
      <c r="Y48" s="20">
        <v>3.07</v>
      </c>
      <c r="Z48" s="20" t="s">
        <v>698</v>
      </c>
      <c r="AF48" s="20">
        <v>0</v>
      </c>
      <c r="AG48" s="20" t="s">
        <v>698</v>
      </c>
      <c r="AM48" s="20">
        <v>0</v>
      </c>
      <c r="AN48" s="20" t="s">
        <v>699</v>
      </c>
      <c r="AP48" s="20" t="s">
        <v>700</v>
      </c>
      <c r="AQ48" s="23">
        <v>45501.625</v>
      </c>
      <c r="AR48" s="20" t="s">
        <v>701</v>
      </c>
      <c r="AS48" s="20" t="s">
        <v>702</v>
      </c>
      <c r="AT48" s="20" t="s">
        <v>1200</v>
      </c>
      <c r="AZ48" s="20" t="s">
        <v>698</v>
      </c>
      <c r="BC48" s="23">
        <v>45501.729166666664</v>
      </c>
      <c r="BD48" s="23">
        <v>45501.729166666664</v>
      </c>
      <c r="BF48" s="20" t="s">
        <v>754</v>
      </c>
      <c r="BH48" s="20" t="s">
        <v>698</v>
      </c>
      <c r="BV48" s="20" t="s">
        <v>696</v>
      </c>
      <c r="BW48" s="23">
        <v>45501.729166666664</v>
      </c>
      <c r="BX48" s="20" t="s">
        <v>698</v>
      </c>
      <c r="CA48" s="20">
        <v>0</v>
      </c>
      <c r="CB48" s="20" t="s">
        <v>1201</v>
      </c>
      <c r="CC48" s="20" t="s">
        <v>1202</v>
      </c>
      <c r="CD48" s="20" t="s">
        <v>694</v>
      </c>
      <c r="CE48" s="20">
        <v>79526</v>
      </c>
      <c r="CF48" s="20" t="s">
        <v>1203</v>
      </c>
      <c r="CG48" s="20" t="s">
        <v>1204</v>
      </c>
      <c r="CH48" s="20" t="s">
        <v>710</v>
      </c>
      <c r="CI48" s="20" t="s">
        <v>711</v>
      </c>
      <c r="CJ48" s="20" t="s">
        <v>698</v>
      </c>
      <c r="CK48" s="20" t="s">
        <v>712</v>
      </c>
      <c r="CL48" s="20" t="s">
        <v>713</v>
      </c>
      <c r="CM48" s="20" t="s">
        <v>758</v>
      </c>
      <c r="CP48" s="20" t="s">
        <v>698</v>
      </c>
      <c r="DM48" s="20" t="s">
        <v>743</v>
      </c>
      <c r="DN48" s="20" t="s">
        <v>716</v>
      </c>
      <c r="EQ48" s="20" t="s">
        <v>717</v>
      </c>
      <c r="ES48" s="20" t="s">
        <v>718</v>
      </c>
      <c r="FK48" s="20">
        <v>1951</v>
      </c>
      <c r="FL48" s="20" t="s">
        <v>728</v>
      </c>
      <c r="FM48" s="20" t="s">
        <v>719</v>
      </c>
      <c r="FO48" s="20" t="s">
        <v>720</v>
      </c>
      <c r="FR48" s="20" t="s">
        <v>749</v>
      </c>
      <c r="FY48" s="20" t="s">
        <v>698</v>
      </c>
      <c r="GC48" s="20" t="s">
        <v>696</v>
      </c>
      <c r="GD48" s="20" t="s">
        <v>698</v>
      </c>
      <c r="GE48" s="20" t="s">
        <v>696</v>
      </c>
      <c r="GH48" s="20" t="s">
        <v>696</v>
      </c>
      <c r="GK48" s="20" t="s">
        <v>698</v>
      </c>
      <c r="GT48" s="20" t="s">
        <v>698</v>
      </c>
      <c r="GU48" s="20" t="s">
        <v>698</v>
      </c>
      <c r="HF48" s="20">
        <v>0</v>
      </c>
      <c r="HG48" s="20">
        <v>0</v>
      </c>
      <c r="HH48" s="20">
        <v>200</v>
      </c>
      <c r="HI48" s="20">
        <v>8000</v>
      </c>
      <c r="HJ48" s="20">
        <v>0</v>
      </c>
      <c r="HK48" s="20">
        <v>0</v>
      </c>
      <c r="HM48" s="20">
        <v>8200</v>
      </c>
      <c r="HN48" s="20">
        <v>0</v>
      </c>
      <c r="HO48" s="20">
        <v>0</v>
      </c>
      <c r="HP48" s="20">
        <v>0</v>
      </c>
      <c r="HQ48" s="20">
        <v>0</v>
      </c>
      <c r="HR48" s="20">
        <v>75</v>
      </c>
      <c r="HS48" s="20">
        <v>285</v>
      </c>
      <c r="HT48" s="20" t="s">
        <v>750</v>
      </c>
      <c r="HV48" s="24">
        <v>19395</v>
      </c>
      <c r="HW48" s="20" t="s">
        <v>698</v>
      </c>
      <c r="HY48" s="20" t="s">
        <v>723</v>
      </c>
      <c r="HZ48" s="20" t="s">
        <v>698</v>
      </c>
      <c r="IS48" s="20" t="s">
        <v>724</v>
      </c>
      <c r="IT48" s="20" t="s">
        <v>698</v>
      </c>
      <c r="IY48" s="20" t="s">
        <v>698</v>
      </c>
      <c r="JD48" s="20" t="s">
        <v>725</v>
      </c>
      <c r="JE48" s="20" t="s">
        <v>726</v>
      </c>
      <c r="JR48" s="20" t="s">
        <v>698</v>
      </c>
      <c r="JS48" s="20" t="s">
        <v>698</v>
      </c>
      <c r="JX48" s="20" t="s">
        <v>833</v>
      </c>
      <c r="JY48" s="20" t="s">
        <v>834</v>
      </c>
      <c r="JZ48" s="20" t="s">
        <v>834</v>
      </c>
      <c r="LD48" s="20" t="s">
        <v>835</v>
      </c>
      <c r="LG48" s="20" t="s">
        <v>696</v>
      </c>
      <c r="LH48" s="20" t="s">
        <v>696</v>
      </c>
      <c r="LL48" s="20" t="s">
        <v>696</v>
      </c>
      <c r="LP48" s="20" t="s">
        <v>696</v>
      </c>
      <c r="LR48" s="20" t="s">
        <v>696</v>
      </c>
      <c r="LU48" s="20" t="s">
        <v>698</v>
      </c>
      <c r="LV48" s="20" t="s">
        <v>698</v>
      </c>
      <c r="LW48" s="20" t="s">
        <v>838</v>
      </c>
      <c r="LX48" s="20" t="s">
        <v>698</v>
      </c>
      <c r="XL48" s="20" t="s">
        <v>730</v>
      </c>
      <c r="XM48" s="20" t="s">
        <v>731</v>
      </c>
      <c r="XN48" s="20" t="s">
        <v>732</v>
      </c>
      <c r="XO48" s="20" t="s">
        <v>733</v>
      </c>
      <c r="XQ48" s="24">
        <v>45800</v>
      </c>
      <c r="XU48" s="20" t="s">
        <v>730</v>
      </c>
      <c r="XV48" s="20" t="s">
        <v>733</v>
      </c>
      <c r="XW48" s="20" t="s">
        <v>731</v>
      </c>
      <c r="XX48" s="20" t="s">
        <v>732</v>
      </c>
      <c r="XY48" s="20" t="s">
        <v>1205</v>
      </c>
    </row>
    <row r="49" spans="1:649" ht="15.75" customHeight="1">
      <c r="A49" s="20">
        <v>257</v>
      </c>
      <c r="B49" s="21">
        <v>45516</v>
      </c>
      <c r="C49" s="20">
        <v>2024</v>
      </c>
      <c r="D49" s="20">
        <v>20240188</v>
      </c>
      <c r="E49" s="20">
        <v>39882</v>
      </c>
      <c r="F49" s="20" t="s">
        <v>885</v>
      </c>
      <c r="G49" s="20">
        <v>32683</v>
      </c>
      <c r="H49" s="20" t="s">
        <v>1206</v>
      </c>
      <c r="I49" s="20" t="s">
        <v>692</v>
      </c>
      <c r="J49" s="20" t="s">
        <v>693</v>
      </c>
      <c r="K49" s="20" t="s">
        <v>694</v>
      </c>
      <c r="L49" s="20">
        <v>77002</v>
      </c>
      <c r="M49" s="22">
        <v>45486.75</v>
      </c>
      <c r="N49" s="20" t="s">
        <v>843</v>
      </c>
      <c r="O49" s="20" t="s">
        <v>696</v>
      </c>
      <c r="P49" s="20">
        <v>40.709479999999999</v>
      </c>
      <c r="Q49" s="20">
        <v>-84.130949999999999</v>
      </c>
      <c r="R49" s="20" t="s">
        <v>844</v>
      </c>
      <c r="S49" s="20" t="s">
        <v>845</v>
      </c>
      <c r="W49" s="20">
        <v>13</v>
      </c>
      <c r="Y49" s="20">
        <v>13</v>
      </c>
      <c r="Z49" s="20" t="s">
        <v>698</v>
      </c>
      <c r="AF49" s="20">
        <v>0</v>
      </c>
      <c r="AG49" s="20" t="s">
        <v>698</v>
      </c>
      <c r="AM49" s="20">
        <v>0</v>
      </c>
      <c r="AN49" s="20" t="s">
        <v>699</v>
      </c>
      <c r="AP49" s="20" t="s">
        <v>700</v>
      </c>
      <c r="AQ49" s="23">
        <v>45486.75</v>
      </c>
      <c r="AR49" s="20" t="s">
        <v>701</v>
      </c>
      <c r="AS49" s="20" t="s">
        <v>702</v>
      </c>
      <c r="AT49" s="20" t="s">
        <v>703</v>
      </c>
      <c r="AU49" s="20" t="s">
        <v>696</v>
      </c>
      <c r="AW49" s="23">
        <v>45486.8125</v>
      </c>
      <c r="AX49" s="23">
        <v>45486.979166666664</v>
      </c>
      <c r="AZ49" s="20" t="s">
        <v>696</v>
      </c>
      <c r="BA49" s="20" t="s">
        <v>753</v>
      </c>
      <c r="BB49" s="23">
        <v>45486.913888888892</v>
      </c>
      <c r="BC49" s="23">
        <v>45486.75</v>
      </c>
      <c r="BD49" s="23">
        <v>45486.854166666664</v>
      </c>
      <c r="BE49" s="23">
        <v>45486.914583333331</v>
      </c>
      <c r="BF49" s="20">
        <v>1404694</v>
      </c>
      <c r="BG49" s="20">
        <v>1404851</v>
      </c>
      <c r="BH49" s="20" t="s">
        <v>698</v>
      </c>
      <c r="BV49" s="20" t="s">
        <v>696</v>
      </c>
      <c r="BW49" s="23">
        <v>45486.770833333336</v>
      </c>
      <c r="BX49" s="20" t="s">
        <v>698</v>
      </c>
      <c r="CA49" s="20">
        <v>0</v>
      </c>
      <c r="CB49" s="20" t="s">
        <v>1073</v>
      </c>
      <c r="CC49" s="20" t="s">
        <v>1207</v>
      </c>
      <c r="CD49" s="20" t="s">
        <v>1075</v>
      </c>
      <c r="CE49" s="20">
        <v>45804</v>
      </c>
      <c r="CF49" s="20" t="s">
        <v>1118</v>
      </c>
      <c r="CG49" s="20" t="s">
        <v>1076</v>
      </c>
      <c r="CH49" s="20" t="s">
        <v>710</v>
      </c>
      <c r="CI49" s="20" t="s">
        <v>1208</v>
      </c>
      <c r="CJ49" s="20" t="s">
        <v>698</v>
      </c>
      <c r="CK49" s="20" t="s">
        <v>712</v>
      </c>
      <c r="CL49" s="20" t="s">
        <v>741</v>
      </c>
      <c r="CM49" s="20" t="s">
        <v>742</v>
      </c>
      <c r="CO49" s="20">
        <v>36</v>
      </c>
      <c r="CP49" s="20" t="s">
        <v>698</v>
      </c>
      <c r="DM49" s="20" t="s">
        <v>743</v>
      </c>
      <c r="DN49" s="20" t="s">
        <v>829</v>
      </c>
      <c r="EM49" s="20" t="s">
        <v>830</v>
      </c>
      <c r="FK49" s="20" t="s">
        <v>728</v>
      </c>
      <c r="FL49" s="20" t="s">
        <v>728</v>
      </c>
      <c r="FM49" s="20" t="s">
        <v>719</v>
      </c>
      <c r="FO49" s="20" t="s">
        <v>720</v>
      </c>
      <c r="FR49" s="20" t="s">
        <v>823</v>
      </c>
      <c r="FY49" s="20" t="s">
        <v>698</v>
      </c>
      <c r="GC49" s="20" t="s">
        <v>696</v>
      </c>
      <c r="GD49" s="20" t="s">
        <v>698</v>
      </c>
      <c r="GE49" s="20" t="s">
        <v>696</v>
      </c>
      <c r="GH49" s="20" t="s">
        <v>696</v>
      </c>
      <c r="GK49" s="20" t="s">
        <v>698</v>
      </c>
      <c r="GT49" s="20" t="s">
        <v>696</v>
      </c>
      <c r="GU49" s="20" t="s">
        <v>696</v>
      </c>
      <c r="GX49" s="20" t="s">
        <v>696</v>
      </c>
      <c r="GY49" s="20" t="s">
        <v>696</v>
      </c>
      <c r="HF49" s="20">
        <v>0</v>
      </c>
      <c r="HG49" s="20">
        <v>1289</v>
      </c>
      <c r="HH49" s="20">
        <v>25</v>
      </c>
      <c r="HI49" s="20">
        <v>10000</v>
      </c>
      <c r="HJ49" s="20">
        <v>65000</v>
      </c>
      <c r="HK49" s="20">
        <v>0</v>
      </c>
      <c r="HM49" s="20">
        <v>76314</v>
      </c>
      <c r="HN49" s="20">
        <v>0</v>
      </c>
      <c r="HO49" s="20">
        <v>0</v>
      </c>
      <c r="HP49" s="20">
        <v>0</v>
      </c>
      <c r="HQ49" s="20">
        <v>0</v>
      </c>
      <c r="HR49" s="20">
        <v>29</v>
      </c>
      <c r="HS49" s="20">
        <v>1200</v>
      </c>
      <c r="HT49" s="20" t="s">
        <v>750</v>
      </c>
      <c r="HV49" s="24">
        <v>43748</v>
      </c>
      <c r="HW49" s="20" t="s">
        <v>698</v>
      </c>
      <c r="HY49" s="20" t="s">
        <v>723</v>
      </c>
      <c r="HZ49" s="20" t="s">
        <v>698</v>
      </c>
      <c r="IS49" s="20" t="s">
        <v>724</v>
      </c>
      <c r="IT49" s="20" t="s">
        <v>696</v>
      </c>
      <c r="IU49" s="20" t="s">
        <v>696</v>
      </c>
      <c r="IV49" s="20" t="s">
        <v>696</v>
      </c>
      <c r="IW49" s="20" t="s">
        <v>698</v>
      </c>
      <c r="IX49" s="20" t="s">
        <v>698</v>
      </c>
      <c r="IY49" s="20" t="s">
        <v>696</v>
      </c>
      <c r="IZ49" s="20" t="s">
        <v>696</v>
      </c>
      <c r="JA49" s="20" t="s">
        <v>696</v>
      </c>
      <c r="JB49" s="20" t="s">
        <v>698</v>
      </c>
      <c r="JC49" s="20" t="s">
        <v>698</v>
      </c>
      <c r="JD49" s="20" t="s">
        <v>725</v>
      </c>
      <c r="JE49" s="20" t="s">
        <v>1209</v>
      </c>
      <c r="JR49" s="20" t="s">
        <v>698</v>
      </c>
      <c r="JS49" s="20" t="s">
        <v>698</v>
      </c>
      <c r="JX49" s="20" t="s">
        <v>789</v>
      </c>
      <c r="JY49" s="20" t="s">
        <v>953</v>
      </c>
      <c r="QB49" s="20" t="s">
        <v>953</v>
      </c>
      <c r="QQ49" s="20" t="s">
        <v>1210</v>
      </c>
      <c r="RK49" s="20" t="s">
        <v>696</v>
      </c>
      <c r="RL49" s="20" t="s">
        <v>1211</v>
      </c>
      <c r="XL49" s="20" t="s">
        <v>730</v>
      </c>
      <c r="XM49" s="20" t="s">
        <v>731</v>
      </c>
      <c r="XN49" s="20" t="s">
        <v>732</v>
      </c>
      <c r="XO49" s="20" t="s">
        <v>733</v>
      </c>
      <c r="XQ49" s="24">
        <v>45516</v>
      </c>
      <c r="XU49" s="20" t="s">
        <v>730</v>
      </c>
      <c r="XV49" s="20" t="s">
        <v>733</v>
      </c>
      <c r="XW49" s="20" t="s">
        <v>731</v>
      </c>
      <c r="XX49" s="20" t="s">
        <v>732</v>
      </c>
      <c r="XY49" s="20" t="s">
        <v>1212</v>
      </c>
    </row>
    <row r="50" spans="1:649" ht="15.75" customHeight="1">
      <c r="A50" s="20">
        <v>258</v>
      </c>
      <c r="B50" s="21">
        <v>45506</v>
      </c>
      <c r="C50" s="20">
        <v>2024</v>
      </c>
      <c r="D50" s="20">
        <v>20240180</v>
      </c>
      <c r="E50" s="20">
        <v>39854</v>
      </c>
      <c r="F50" s="20" t="s">
        <v>885</v>
      </c>
      <c r="G50" s="20">
        <v>39706</v>
      </c>
      <c r="H50" s="20" t="s">
        <v>817</v>
      </c>
      <c r="I50" s="20" t="s">
        <v>692</v>
      </c>
      <c r="J50" s="20" t="s">
        <v>693</v>
      </c>
      <c r="K50" s="20" t="s">
        <v>694</v>
      </c>
      <c r="L50" s="20">
        <v>77002</v>
      </c>
      <c r="M50" s="22">
        <v>45486.166666666664</v>
      </c>
      <c r="N50" s="20" t="s">
        <v>695</v>
      </c>
      <c r="O50" s="20" t="s">
        <v>696</v>
      </c>
      <c r="P50" s="20">
        <v>29.994989</v>
      </c>
      <c r="Q50" s="20">
        <v>-93.992599999999996</v>
      </c>
      <c r="R50" s="20" t="s">
        <v>697</v>
      </c>
      <c r="W50" s="20">
        <v>1</v>
      </c>
      <c r="Y50" s="20">
        <v>1</v>
      </c>
      <c r="Z50" s="20" t="s">
        <v>698</v>
      </c>
      <c r="AF50" s="20">
        <v>0</v>
      </c>
      <c r="AG50" s="20" t="s">
        <v>698</v>
      </c>
      <c r="AM50" s="20">
        <v>0</v>
      </c>
      <c r="AN50" s="20" t="s">
        <v>797</v>
      </c>
      <c r="AQ50" s="23">
        <v>45486.166666666664</v>
      </c>
      <c r="AR50" s="20" t="s">
        <v>736</v>
      </c>
      <c r="AS50" s="20" t="s">
        <v>702</v>
      </c>
      <c r="AT50" s="20" t="s">
        <v>703</v>
      </c>
      <c r="AU50" s="20" t="s">
        <v>696</v>
      </c>
      <c r="AW50" s="23">
        <v>45486.166666666664</v>
      </c>
      <c r="AX50" s="23">
        <v>45486.972222222219</v>
      </c>
      <c r="AZ50" s="20" t="s">
        <v>698</v>
      </c>
      <c r="BC50" s="23">
        <v>45486.166666666664</v>
      </c>
      <c r="BD50" s="23">
        <v>45486.166666666664</v>
      </c>
      <c r="BF50" s="20" t="s">
        <v>754</v>
      </c>
      <c r="BH50" s="20" t="s">
        <v>698</v>
      </c>
      <c r="BV50" s="20" t="s">
        <v>696</v>
      </c>
      <c r="BW50" s="23">
        <v>45486.166666666664</v>
      </c>
      <c r="BX50" s="20" t="s">
        <v>698</v>
      </c>
      <c r="CA50" s="20">
        <v>0</v>
      </c>
      <c r="CB50" s="20" t="s">
        <v>818</v>
      </c>
      <c r="CC50" s="20" t="s">
        <v>1213</v>
      </c>
      <c r="CD50" s="20" t="s">
        <v>694</v>
      </c>
      <c r="CE50" s="20">
        <v>77627</v>
      </c>
      <c r="CF50" s="20" t="s">
        <v>820</v>
      </c>
      <c r="CG50" s="20" t="s">
        <v>821</v>
      </c>
      <c r="CH50" s="20" t="s">
        <v>710</v>
      </c>
      <c r="CI50" s="20" t="s">
        <v>711</v>
      </c>
      <c r="CJ50" s="20" t="s">
        <v>698</v>
      </c>
      <c r="CK50" s="20" t="s">
        <v>712</v>
      </c>
      <c r="CL50" s="20" t="s">
        <v>713</v>
      </c>
      <c r="CM50" s="20" t="s">
        <v>758</v>
      </c>
      <c r="CP50" s="20" t="s">
        <v>698</v>
      </c>
      <c r="DM50" s="20" t="s">
        <v>743</v>
      </c>
      <c r="DN50" s="20" t="s">
        <v>759</v>
      </c>
      <c r="FK50" s="20" t="s">
        <v>728</v>
      </c>
      <c r="FL50" s="20" t="s">
        <v>728</v>
      </c>
      <c r="FM50" s="20" t="s">
        <v>719</v>
      </c>
      <c r="FO50" s="20" t="s">
        <v>720</v>
      </c>
      <c r="FR50" s="20" t="s">
        <v>823</v>
      </c>
      <c r="FY50" s="20" t="s">
        <v>698</v>
      </c>
      <c r="GC50" s="20" t="s">
        <v>698</v>
      </c>
      <c r="GD50" s="20" t="s">
        <v>698</v>
      </c>
      <c r="GE50" s="20" t="s">
        <v>698</v>
      </c>
      <c r="GK50" s="20" t="s">
        <v>698</v>
      </c>
      <c r="GT50" s="20" t="s">
        <v>696</v>
      </c>
      <c r="GU50" s="20" t="s">
        <v>696</v>
      </c>
      <c r="GX50" s="20" t="s">
        <v>696</v>
      </c>
      <c r="GY50" s="20" t="s">
        <v>696</v>
      </c>
      <c r="HF50" s="20">
        <v>0</v>
      </c>
      <c r="HG50" s="20">
        <v>100</v>
      </c>
      <c r="HH50" s="20">
        <v>26000</v>
      </c>
      <c r="HI50" s="20">
        <v>2500</v>
      </c>
      <c r="HJ50" s="20">
        <v>1000</v>
      </c>
      <c r="HK50" s="20">
        <v>0</v>
      </c>
      <c r="HM50" s="20">
        <v>29600</v>
      </c>
      <c r="HN50" s="20">
        <v>0</v>
      </c>
      <c r="HO50" s="20">
        <v>0</v>
      </c>
      <c r="HP50" s="20">
        <v>0</v>
      </c>
      <c r="HQ50" s="20">
        <v>0</v>
      </c>
      <c r="HR50" s="20">
        <v>308</v>
      </c>
      <c r="HS50" s="20">
        <v>285</v>
      </c>
      <c r="HT50" s="20" t="s">
        <v>750</v>
      </c>
      <c r="HV50" s="24">
        <v>42005</v>
      </c>
      <c r="HW50" s="20" t="s">
        <v>698</v>
      </c>
      <c r="HY50" s="20" t="s">
        <v>1214</v>
      </c>
      <c r="HZ50" s="20" t="s">
        <v>698</v>
      </c>
      <c r="IS50" s="20" t="s">
        <v>724</v>
      </c>
      <c r="IT50" s="20" t="s">
        <v>696</v>
      </c>
      <c r="IU50" s="20" t="s">
        <v>696</v>
      </c>
      <c r="IV50" s="20" t="s">
        <v>696</v>
      </c>
      <c r="IW50" s="20" t="s">
        <v>696</v>
      </c>
      <c r="IX50" s="20" t="s">
        <v>696</v>
      </c>
      <c r="IY50" s="20" t="s">
        <v>696</v>
      </c>
      <c r="IZ50" s="20" t="s">
        <v>696</v>
      </c>
      <c r="JA50" s="20" t="s">
        <v>696</v>
      </c>
      <c r="JB50" s="20" t="s">
        <v>698</v>
      </c>
      <c r="JC50" s="20" t="s">
        <v>698</v>
      </c>
      <c r="JD50" s="20" t="s">
        <v>859</v>
      </c>
      <c r="JK50" s="20" t="s">
        <v>696</v>
      </c>
      <c r="JR50" s="20" t="s">
        <v>696</v>
      </c>
      <c r="JS50" s="20" t="s">
        <v>698</v>
      </c>
      <c r="JT50" s="20">
        <v>1</v>
      </c>
      <c r="JU50" s="20">
        <v>0</v>
      </c>
      <c r="JX50" s="20" t="s">
        <v>894</v>
      </c>
      <c r="JY50" s="20" t="s">
        <v>1215</v>
      </c>
      <c r="RM50" s="20" t="s">
        <v>1215</v>
      </c>
      <c r="RS50" s="20" t="s">
        <v>696</v>
      </c>
      <c r="RV50" s="20" t="s">
        <v>897</v>
      </c>
      <c r="RW50" s="20" t="s">
        <v>696</v>
      </c>
      <c r="RX50" s="20" t="s">
        <v>898</v>
      </c>
      <c r="XL50" s="20" t="s">
        <v>730</v>
      </c>
      <c r="XM50" s="20" t="s">
        <v>731</v>
      </c>
      <c r="XN50" s="20" t="s">
        <v>732</v>
      </c>
      <c r="XO50" s="20" t="s">
        <v>733</v>
      </c>
      <c r="XQ50" s="24">
        <v>45505</v>
      </c>
      <c r="XU50" s="20" t="s">
        <v>730</v>
      </c>
      <c r="XV50" s="20" t="s">
        <v>733</v>
      </c>
      <c r="XW50" s="20" t="s">
        <v>731</v>
      </c>
      <c r="XX50" s="20" t="s">
        <v>732</v>
      </c>
      <c r="XY50" s="20" t="s">
        <v>1216</v>
      </c>
    </row>
    <row r="51" spans="1:649" ht="15.75" customHeight="1">
      <c r="A51" s="20">
        <v>260</v>
      </c>
      <c r="B51" s="21">
        <v>45506</v>
      </c>
      <c r="C51" s="20">
        <v>2024</v>
      </c>
      <c r="D51" s="20">
        <v>20240181</v>
      </c>
      <c r="E51" s="20">
        <v>40306</v>
      </c>
      <c r="F51" s="20" t="s">
        <v>825</v>
      </c>
      <c r="G51" s="20">
        <v>31888</v>
      </c>
      <c r="H51" s="20" t="s">
        <v>1126</v>
      </c>
      <c r="I51" s="20" t="s">
        <v>692</v>
      </c>
      <c r="J51" s="20" t="s">
        <v>693</v>
      </c>
      <c r="K51" s="20" t="s">
        <v>694</v>
      </c>
      <c r="L51" s="20">
        <v>77002</v>
      </c>
      <c r="M51" s="22">
        <v>45485.566666666666</v>
      </c>
      <c r="N51" s="20" t="s">
        <v>695</v>
      </c>
      <c r="O51" s="20" t="s">
        <v>696</v>
      </c>
      <c r="P51" s="20">
        <v>32.009271200000001</v>
      </c>
      <c r="Q51" s="20">
        <v>-102.0338072</v>
      </c>
      <c r="R51" s="20" t="s">
        <v>697</v>
      </c>
      <c r="W51" s="20">
        <v>55</v>
      </c>
      <c r="Y51" s="20">
        <v>55</v>
      </c>
      <c r="Z51" s="20" t="s">
        <v>698</v>
      </c>
      <c r="AF51" s="20">
        <v>0</v>
      </c>
      <c r="AG51" s="20" t="s">
        <v>698</v>
      </c>
      <c r="AM51" s="20">
        <v>0</v>
      </c>
      <c r="AN51" s="20" t="s">
        <v>699</v>
      </c>
      <c r="AP51" s="20" t="s">
        <v>1013</v>
      </c>
      <c r="AQ51" s="23">
        <v>45485.566666666666</v>
      </c>
      <c r="AR51" s="20" t="s">
        <v>736</v>
      </c>
      <c r="AS51" s="20" t="s">
        <v>702</v>
      </c>
      <c r="AT51" s="20" t="s">
        <v>703</v>
      </c>
      <c r="AU51" s="20" t="s">
        <v>696</v>
      </c>
      <c r="AW51" s="23">
        <v>45485.604166666664</v>
      </c>
      <c r="AX51" s="23">
        <v>45487.333333333336</v>
      </c>
      <c r="AZ51" s="20" t="s">
        <v>696</v>
      </c>
      <c r="BA51" s="20" t="s">
        <v>753</v>
      </c>
      <c r="BB51" s="23">
        <v>45485.965277777781</v>
      </c>
      <c r="BC51" s="23">
        <v>45485.604166666664</v>
      </c>
      <c r="BD51" s="23">
        <v>45485.951388888891</v>
      </c>
      <c r="BE51" s="23">
        <v>45489.543055555558</v>
      </c>
      <c r="BF51" s="20">
        <v>1404950</v>
      </c>
      <c r="BG51" s="20">
        <v>1405173</v>
      </c>
      <c r="BH51" s="20" t="s">
        <v>698</v>
      </c>
      <c r="BV51" s="20" t="s">
        <v>696</v>
      </c>
      <c r="BW51" s="23">
        <v>45485.59375</v>
      </c>
      <c r="BX51" s="20" t="s">
        <v>698</v>
      </c>
      <c r="CA51" s="20">
        <v>0</v>
      </c>
      <c r="CB51" s="20" t="s">
        <v>755</v>
      </c>
      <c r="CC51" s="20" t="s">
        <v>1217</v>
      </c>
      <c r="CD51" s="20" t="s">
        <v>694</v>
      </c>
      <c r="CE51" s="20">
        <v>79706</v>
      </c>
      <c r="CF51" s="20" t="s">
        <v>708</v>
      </c>
      <c r="CG51" s="20" t="s">
        <v>757</v>
      </c>
      <c r="CH51" s="20" t="s">
        <v>784</v>
      </c>
      <c r="CI51" s="20" t="s">
        <v>711</v>
      </c>
      <c r="CJ51" s="20" t="s">
        <v>698</v>
      </c>
      <c r="CK51" s="20" t="s">
        <v>712</v>
      </c>
      <c r="CL51" s="20" t="s">
        <v>741</v>
      </c>
      <c r="CM51" s="20" t="s">
        <v>742</v>
      </c>
      <c r="CO51" s="20">
        <v>6</v>
      </c>
      <c r="CP51" s="20" t="s">
        <v>698</v>
      </c>
      <c r="DM51" s="20" t="s">
        <v>715</v>
      </c>
      <c r="DN51" s="20" t="s">
        <v>822</v>
      </c>
      <c r="FK51" s="20" t="s">
        <v>728</v>
      </c>
      <c r="FL51" s="20" t="s">
        <v>728</v>
      </c>
      <c r="FM51" s="20" t="s">
        <v>719</v>
      </c>
      <c r="FO51" s="20" t="s">
        <v>720</v>
      </c>
      <c r="FR51" s="20" t="s">
        <v>749</v>
      </c>
      <c r="FY51" s="20" t="s">
        <v>698</v>
      </c>
      <c r="GC51" s="20" t="s">
        <v>696</v>
      </c>
      <c r="GD51" s="20" t="s">
        <v>698</v>
      </c>
      <c r="GE51" s="20" t="s">
        <v>696</v>
      </c>
      <c r="GH51" s="20" t="s">
        <v>696</v>
      </c>
      <c r="GK51" s="20" t="s">
        <v>698</v>
      </c>
      <c r="GT51" s="20" t="s">
        <v>698</v>
      </c>
      <c r="GU51" s="20" t="s">
        <v>698</v>
      </c>
      <c r="HF51" s="20">
        <v>0</v>
      </c>
      <c r="HG51" s="20">
        <v>6000</v>
      </c>
      <c r="HH51" s="20">
        <v>45000</v>
      </c>
      <c r="HI51" s="20">
        <v>10000</v>
      </c>
      <c r="HJ51" s="20">
        <v>108000</v>
      </c>
      <c r="HK51" s="20">
        <v>0</v>
      </c>
      <c r="HM51" s="20">
        <v>169000</v>
      </c>
      <c r="HN51" s="20">
        <v>0</v>
      </c>
      <c r="HO51" s="20">
        <v>0</v>
      </c>
      <c r="HP51" s="20">
        <v>0</v>
      </c>
      <c r="HQ51" s="20">
        <v>0</v>
      </c>
      <c r="HR51" s="20">
        <v>8</v>
      </c>
      <c r="HS51" s="20">
        <v>275</v>
      </c>
      <c r="HT51" s="20" t="s">
        <v>750</v>
      </c>
      <c r="HV51" s="24">
        <v>35415</v>
      </c>
      <c r="HW51" s="20" t="s">
        <v>698</v>
      </c>
      <c r="HY51" s="20" t="s">
        <v>723</v>
      </c>
      <c r="HZ51" s="20" t="s">
        <v>698</v>
      </c>
      <c r="IS51" s="20" t="s">
        <v>808</v>
      </c>
      <c r="IT51" s="20" t="s">
        <v>696</v>
      </c>
      <c r="IU51" s="20" t="s">
        <v>696</v>
      </c>
      <c r="IV51" s="20" t="s">
        <v>696</v>
      </c>
      <c r="IW51" s="20" t="s">
        <v>698</v>
      </c>
      <c r="IX51" s="20" t="s">
        <v>698</v>
      </c>
      <c r="IY51" s="20" t="s">
        <v>698</v>
      </c>
      <c r="JD51" s="20" t="s">
        <v>725</v>
      </c>
      <c r="JE51" s="20" t="s">
        <v>726</v>
      </c>
      <c r="JR51" s="20" t="s">
        <v>698</v>
      </c>
      <c r="JS51" s="20" t="s">
        <v>698</v>
      </c>
      <c r="JX51" s="20" t="s">
        <v>833</v>
      </c>
      <c r="JY51" s="20" t="s">
        <v>834</v>
      </c>
      <c r="JZ51" s="20" t="s">
        <v>834</v>
      </c>
      <c r="LD51" s="20" t="s">
        <v>835</v>
      </c>
      <c r="LG51" s="20" t="s">
        <v>696</v>
      </c>
      <c r="LM51" s="20" t="s">
        <v>696</v>
      </c>
      <c r="LP51" s="20" t="s">
        <v>696</v>
      </c>
      <c r="LU51" s="20" t="s">
        <v>698</v>
      </c>
      <c r="LV51" s="20" t="s">
        <v>698</v>
      </c>
      <c r="LW51" s="20" t="s">
        <v>838</v>
      </c>
      <c r="LX51" s="20" t="s">
        <v>838</v>
      </c>
      <c r="XL51" s="20" t="s">
        <v>730</v>
      </c>
      <c r="XM51" s="20" t="s">
        <v>731</v>
      </c>
      <c r="XN51" s="20" t="s">
        <v>732</v>
      </c>
      <c r="XO51" s="20" t="s">
        <v>733</v>
      </c>
      <c r="XQ51" s="24">
        <v>45636</v>
      </c>
      <c r="XU51" s="20" t="s">
        <v>730</v>
      </c>
      <c r="XV51" s="20" t="s">
        <v>733</v>
      </c>
      <c r="XW51" s="20" t="s">
        <v>731</v>
      </c>
      <c r="XX51" s="20" t="s">
        <v>732</v>
      </c>
      <c r="XY51" s="20" t="s">
        <v>1218</v>
      </c>
    </row>
    <row r="52" spans="1:649" ht="15.75" customHeight="1">
      <c r="A52" s="20">
        <v>263</v>
      </c>
      <c r="B52" s="21">
        <v>45506</v>
      </c>
      <c r="C52" s="20">
        <v>2024</v>
      </c>
      <c r="D52" s="20">
        <v>20240179</v>
      </c>
      <c r="E52" s="20">
        <v>39931</v>
      </c>
      <c r="F52" s="20" t="s">
        <v>825</v>
      </c>
      <c r="G52" s="20">
        <v>32099</v>
      </c>
      <c r="H52" s="20" t="s">
        <v>752</v>
      </c>
      <c r="I52" s="20" t="s">
        <v>692</v>
      </c>
      <c r="J52" s="20" t="s">
        <v>693</v>
      </c>
      <c r="K52" s="20" t="s">
        <v>694</v>
      </c>
      <c r="L52" s="20">
        <v>77002</v>
      </c>
      <c r="M52" s="22">
        <v>45482.40625</v>
      </c>
      <c r="N52" s="20" t="s">
        <v>695</v>
      </c>
      <c r="O52" s="20" t="s">
        <v>696</v>
      </c>
      <c r="P52" s="20">
        <v>32.483080999999999</v>
      </c>
      <c r="Q52" s="20">
        <v>-94.838008000000002</v>
      </c>
      <c r="R52" s="20" t="s">
        <v>697</v>
      </c>
      <c r="W52" s="20">
        <v>6</v>
      </c>
      <c r="Y52" s="20">
        <v>6</v>
      </c>
      <c r="Z52" s="20" t="s">
        <v>698</v>
      </c>
      <c r="AF52" s="20">
        <v>0</v>
      </c>
      <c r="AG52" s="20" t="s">
        <v>698</v>
      </c>
      <c r="AM52" s="20">
        <v>0</v>
      </c>
      <c r="AN52" s="20" t="s">
        <v>699</v>
      </c>
      <c r="AP52" s="20" t="s">
        <v>700</v>
      </c>
      <c r="AQ52" s="23">
        <v>45482.40625</v>
      </c>
      <c r="AR52" s="20" t="s">
        <v>701</v>
      </c>
      <c r="AS52" s="20" t="s">
        <v>702</v>
      </c>
      <c r="AT52" s="20" t="s">
        <v>703</v>
      </c>
      <c r="AU52" s="20" t="s">
        <v>696</v>
      </c>
      <c r="AW52" s="23">
        <v>45482.409722222219</v>
      </c>
      <c r="AX52" s="23">
        <v>45482.605555555558</v>
      </c>
      <c r="AZ52" s="20" t="s">
        <v>696</v>
      </c>
      <c r="BA52" s="20" t="s">
        <v>753</v>
      </c>
      <c r="BB52" s="23">
        <v>45482.446527777778</v>
      </c>
      <c r="BC52" s="23">
        <v>45482.40625</v>
      </c>
      <c r="BD52" s="23">
        <v>45482.40625</v>
      </c>
      <c r="BE52" s="23">
        <v>45482.442361111112</v>
      </c>
      <c r="BF52" s="20">
        <v>1404175</v>
      </c>
      <c r="BG52" s="20">
        <v>1404374</v>
      </c>
      <c r="BH52" s="20" t="s">
        <v>698</v>
      </c>
      <c r="BV52" s="20" t="s">
        <v>696</v>
      </c>
      <c r="BW52" s="23">
        <v>45482.40625</v>
      </c>
      <c r="BX52" s="20" t="s">
        <v>698</v>
      </c>
      <c r="CA52" s="20">
        <v>0</v>
      </c>
      <c r="CB52" s="20" t="s">
        <v>1120</v>
      </c>
      <c r="CC52" s="20" t="s">
        <v>1219</v>
      </c>
      <c r="CD52" s="20" t="s">
        <v>694</v>
      </c>
      <c r="CE52" s="20">
        <v>75604</v>
      </c>
      <c r="CF52" s="20" t="s">
        <v>1122</v>
      </c>
      <c r="CG52" s="20" t="s">
        <v>1123</v>
      </c>
      <c r="CH52" s="20" t="s">
        <v>710</v>
      </c>
      <c r="CI52" s="20" t="s">
        <v>711</v>
      </c>
      <c r="CJ52" s="20" t="s">
        <v>698</v>
      </c>
      <c r="CK52" s="20" t="s">
        <v>712</v>
      </c>
      <c r="CL52" s="20" t="s">
        <v>713</v>
      </c>
      <c r="CM52" s="20" t="s">
        <v>758</v>
      </c>
      <c r="CP52" s="20" t="s">
        <v>698</v>
      </c>
      <c r="DM52" s="20" t="s">
        <v>715</v>
      </c>
      <c r="DN52" s="20" t="s">
        <v>744</v>
      </c>
      <c r="DO52" s="20" t="s">
        <v>745</v>
      </c>
      <c r="DP52" s="20" t="s">
        <v>698</v>
      </c>
      <c r="DQ52" s="20">
        <v>20</v>
      </c>
      <c r="DR52" s="20">
        <v>0.37</v>
      </c>
      <c r="DS52" s="20">
        <v>42000</v>
      </c>
      <c r="DT52" s="20" t="s">
        <v>1220</v>
      </c>
      <c r="DU52" s="20" t="s">
        <v>747</v>
      </c>
      <c r="DW52" s="20" t="s">
        <v>728</v>
      </c>
      <c r="DX52" s="20" t="s">
        <v>748</v>
      </c>
      <c r="DZ52" s="20" t="s">
        <v>698</v>
      </c>
      <c r="FK52" s="20">
        <v>2016</v>
      </c>
      <c r="FL52" s="20" t="s">
        <v>728</v>
      </c>
      <c r="FM52" s="20" t="s">
        <v>719</v>
      </c>
      <c r="FO52" s="20" t="s">
        <v>720</v>
      </c>
      <c r="FR52" s="20" t="s">
        <v>749</v>
      </c>
      <c r="FY52" s="20" t="s">
        <v>698</v>
      </c>
      <c r="GC52" s="20" t="s">
        <v>696</v>
      </c>
      <c r="GD52" s="20" t="s">
        <v>698</v>
      </c>
      <c r="GE52" s="20" t="s">
        <v>696</v>
      </c>
      <c r="GH52" s="20" t="s">
        <v>696</v>
      </c>
      <c r="GK52" s="20" t="s">
        <v>698</v>
      </c>
      <c r="GT52" s="20" t="s">
        <v>698</v>
      </c>
      <c r="GU52" s="20" t="s">
        <v>698</v>
      </c>
      <c r="HF52" s="20">
        <v>0</v>
      </c>
      <c r="HG52" s="20">
        <v>90</v>
      </c>
      <c r="HH52" s="20">
        <v>4000</v>
      </c>
      <c r="HI52" s="20">
        <v>16000</v>
      </c>
      <c r="HJ52" s="20">
        <v>4000</v>
      </c>
      <c r="HK52" s="20">
        <v>0</v>
      </c>
      <c r="HM52" s="20">
        <v>24090</v>
      </c>
      <c r="HN52" s="20">
        <v>0</v>
      </c>
      <c r="HO52" s="20">
        <v>0</v>
      </c>
      <c r="HP52" s="20">
        <v>0</v>
      </c>
      <c r="HQ52" s="20">
        <v>0</v>
      </c>
      <c r="HR52" s="20">
        <v>14.2</v>
      </c>
      <c r="HS52" s="20">
        <v>285</v>
      </c>
      <c r="HT52" s="20" t="s">
        <v>750</v>
      </c>
      <c r="HV52" s="24">
        <v>42463</v>
      </c>
      <c r="HW52" s="20" t="s">
        <v>698</v>
      </c>
      <c r="HY52" s="20" t="s">
        <v>723</v>
      </c>
      <c r="HZ52" s="20" t="s">
        <v>698</v>
      </c>
      <c r="IS52" s="20" t="s">
        <v>724</v>
      </c>
      <c r="IT52" s="20" t="s">
        <v>698</v>
      </c>
      <c r="IY52" s="20" t="s">
        <v>698</v>
      </c>
      <c r="JD52" s="20" t="s">
        <v>725</v>
      </c>
      <c r="JE52" s="20" t="s">
        <v>726</v>
      </c>
      <c r="JR52" s="20" t="s">
        <v>698</v>
      </c>
      <c r="JS52" s="20" t="s">
        <v>698</v>
      </c>
      <c r="JX52" s="20" t="s">
        <v>833</v>
      </c>
      <c r="JY52" s="20" t="s">
        <v>834</v>
      </c>
      <c r="JZ52" s="20" t="s">
        <v>834</v>
      </c>
      <c r="LD52" s="20" t="s">
        <v>835</v>
      </c>
      <c r="LG52" s="20" t="s">
        <v>696</v>
      </c>
      <c r="LL52" s="20" t="s">
        <v>696</v>
      </c>
      <c r="LP52" s="20" t="s">
        <v>696</v>
      </c>
      <c r="LU52" s="20" t="s">
        <v>696</v>
      </c>
      <c r="LV52" s="20" t="s">
        <v>698</v>
      </c>
      <c r="LW52" s="20" t="s">
        <v>838</v>
      </c>
      <c r="LX52" s="20" t="s">
        <v>696</v>
      </c>
      <c r="SC52" s="20" t="s">
        <v>698</v>
      </c>
      <c r="UO52" s="20" t="s">
        <v>698</v>
      </c>
      <c r="UR52" s="20" t="s">
        <v>698</v>
      </c>
      <c r="UZ52" s="20" t="s">
        <v>698</v>
      </c>
      <c r="XL52" s="20" t="s">
        <v>730</v>
      </c>
      <c r="XM52" s="20" t="s">
        <v>731</v>
      </c>
      <c r="XN52" s="20" t="s">
        <v>732</v>
      </c>
      <c r="XO52" s="20" t="s">
        <v>733</v>
      </c>
      <c r="XQ52" s="24">
        <v>45530</v>
      </c>
      <c r="XU52" s="20" t="s">
        <v>730</v>
      </c>
      <c r="XV52" s="20" t="s">
        <v>733</v>
      </c>
      <c r="XW52" s="20" t="s">
        <v>731</v>
      </c>
      <c r="XX52" s="20" t="s">
        <v>732</v>
      </c>
      <c r="XY52" s="20" t="s">
        <v>1221</v>
      </c>
    </row>
    <row r="53" spans="1:649" ht="13">
      <c r="A53" s="20">
        <v>265</v>
      </c>
      <c r="B53" s="21">
        <v>45509</v>
      </c>
      <c r="C53" s="20">
        <v>2024</v>
      </c>
      <c r="D53" s="20">
        <v>20240183</v>
      </c>
      <c r="E53" s="20">
        <v>40066</v>
      </c>
      <c r="F53" s="20" t="s">
        <v>825</v>
      </c>
      <c r="G53" s="20">
        <v>31454</v>
      </c>
      <c r="H53" s="20" t="s">
        <v>1082</v>
      </c>
      <c r="I53" s="20" t="s">
        <v>771</v>
      </c>
      <c r="J53" s="20" t="s">
        <v>772</v>
      </c>
      <c r="K53" s="20" t="s">
        <v>694</v>
      </c>
      <c r="L53" s="20">
        <v>75225</v>
      </c>
      <c r="M53" s="22">
        <v>45481.495833333334</v>
      </c>
      <c r="N53" s="20" t="s">
        <v>695</v>
      </c>
      <c r="O53" s="20" t="s">
        <v>696</v>
      </c>
      <c r="P53" s="20">
        <v>27.680043999999999</v>
      </c>
      <c r="Q53" s="20">
        <v>-99.463386</v>
      </c>
      <c r="R53" s="20" t="s">
        <v>844</v>
      </c>
      <c r="S53" s="20" t="s">
        <v>845</v>
      </c>
      <c r="W53" s="20">
        <v>1.39</v>
      </c>
      <c r="Y53" s="20">
        <v>0</v>
      </c>
      <c r="Z53" s="20" t="s">
        <v>698</v>
      </c>
      <c r="AF53" s="20">
        <v>0</v>
      </c>
      <c r="AG53" s="20" t="s">
        <v>698</v>
      </c>
      <c r="AM53" s="20">
        <v>0</v>
      </c>
      <c r="AN53" s="20" t="s">
        <v>775</v>
      </c>
      <c r="AQ53" s="23">
        <v>45481.50277777778</v>
      </c>
      <c r="AR53" s="20" t="s">
        <v>776</v>
      </c>
      <c r="AS53" s="20" t="s">
        <v>702</v>
      </c>
      <c r="AT53" s="20" t="s">
        <v>703</v>
      </c>
      <c r="AU53" s="20" t="s">
        <v>698</v>
      </c>
      <c r="AV53" s="20" t="s">
        <v>1222</v>
      </c>
      <c r="AZ53" s="20" t="s">
        <v>698</v>
      </c>
      <c r="BC53" s="23">
        <v>45481.50277777778</v>
      </c>
      <c r="BD53" s="23">
        <v>45481.50277777778</v>
      </c>
      <c r="BF53" s="20" t="s">
        <v>754</v>
      </c>
      <c r="BH53" s="20" t="s">
        <v>698</v>
      </c>
      <c r="BN53" s="20" t="s">
        <v>777</v>
      </c>
      <c r="BP53" s="23">
        <v>45481.50277777778</v>
      </c>
      <c r="BQ53" s="20" t="s">
        <v>779</v>
      </c>
      <c r="BR53" s="20" t="s">
        <v>849</v>
      </c>
      <c r="BS53" s="20" t="s">
        <v>1223</v>
      </c>
      <c r="BV53" s="20" t="s">
        <v>696</v>
      </c>
      <c r="BW53" s="23">
        <v>45481.496527777781</v>
      </c>
      <c r="BX53" s="20" t="s">
        <v>698</v>
      </c>
      <c r="CA53" s="20">
        <v>0</v>
      </c>
      <c r="CB53" s="20" t="s">
        <v>1224</v>
      </c>
      <c r="CC53" s="20" t="s">
        <v>1225</v>
      </c>
      <c r="CD53" s="20" t="s">
        <v>694</v>
      </c>
      <c r="CE53" s="20">
        <v>78045</v>
      </c>
      <c r="CF53" s="20" t="s">
        <v>1226</v>
      </c>
      <c r="CG53" s="20" t="s">
        <v>1227</v>
      </c>
      <c r="CH53" s="20" t="s">
        <v>710</v>
      </c>
      <c r="CI53" s="20" t="s">
        <v>711</v>
      </c>
      <c r="CJ53" s="20" t="s">
        <v>698</v>
      </c>
      <c r="CK53" s="20" t="s">
        <v>712</v>
      </c>
      <c r="CL53" s="20" t="s">
        <v>713</v>
      </c>
      <c r="CM53" s="20" t="s">
        <v>758</v>
      </c>
      <c r="CP53" s="20" t="s">
        <v>698</v>
      </c>
      <c r="DM53" s="20" t="s">
        <v>743</v>
      </c>
      <c r="DN53" s="20" t="s">
        <v>1170</v>
      </c>
      <c r="EU53" s="20" t="s">
        <v>1171</v>
      </c>
      <c r="EV53" s="20" t="s">
        <v>1172</v>
      </c>
      <c r="FK53" s="20" t="s">
        <v>728</v>
      </c>
      <c r="FL53" s="20" t="s">
        <v>728</v>
      </c>
      <c r="FM53" s="20" t="s">
        <v>719</v>
      </c>
      <c r="FO53" s="20" t="s">
        <v>720</v>
      </c>
      <c r="FR53" s="20" t="s">
        <v>823</v>
      </c>
      <c r="FY53" s="20" t="s">
        <v>698</v>
      </c>
      <c r="GC53" s="20" t="s">
        <v>696</v>
      </c>
      <c r="GD53" s="20" t="s">
        <v>698</v>
      </c>
      <c r="GE53" s="20" t="s">
        <v>696</v>
      </c>
      <c r="GH53" s="20" t="s">
        <v>696</v>
      </c>
      <c r="GK53" s="20" t="s">
        <v>698</v>
      </c>
      <c r="GT53" s="20" t="s">
        <v>696</v>
      </c>
      <c r="GU53" s="20" t="s">
        <v>696</v>
      </c>
      <c r="GZ53" s="20" t="s">
        <v>696</v>
      </c>
      <c r="HA53" s="20" t="s">
        <v>696</v>
      </c>
      <c r="HF53" s="20">
        <v>0</v>
      </c>
      <c r="HG53" s="20">
        <v>226</v>
      </c>
      <c r="HH53" s="20">
        <v>302</v>
      </c>
      <c r="HI53" s="20">
        <v>13</v>
      </c>
      <c r="HJ53" s="20">
        <v>300</v>
      </c>
      <c r="HK53" s="20">
        <v>2000</v>
      </c>
      <c r="HL53" s="20" t="s">
        <v>1228</v>
      </c>
      <c r="HM53" s="20">
        <v>2841</v>
      </c>
      <c r="HN53" s="20">
        <v>0</v>
      </c>
      <c r="HO53" s="20">
        <v>0</v>
      </c>
      <c r="HP53" s="20">
        <v>0</v>
      </c>
      <c r="HQ53" s="20">
        <v>0</v>
      </c>
      <c r="HR53" s="20">
        <v>1</v>
      </c>
      <c r="HS53" s="20">
        <v>1440</v>
      </c>
      <c r="HT53" s="20" t="s">
        <v>750</v>
      </c>
      <c r="HV53" s="24">
        <v>38119</v>
      </c>
      <c r="HW53" s="20" t="s">
        <v>698</v>
      </c>
      <c r="HY53" s="20" t="s">
        <v>723</v>
      </c>
      <c r="HZ53" s="20" t="s">
        <v>698</v>
      </c>
      <c r="ID53" s="20" t="s">
        <v>696</v>
      </c>
      <c r="IL53" s="20" t="s">
        <v>698</v>
      </c>
      <c r="IS53" s="20" t="s">
        <v>724</v>
      </c>
      <c r="IT53" s="20" t="s">
        <v>696</v>
      </c>
      <c r="IU53" s="20" t="s">
        <v>696</v>
      </c>
      <c r="IV53" s="20" t="s">
        <v>696</v>
      </c>
      <c r="IW53" s="20" t="s">
        <v>698</v>
      </c>
      <c r="IX53" s="20" t="s">
        <v>698</v>
      </c>
      <c r="IY53" s="20" t="s">
        <v>696</v>
      </c>
      <c r="IZ53" s="20" t="s">
        <v>696</v>
      </c>
      <c r="JA53" s="20" t="s">
        <v>696</v>
      </c>
      <c r="JB53" s="20" t="s">
        <v>698</v>
      </c>
      <c r="JC53" s="20" t="s">
        <v>698</v>
      </c>
      <c r="JD53" s="20" t="s">
        <v>725</v>
      </c>
      <c r="JE53" s="20" t="s">
        <v>1229</v>
      </c>
      <c r="JR53" s="20" t="s">
        <v>698</v>
      </c>
      <c r="JS53" s="20" t="s">
        <v>698</v>
      </c>
      <c r="JX53" s="20" t="s">
        <v>789</v>
      </c>
      <c r="JY53" s="20" t="s">
        <v>1230</v>
      </c>
      <c r="QB53" s="20" t="s">
        <v>1230</v>
      </c>
      <c r="RA53" s="20" t="s">
        <v>696</v>
      </c>
      <c r="XL53" s="20" t="s">
        <v>1088</v>
      </c>
      <c r="XM53" s="20" t="s">
        <v>1089</v>
      </c>
      <c r="XN53" s="20" t="s">
        <v>1090</v>
      </c>
      <c r="XO53" s="20" t="s">
        <v>1091</v>
      </c>
      <c r="XP53" s="20" t="s">
        <v>1092</v>
      </c>
      <c r="XQ53" s="24">
        <v>45569</v>
      </c>
      <c r="XU53" s="20" t="s">
        <v>1093</v>
      </c>
      <c r="XV53" s="20" t="s">
        <v>1094</v>
      </c>
      <c r="XW53" s="20" t="s">
        <v>1095</v>
      </c>
      <c r="XX53" s="20" t="s">
        <v>1096</v>
      </c>
      <c r="XY53" s="20" t="s">
        <v>1231</v>
      </c>
    </row>
    <row r="54" spans="1:649" ht="13">
      <c r="A54" s="20">
        <v>270</v>
      </c>
      <c r="B54" s="21">
        <v>45502</v>
      </c>
      <c r="C54" s="20">
        <v>2024</v>
      </c>
      <c r="D54" s="20">
        <v>20240177</v>
      </c>
      <c r="E54" s="20">
        <v>39832</v>
      </c>
      <c r="F54" s="20" t="s">
        <v>885</v>
      </c>
      <c r="G54" s="20">
        <v>31888</v>
      </c>
      <c r="H54" s="20" t="s">
        <v>1126</v>
      </c>
      <c r="I54" s="20" t="s">
        <v>692</v>
      </c>
      <c r="J54" s="20" t="s">
        <v>693</v>
      </c>
      <c r="K54" s="20" t="s">
        <v>694</v>
      </c>
      <c r="L54" s="20">
        <v>77002</v>
      </c>
      <c r="M54" s="22">
        <v>45473.40625</v>
      </c>
      <c r="N54" s="20" t="s">
        <v>695</v>
      </c>
      <c r="O54" s="20" t="s">
        <v>696</v>
      </c>
      <c r="P54" s="20">
        <v>32.992786000000002</v>
      </c>
      <c r="Q54" s="20">
        <v>-102.60837100000001</v>
      </c>
      <c r="R54" s="20" t="s">
        <v>697</v>
      </c>
      <c r="W54" s="20">
        <v>0.5</v>
      </c>
      <c r="Y54" s="20">
        <v>0.5</v>
      </c>
      <c r="Z54" s="20" t="s">
        <v>698</v>
      </c>
      <c r="AF54" s="20">
        <v>0</v>
      </c>
      <c r="AG54" s="20" t="s">
        <v>698</v>
      </c>
      <c r="AM54" s="20">
        <v>0</v>
      </c>
      <c r="AN54" s="20" t="s">
        <v>775</v>
      </c>
      <c r="AQ54" s="23">
        <v>45473.40625</v>
      </c>
      <c r="AR54" s="20" t="s">
        <v>701</v>
      </c>
      <c r="AS54" s="20" t="s">
        <v>702</v>
      </c>
      <c r="AT54" s="20" t="s">
        <v>703</v>
      </c>
      <c r="AU54" s="20" t="s">
        <v>696</v>
      </c>
      <c r="AW54" s="23">
        <v>45473.409722222219</v>
      </c>
      <c r="AX54" s="23">
        <v>45474.472916666666</v>
      </c>
      <c r="AZ54" s="20" t="s">
        <v>696</v>
      </c>
      <c r="BA54" s="20" t="s">
        <v>753</v>
      </c>
      <c r="BB54" s="23">
        <v>45473.512499999997</v>
      </c>
      <c r="BC54" s="23">
        <v>45473.493055555555</v>
      </c>
      <c r="BD54" s="23">
        <v>45473.493055555555</v>
      </c>
      <c r="BF54" s="20" t="s">
        <v>754</v>
      </c>
      <c r="BH54" s="20" t="s">
        <v>698</v>
      </c>
      <c r="BV54" s="20" t="s">
        <v>698</v>
      </c>
      <c r="BX54" s="20" t="s">
        <v>698</v>
      </c>
      <c r="CA54" s="20">
        <v>0</v>
      </c>
      <c r="CB54" s="20" t="s">
        <v>1232</v>
      </c>
      <c r="CC54" s="20" t="s">
        <v>1233</v>
      </c>
      <c r="CD54" s="20" t="s">
        <v>694</v>
      </c>
      <c r="CE54" s="20">
        <v>79323</v>
      </c>
      <c r="CF54" s="20" t="s">
        <v>708</v>
      </c>
      <c r="CG54" s="20" t="s">
        <v>1234</v>
      </c>
      <c r="CH54" s="20" t="s">
        <v>784</v>
      </c>
      <c r="CI54" s="20" t="s">
        <v>711</v>
      </c>
      <c r="CJ54" s="20" t="s">
        <v>698</v>
      </c>
      <c r="CK54" s="20" t="s">
        <v>891</v>
      </c>
      <c r="CL54" s="20" t="s">
        <v>713</v>
      </c>
      <c r="CM54" s="20" t="s">
        <v>758</v>
      </c>
      <c r="CP54" s="20" t="s">
        <v>698</v>
      </c>
      <c r="DM54" s="20" t="s">
        <v>715</v>
      </c>
      <c r="DN54" s="20" t="s">
        <v>1170</v>
      </c>
      <c r="EU54" s="20" t="s">
        <v>766</v>
      </c>
      <c r="EV54" s="20" t="s">
        <v>1235</v>
      </c>
      <c r="FK54" s="20">
        <v>2024</v>
      </c>
      <c r="FL54" s="20" t="s">
        <v>728</v>
      </c>
      <c r="FM54" s="20" t="s">
        <v>962</v>
      </c>
      <c r="FN54" s="20" t="s">
        <v>1236</v>
      </c>
      <c r="FO54" s="20" t="s">
        <v>720</v>
      </c>
      <c r="FR54" s="20" t="s">
        <v>766</v>
      </c>
      <c r="FS54" s="20" t="s">
        <v>1237</v>
      </c>
      <c r="FY54" s="20" t="s">
        <v>698</v>
      </c>
      <c r="GC54" s="20" t="s">
        <v>696</v>
      </c>
      <c r="GD54" s="20" t="s">
        <v>698</v>
      </c>
      <c r="GE54" s="20" t="s">
        <v>696</v>
      </c>
      <c r="GH54" s="20" t="s">
        <v>696</v>
      </c>
      <c r="GK54" s="20" t="s">
        <v>698</v>
      </c>
      <c r="GT54" s="20" t="s">
        <v>698</v>
      </c>
      <c r="GU54" s="20" t="s">
        <v>698</v>
      </c>
      <c r="HF54" s="20">
        <v>0</v>
      </c>
      <c r="HG54" s="20">
        <v>30</v>
      </c>
      <c r="HH54" s="20">
        <v>1500</v>
      </c>
      <c r="HI54" s="20">
        <v>0</v>
      </c>
      <c r="HJ54" s="20">
        <v>2000</v>
      </c>
      <c r="HK54" s="20">
        <v>0</v>
      </c>
      <c r="HM54" s="20">
        <v>3530</v>
      </c>
      <c r="HN54" s="20">
        <v>0</v>
      </c>
      <c r="HO54" s="20">
        <v>0</v>
      </c>
      <c r="HP54" s="20">
        <v>0</v>
      </c>
      <c r="HQ54" s="20">
        <v>0</v>
      </c>
      <c r="HR54" s="20">
        <v>300</v>
      </c>
      <c r="HS54" s="20">
        <v>1440</v>
      </c>
      <c r="HT54" s="20" t="s">
        <v>750</v>
      </c>
      <c r="HV54" s="24">
        <v>39831</v>
      </c>
      <c r="HW54" s="20" t="s">
        <v>698</v>
      </c>
      <c r="HY54" s="20" t="s">
        <v>723</v>
      </c>
      <c r="HZ54" s="20" t="s">
        <v>698</v>
      </c>
      <c r="IS54" s="20" t="s">
        <v>724</v>
      </c>
      <c r="IT54" s="20" t="s">
        <v>696</v>
      </c>
      <c r="IU54" s="20" t="s">
        <v>696</v>
      </c>
      <c r="IV54" s="20" t="s">
        <v>696</v>
      </c>
      <c r="IW54" s="20" t="s">
        <v>698</v>
      </c>
      <c r="IX54" s="20" t="s">
        <v>698</v>
      </c>
      <c r="IY54" s="20" t="s">
        <v>698</v>
      </c>
      <c r="JD54" s="20" t="s">
        <v>725</v>
      </c>
      <c r="JE54" s="20" t="s">
        <v>726</v>
      </c>
      <c r="JR54" s="20" t="s">
        <v>698</v>
      </c>
      <c r="JS54" s="20" t="s">
        <v>698</v>
      </c>
      <c r="JX54" s="20" t="s">
        <v>789</v>
      </c>
      <c r="JY54" s="20" t="s">
        <v>1230</v>
      </c>
      <c r="QB54" s="20" t="s">
        <v>1230</v>
      </c>
      <c r="QV54" s="20" t="s">
        <v>696</v>
      </c>
      <c r="XL54" s="20" t="s">
        <v>730</v>
      </c>
      <c r="XM54" s="20" t="s">
        <v>731</v>
      </c>
      <c r="XN54" s="20" t="s">
        <v>732</v>
      </c>
      <c r="XO54" s="20" t="s">
        <v>733</v>
      </c>
      <c r="XQ54" s="24">
        <v>45502</v>
      </c>
      <c r="XU54" s="20" t="s">
        <v>730</v>
      </c>
      <c r="XV54" s="20" t="s">
        <v>733</v>
      </c>
      <c r="XW54" s="20" t="s">
        <v>731</v>
      </c>
      <c r="XX54" s="20" t="s">
        <v>732</v>
      </c>
      <c r="XY54" s="20" t="s">
        <v>1238</v>
      </c>
    </row>
    <row r="55" spans="1:649" ht="13">
      <c r="A55" s="20">
        <v>275</v>
      </c>
      <c r="B55" s="21">
        <v>45492</v>
      </c>
      <c r="C55" s="20">
        <v>2024</v>
      </c>
      <c r="D55" s="20">
        <v>20240170</v>
      </c>
      <c r="E55" s="20">
        <v>40632</v>
      </c>
      <c r="F55" s="20" t="s">
        <v>825</v>
      </c>
      <c r="G55" s="20">
        <v>31476</v>
      </c>
      <c r="H55" s="20" t="s">
        <v>735</v>
      </c>
      <c r="I55" s="20" t="s">
        <v>692</v>
      </c>
      <c r="J55" s="20" t="s">
        <v>693</v>
      </c>
      <c r="K55" s="20" t="s">
        <v>694</v>
      </c>
      <c r="L55" s="20">
        <v>77002</v>
      </c>
      <c r="M55" s="22">
        <v>45465.865277777775</v>
      </c>
      <c r="N55" s="20" t="s">
        <v>695</v>
      </c>
      <c r="O55" s="20" t="s">
        <v>696</v>
      </c>
      <c r="P55" s="20">
        <v>36.020521000000002</v>
      </c>
      <c r="Q55" s="20">
        <v>-96.755193000000006</v>
      </c>
      <c r="R55" s="20" t="s">
        <v>697</v>
      </c>
      <c r="W55" s="20">
        <v>2.5</v>
      </c>
      <c r="Y55" s="20">
        <v>2.5</v>
      </c>
      <c r="Z55" s="20" t="s">
        <v>698</v>
      </c>
      <c r="AF55" s="20">
        <v>0</v>
      </c>
      <c r="AG55" s="20" t="s">
        <v>698</v>
      </c>
      <c r="AM55" s="20">
        <v>0</v>
      </c>
      <c r="AN55" s="20" t="s">
        <v>699</v>
      </c>
      <c r="AP55" s="20" t="s">
        <v>700</v>
      </c>
      <c r="AQ55" s="23">
        <v>45465.865277777775</v>
      </c>
      <c r="AR55" s="20" t="s">
        <v>907</v>
      </c>
      <c r="AS55" s="20" t="s">
        <v>702</v>
      </c>
      <c r="AT55" s="20" t="s">
        <v>703</v>
      </c>
      <c r="AU55" s="20" t="s">
        <v>696</v>
      </c>
      <c r="AW55" s="23">
        <v>45465.869444444441</v>
      </c>
      <c r="AX55" s="23">
        <v>45466.929861111108</v>
      </c>
      <c r="AZ55" s="20" t="s">
        <v>696</v>
      </c>
      <c r="BA55" s="20" t="s">
        <v>753</v>
      </c>
      <c r="BB55" s="23">
        <v>45465.866666666669</v>
      </c>
      <c r="BC55" s="23">
        <v>45465.868055555555</v>
      </c>
      <c r="BD55" s="23">
        <v>45465.868055555555</v>
      </c>
      <c r="BE55" s="23">
        <v>45465.929166666669</v>
      </c>
      <c r="BF55" s="20">
        <v>1402673</v>
      </c>
      <c r="BG55" s="20">
        <v>1402790</v>
      </c>
      <c r="BH55" s="20" t="s">
        <v>696</v>
      </c>
      <c r="BI55" s="23">
        <v>45465.865277777775</v>
      </c>
      <c r="BJ55" s="20" t="s">
        <v>1239</v>
      </c>
      <c r="BL55" s="20">
        <v>0.5</v>
      </c>
      <c r="BM55" s="20" t="s">
        <v>698</v>
      </c>
      <c r="BV55" s="20" t="s">
        <v>696</v>
      </c>
      <c r="BW55" s="23">
        <v>45465.868055555555</v>
      </c>
      <c r="BX55" s="20" t="s">
        <v>698</v>
      </c>
      <c r="CA55" s="20">
        <v>0</v>
      </c>
      <c r="CB55" s="20" t="s">
        <v>737</v>
      </c>
      <c r="CC55" s="20" t="s">
        <v>1240</v>
      </c>
      <c r="CD55" s="20" t="s">
        <v>739</v>
      </c>
      <c r="CE55" s="20">
        <v>74023</v>
      </c>
      <c r="CF55" s="20" t="s">
        <v>708</v>
      </c>
      <c r="CG55" s="20" t="s">
        <v>740</v>
      </c>
      <c r="CH55" s="20" t="s">
        <v>710</v>
      </c>
      <c r="CI55" s="20" t="s">
        <v>711</v>
      </c>
      <c r="CJ55" s="20" t="s">
        <v>698</v>
      </c>
      <c r="CK55" s="20" t="s">
        <v>712</v>
      </c>
      <c r="CL55" s="20" t="s">
        <v>910</v>
      </c>
      <c r="CP55" s="20" t="s">
        <v>698</v>
      </c>
      <c r="DM55" s="20" t="s">
        <v>743</v>
      </c>
      <c r="DN55" s="20" t="s">
        <v>911</v>
      </c>
      <c r="EW55" s="20" t="s">
        <v>912</v>
      </c>
      <c r="EY55" s="20" t="s">
        <v>913</v>
      </c>
      <c r="FD55" s="20">
        <v>48.8</v>
      </c>
      <c r="FE55" s="20" t="s">
        <v>698</v>
      </c>
      <c r="FF55" s="20">
        <v>2021</v>
      </c>
      <c r="FH55" s="20">
        <v>2017</v>
      </c>
      <c r="FK55" s="20">
        <v>2021</v>
      </c>
      <c r="FL55" s="20">
        <v>2021</v>
      </c>
      <c r="FM55" s="20" t="s">
        <v>719</v>
      </c>
      <c r="FO55" s="20" t="s">
        <v>720</v>
      </c>
      <c r="FR55" s="20" t="s">
        <v>721</v>
      </c>
      <c r="FY55" s="20" t="s">
        <v>698</v>
      </c>
      <c r="GC55" s="20" t="s">
        <v>696</v>
      </c>
      <c r="GD55" s="20" t="s">
        <v>698</v>
      </c>
      <c r="GE55" s="20" t="s">
        <v>696</v>
      </c>
      <c r="GH55" s="20" t="s">
        <v>696</v>
      </c>
      <c r="GK55" s="20" t="s">
        <v>698</v>
      </c>
      <c r="GT55" s="20" t="s">
        <v>698</v>
      </c>
      <c r="GU55" s="20" t="s">
        <v>698</v>
      </c>
      <c r="HF55" s="20">
        <v>0</v>
      </c>
      <c r="HG55" s="20">
        <v>202</v>
      </c>
      <c r="HH55" s="20">
        <v>36000</v>
      </c>
      <c r="HI55" s="20">
        <v>35000</v>
      </c>
      <c r="HJ55" s="20">
        <v>23350</v>
      </c>
      <c r="HK55" s="20">
        <v>0</v>
      </c>
      <c r="HM55" s="20">
        <v>94552</v>
      </c>
      <c r="HN55" s="20">
        <v>0</v>
      </c>
      <c r="HO55" s="20">
        <v>0</v>
      </c>
      <c r="HP55" s="20">
        <v>0</v>
      </c>
      <c r="HQ55" s="20">
        <v>0</v>
      </c>
      <c r="HR55" s="20">
        <v>15.75</v>
      </c>
      <c r="HZ55" s="20" t="s">
        <v>698</v>
      </c>
      <c r="IS55" s="20" t="s">
        <v>808</v>
      </c>
      <c r="IT55" s="20" t="s">
        <v>696</v>
      </c>
      <c r="IU55" s="20" t="s">
        <v>696</v>
      </c>
      <c r="IV55" s="20" t="s">
        <v>696</v>
      </c>
      <c r="IW55" s="20" t="s">
        <v>698</v>
      </c>
      <c r="IX55" s="20" t="s">
        <v>698</v>
      </c>
      <c r="IY55" s="20" t="s">
        <v>698</v>
      </c>
      <c r="JD55" s="20" t="s">
        <v>725</v>
      </c>
      <c r="JE55" s="20" t="s">
        <v>726</v>
      </c>
      <c r="JR55" s="20" t="s">
        <v>698</v>
      </c>
      <c r="JS55" s="20" t="s">
        <v>698</v>
      </c>
      <c r="JX55" s="20" t="s">
        <v>789</v>
      </c>
      <c r="JY55" s="20" t="s">
        <v>964</v>
      </c>
      <c r="QB55" s="20" t="s">
        <v>964</v>
      </c>
      <c r="QU55" s="20" t="s">
        <v>1241</v>
      </c>
      <c r="RK55" s="20" t="s">
        <v>696</v>
      </c>
      <c r="RL55" s="20" t="s">
        <v>1242</v>
      </c>
      <c r="XL55" s="20" t="s">
        <v>730</v>
      </c>
      <c r="XM55" s="20" t="s">
        <v>731</v>
      </c>
      <c r="XN55" s="20" t="s">
        <v>732</v>
      </c>
      <c r="XO55" s="20" t="s">
        <v>733</v>
      </c>
      <c r="XQ55" s="24">
        <v>45730</v>
      </c>
      <c r="XU55" s="20" t="s">
        <v>730</v>
      </c>
      <c r="XV55" s="20" t="s">
        <v>733</v>
      </c>
      <c r="XW55" s="20" t="s">
        <v>731</v>
      </c>
      <c r="XX55" s="20" t="s">
        <v>732</v>
      </c>
      <c r="XY55" s="20" t="s">
        <v>1243</v>
      </c>
    </row>
    <row r="56" spans="1:649" ht="13">
      <c r="A56" s="20">
        <v>293</v>
      </c>
      <c r="B56" s="21">
        <v>45464</v>
      </c>
      <c r="C56" s="20">
        <v>2024</v>
      </c>
      <c r="D56" s="20">
        <v>20240152</v>
      </c>
      <c r="E56" s="20">
        <v>39708</v>
      </c>
      <c r="F56" s="20" t="s">
        <v>690</v>
      </c>
      <c r="G56" s="20">
        <v>40283</v>
      </c>
      <c r="H56" s="20" t="s">
        <v>841</v>
      </c>
      <c r="I56" s="20" t="s">
        <v>842</v>
      </c>
      <c r="J56" s="20" t="s">
        <v>772</v>
      </c>
      <c r="K56" s="20" t="s">
        <v>694</v>
      </c>
      <c r="L56" s="20">
        <v>75225</v>
      </c>
      <c r="M56" s="22">
        <v>45438.470833333333</v>
      </c>
      <c r="N56" s="20" t="s">
        <v>843</v>
      </c>
      <c r="O56" s="20" t="s">
        <v>698</v>
      </c>
      <c r="P56" s="20">
        <v>40.608193999999997</v>
      </c>
      <c r="Q56" s="20">
        <v>-74.221644999999995</v>
      </c>
      <c r="R56" s="20" t="s">
        <v>844</v>
      </c>
      <c r="S56" s="20" t="s">
        <v>936</v>
      </c>
      <c r="W56" s="20">
        <v>25</v>
      </c>
      <c r="Y56" s="20">
        <v>10</v>
      </c>
      <c r="Z56" s="20" t="s">
        <v>698</v>
      </c>
      <c r="AF56" s="20">
        <v>0</v>
      </c>
      <c r="AG56" s="20" t="s">
        <v>698</v>
      </c>
      <c r="AM56" s="20">
        <v>0</v>
      </c>
      <c r="AN56" s="20" t="s">
        <v>699</v>
      </c>
      <c r="AP56" s="20" t="s">
        <v>700</v>
      </c>
      <c r="AQ56" s="23">
        <v>45438.470833333333</v>
      </c>
      <c r="AR56" s="20" t="s">
        <v>701</v>
      </c>
      <c r="AS56" s="20" t="s">
        <v>702</v>
      </c>
      <c r="AT56" s="20" t="s">
        <v>703</v>
      </c>
      <c r="AU56" s="20" t="s">
        <v>696</v>
      </c>
      <c r="AW56" s="23">
        <v>45438.470833333333</v>
      </c>
      <c r="AX56" s="23">
        <v>45438.729166666664</v>
      </c>
      <c r="AZ56" s="20" t="s">
        <v>698</v>
      </c>
      <c r="BC56" s="23">
        <v>45438.470833333333</v>
      </c>
      <c r="BD56" s="23">
        <v>45438.470833333333</v>
      </c>
      <c r="BF56" s="20" t="s">
        <v>754</v>
      </c>
      <c r="BH56" s="20" t="s">
        <v>698</v>
      </c>
      <c r="BV56" s="20" t="s">
        <v>696</v>
      </c>
      <c r="BW56" s="23">
        <v>45438.475694444445</v>
      </c>
      <c r="BX56" s="20" t="s">
        <v>698</v>
      </c>
      <c r="CA56" s="20">
        <v>0</v>
      </c>
      <c r="CB56" s="20" t="s">
        <v>1244</v>
      </c>
      <c r="CC56" s="20" t="s">
        <v>1245</v>
      </c>
      <c r="CD56" s="20" t="s">
        <v>1246</v>
      </c>
      <c r="CE56" s="20">
        <v>7036</v>
      </c>
      <c r="CF56" s="20" t="s">
        <v>1247</v>
      </c>
      <c r="CG56" s="20" t="s">
        <v>1248</v>
      </c>
      <c r="CH56" s="20" t="s">
        <v>710</v>
      </c>
      <c r="CI56" s="20" t="s">
        <v>1249</v>
      </c>
      <c r="CJ56" s="20" t="s">
        <v>698</v>
      </c>
      <c r="CK56" s="20" t="s">
        <v>712</v>
      </c>
      <c r="CL56" s="20" t="s">
        <v>713</v>
      </c>
      <c r="CM56" s="20" t="s">
        <v>766</v>
      </c>
      <c r="CN56" s="20" t="s">
        <v>1250</v>
      </c>
      <c r="CP56" s="20" t="s">
        <v>698</v>
      </c>
      <c r="DM56" s="20" t="s">
        <v>715</v>
      </c>
      <c r="DN56" s="20" t="s">
        <v>716</v>
      </c>
      <c r="EQ56" s="20" t="s">
        <v>717</v>
      </c>
      <c r="ES56" s="20" t="s">
        <v>1188</v>
      </c>
      <c r="FK56" s="20">
        <v>1984</v>
      </c>
      <c r="FL56" s="20" t="s">
        <v>728</v>
      </c>
      <c r="FM56" s="20" t="s">
        <v>719</v>
      </c>
      <c r="FO56" s="20" t="s">
        <v>720</v>
      </c>
      <c r="FR56" s="20" t="s">
        <v>721</v>
      </c>
      <c r="FY56" s="20" t="s">
        <v>698</v>
      </c>
      <c r="GC56" s="20" t="s">
        <v>698</v>
      </c>
      <c r="GD56" s="20" t="s">
        <v>698</v>
      </c>
      <c r="GE56" s="20" t="s">
        <v>698</v>
      </c>
      <c r="GK56" s="20" t="s">
        <v>698</v>
      </c>
      <c r="GT56" s="20" t="s">
        <v>696</v>
      </c>
      <c r="GU56" s="20" t="s">
        <v>696</v>
      </c>
      <c r="GX56" s="20" t="s">
        <v>696</v>
      </c>
      <c r="GY56" s="20" t="s">
        <v>698</v>
      </c>
      <c r="HF56" s="20">
        <v>0</v>
      </c>
      <c r="HG56" s="20">
        <v>2079</v>
      </c>
      <c r="HH56" s="20">
        <v>15000</v>
      </c>
      <c r="HI56" s="20">
        <v>30000</v>
      </c>
      <c r="HJ56" s="20">
        <v>0</v>
      </c>
      <c r="HK56" s="20">
        <v>0</v>
      </c>
      <c r="HM56" s="20">
        <v>47079</v>
      </c>
      <c r="HN56" s="20">
        <v>0</v>
      </c>
      <c r="HO56" s="20">
        <v>0</v>
      </c>
      <c r="HP56" s="20">
        <v>0</v>
      </c>
      <c r="HQ56" s="20">
        <v>0</v>
      </c>
      <c r="HR56" s="20">
        <v>135</v>
      </c>
      <c r="HS56" s="20">
        <v>285</v>
      </c>
      <c r="HT56" s="20" t="s">
        <v>750</v>
      </c>
      <c r="HV56" s="24">
        <v>39692</v>
      </c>
      <c r="HW56" s="20" t="s">
        <v>698</v>
      </c>
      <c r="HY56" s="20" t="s">
        <v>723</v>
      </c>
      <c r="HZ56" s="20" t="s">
        <v>698</v>
      </c>
      <c r="IS56" s="20" t="s">
        <v>724</v>
      </c>
      <c r="IT56" s="20" t="s">
        <v>696</v>
      </c>
      <c r="IU56" s="20" t="s">
        <v>696</v>
      </c>
      <c r="IV56" s="20" t="s">
        <v>696</v>
      </c>
      <c r="IW56" s="20" t="s">
        <v>698</v>
      </c>
      <c r="IX56" s="20" t="s">
        <v>698</v>
      </c>
      <c r="IY56" s="20" t="s">
        <v>696</v>
      </c>
      <c r="IZ56" s="20" t="s">
        <v>696</v>
      </c>
      <c r="JA56" s="20" t="s">
        <v>696</v>
      </c>
      <c r="JB56" s="20" t="s">
        <v>698</v>
      </c>
      <c r="JC56" s="20" t="s">
        <v>698</v>
      </c>
      <c r="JD56" s="20" t="s">
        <v>725</v>
      </c>
      <c r="JE56" s="20" t="s">
        <v>726</v>
      </c>
      <c r="JR56" s="20" t="s">
        <v>698</v>
      </c>
      <c r="JS56" s="20" t="s">
        <v>698</v>
      </c>
      <c r="JX56" s="20" t="s">
        <v>789</v>
      </c>
      <c r="JY56" s="20" t="s">
        <v>1251</v>
      </c>
      <c r="QB56" s="20" t="s">
        <v>1251</v>
      </c>
      <c r="QO56" s="20" t="s">
        <v>1252</v>
      </c>
      <c r="RA56" s="20" t="s">
        <v>696</v>
      </c>
      <c r="RH56" s="20" t="s">
        <v>696</v>
      </c>
      <c r="XL56" s="20" t="s">
        <v>867</v>
      </c>
      <c r="XM56" s="20" t="s">
        <v>868</v>
      </c>
      <c r="XN56" s="20" t="s">
        <v>869</v>
      </c>
      <c r="XO56" s="20" t="s">
        <v>1253</v>
      </c>
      <c r="XQ56" s="24">
        <v>45464</v>
      </c>
      <c r="XU56" s="20" t="s">
        <v>1254</v>
      </c>
      <c r="XV56" s="20" t="s">
        <v>1255</v>
      </c>
      <c r="XW56" s="20" t="s">
        <v>1256</v>
      </c>
      <c r="XX56" s="20" t="s">
        <v>1257</v>
      </c>
      <c r="XY56" s="20" t="s">
        <v>1258</v>
      </c>
    </row>
    <row r="57" spans="1:649" ht="13">
      <c r="A57" s="20">
        <v>307</v>
      </c>
      <c r="B57" s="21">
        <v>45453</v>
      </c>
      <c r="C57" s="20">
        <v>2024</v>
      </c>
      <c r="D57" s="20">
        <v>20240140</v>
      </c>
      <c r="E57" s="20">
        <v>39665</v>
      </c>
      <c r="F57" s="20" t="s">
        <v>885</v>
      </c>
      <c r="G57" s="20">
        <v>39596</v>
      </c>
      <c r="H57" s="20" t="s">
        <v>796</v>
      </c>
      <c r="I57" s="20" t="s">
        <v>692</v>
      </c>
      <c r="J57" s="20" t="s">
        <v>693</v>
      </c>
      <c r="K57" s="20" t="s">
        <v>694</v>
      </c>
      <c r="L57" s="20">
        <v>77002</v>
      </c>
      <c r="M57" s="22">
        <v>45423.554861111108</v>
      </c>
      <c r="N57" s="20" t="s">
        <v>695</v>
      </c>
      <c r="O57" s="20" t="s">
        <v>696</v>
      </c>
      <c r="P57" s="20">
        <v>32.282705249999999</v>
      </c>
      <c r="Q57" s="20">
        <v>-96.762794920000005</v>
      </c>
      <c r="R57" s="20" t="s">
        <v>697</v>
      </c>
      <c r="W57" s="20">
        <v>5</v>
      </c>
      <c r="Y57" s="20">
        <v>5</v>
      </c>
      <c r="Z57" s="20" t="s">
        <v>698</v>
      </c>
      <c r="AF57" s="20">
        <v>0</v>
      </c>
      <c r="AG57" s="20" t="s">
        <v>698</v>
      </c>
      <c r="AM57" s="20">
        <v>0</v>
      </c>
      <c r="AN57" s="20" t="s">
        <v>775</v>
      </c>
      <c r="AQ57" s="23">
        <v>45423.554861111108</v>
      </c>
      <c r="AR57" s="20" t="s">
        <v>776</v>
      </c>
      <c r="AS57" s="20" t="s">
        <v>702</v>
      </c>
      <c r="AT57" s="20" t="s">
        <v>703</v>
      </c>
      <c r="AU57" s="20" t="s">
        <v>698</v>
      </c>
      <c r="AV57" s="20" t="s">
        <v>1259</v>
      </c>
      <c r="AZ57" s="20" t="s">
        <v>698</v>
      </c>
      <c r="BC57" s="23">
        <v>45423.582638888889</v>
      </c>
      <c r="BD57" s="23">
        <v>45423.582638888889</v>
      </c>
      <c r="BF57" s="20" t="s">
        <v>754</v>
      </c>
      <c r="BH57" s="20" t="s">
        <v>698</v>
      </c>
      <c r="BN57" s="20" t="s">
        <v>777</v>
      </c>
      <c r="BP57" s="23">
        <v>45423.55972222222</v>
      </c>
      <c r="BQ57" s="20" t="s">
        <v>798</v>
      </c>
      <c r="BR57" s="20" t="s">
        <v>777</v>
      </c>
      <c r="BT57" s="23">
        <v>45423.55972222222</v>
      </c>
      <c r="BU57" s="20" t="s">
        <v>798</v>
      </c>
      <c r="BV57" s="20" t="s">
        <v>696</v>
      </c>
      <c r="BW57" s="23">
        <v>45423.561805555553</v>
      </c>
      <c r="BX57" s="20" t="s">
        <v>698</v>
      </c>
      <c r="CA57" s="20">
        <v>0</v>
      </c>
      <c r="CB57" s="20" t="s">
        <v>1260</v>
      </c>
      <c r="CC57" s="20" t="s">
        <v>1261</v>
      </c>
      <c r="CD57" s="20" t="s">
        <v>694</v>
      </c>
      <c r="CE57" s="20">
        <v>75119</v>
      </c>
      <c r="CF57" s="20" t="s">
        <v>1262</v>
      </c>
      <c r="CG57" s="20" t="s">
        <v>1263</v>
      </c>
      <c r="CH57" s="20" t="s">
        <v>710</v>
      </c>
      <c r="CI57" s="20" t="s">
        <v>1264</v>
      </c>
      <c r="CJ57" s="20" t="s">
        <v>698</v>
      </c>
      <c r="CK57" s="20" t="s">
        <v>785</v>
      </c>
      <c r="CL57" s="20" t="s">
        <v>741</v>
      </c>
      <c r="CM57" s="20" t="s">
        <v>742</v>
      </c>
      <c r="CO57" s="20">
        <v>36</v>
      </c>
      <c r="CP57" s="20" t="s">
        <v>698</v>
      </c>
      <c r="DM57" s="20" t="s">
        <v>743</v>
      </c>
      <c r="DN57" s="20" t="s">
        <v>744</v>
      </c>
      <c r="DO57" s="20" t="s">
        <v>745</v>
      </c>
      <c r="DP57" s="20" t="s">
        <v>698</v>
      </c>
      <c r="DQ57" s="20">
        <v>16</v>
      </c>
      <c r="DR57" s="20">
        <v>0.25</v>
      </c>
      <c r="DS57" s="20">
        <v>42000</v>
      </c>
      <c r="DT57" s="20" t="s">
        <v>985</v>
      </c>
      <c r="DU57" s="20" t="s">
        <v>804</v>
      </c>
      <c r="DW57" s="20" t="s">
        <v>728</v>
      </c>
      <c r="DX57" s="20" t="s">
        <v>805</v>
      </c>
      <c r="DZ57" s="20" t="s">
        <v>728</v>
      </c>
      <c r="FK57" s="20">
        <v>1953</v>
      </c>
      <c r="FL57" s="20" t="s">
        <v>728</v>
      </c>
      <c r="FM57" s="20" t="s">
        <v>719</v>
      </c>
      <c r="FO57" s="20" t="s">
        <v>720</v>
      </c>
      <c r="FR57" s="20" t="s">
        <v>749</v>
      </c>
      <c r="FY57" s="20" t="s">
        <v>698</v>
      </c>
      <c r="GC57" s="20" t="s">
        <v>696</v>
      </c>
      <c r="GD57" s="20" t="s">
        <v>698</v>
      </c>
      <c r="GE57" s="20" t="s">
        <v>696</v>
      </c>
      <c r="GH57" s="20" t="s">
        <v>696</v>
      </c>
      <c r="GK57" s="20" t="s">
        <v>698</v>
      </c>
      <c r="GT57" s="20" t="s">
        <v>698</v>
      </c>
      <c r="GU57" s="20" t="s">
        <v>698</v>
      </c>
      <c r="HF57" s="20">
        <v>0</v>
      </c>
      <c r="HG57" s="20">
        <v>296</v>
      </c>
      <c r="HH57" s="20">
        <v>375</v>
      </c>
      <c r="HI57" s="20">
        <v>35000</v>
      </c>
      <c r="HJ57" s="20">
        <v>6000</v>
      </c>
      <c r="HK57" s="20">
        <v>0</v>
      </c>
      <c r="HM57" s="20">
        <v>41671</v>
      </c>
      <c r="HN57" s="20">
        <v>0</v>
      </c>
      <c r="HO57" s="20">
        <v>0</v>
      </c>
      <c r="HP57" s="20">
        <v>0</v>
      </c>
      <c r="HQ57" s="20">
        <v>0</v>
      </c>
      <c r="HR57" s="20">
        <v>514</v>
      </c>
      <c r="HS57" s="20">
        <v>758</v>
      </c>
      <c r="HT57" s="20" t="s">
        <v>787</v>
      </c>
      <c r="HV57" s="24">
        <v>34370</v>
      </c>
      <c r="HW57" s="20" t="s">
        <v>698</v>
      </c>
      <c r="HY57" s="20" t="s">
        <v>723</v>
      </c>
      <c r="HZ57" s="20" t="s">
        <v>698</v>
      </c>
      <c r="IC57" s="20">
        <v>62322</v>
      </c>
      <c r="ID57" s="20" t="s">
        <v>696</v>
      </c>
      <c r="IL57" s="20" t="s">
        <v>698</v>
      </c>
      <c r="IS57" s="20" t="s">
        <v>724</v>
      </c>
      <c r="IT57" s="20" t="s">
        <v>696</v>
      </c>
      <c r="IU57" s="20" t="s">
        <v>696</v>
      </c>
      <c r="IV57" s="20" t="s">
        <v>696</v>
      </c>
      <c r="IW57" s="20" t="s">
        <v>698</v>
      </c>
      <c r="IX57" s="20" t="s">
        <v>698</v>
      </c>
      <c r="IY57" s="20" t="s">
        <v>696</v>
      </c>
      <c r="IZ57" s="20" t="s">
        <v>696</v>
      </c>
      <c r="JA57" s="20" t="s">
        <v>696</v>
      </c>
      <c r="JB57" s="20" t="s">
        <v>698</v>
      </c>
      <c r="JC57" s="20" t="s">
        <v>698</v>
      </c>
      <c r="JD57" s="20" t="s">
        <v>725</v>
      </c>
      <c r="JE57" s="20" t="s">
        <v>726</v>
      </c>
      <c r="JR57" s="20" t="s">
        <v>698</v>
      </c>
      <c r="JS57" s="20" t="s">
        <v>698</v>
      </c>
      <c r="JX57" s="20" t="s">
        <v>833</v>
      </c>
      <c r="JY57" s="20" t="s">
        <v>860</v>
      </c>
      <c r="JZ57" s="20" t="s">
        <v>860</v>
      </c>
      <c r="KA57" s="20" t="s">
        <v>905</v>
      </c>
      <c r="KC57" s="20" t="s">
        <v>696</v>
      </c>
      <c r="KL57" s="20" t="s">
        <v>696</v>
      </c>
      <c r="KN57" s="20" t="s">
        <v>696</v>
      </c>
      <c r="KO57" s="20" t="s">
        <v>1265</v>
      </c>
      <c r="KP57" s="20" t="s">
        <v>696</v>
      </c>
      <c r="KQ57" s="20" t="s">
        <v>696</v>
      </c>
      <c r="KR57" s="20">
        <v>1953</v>
      </c>
      <c r="KS57" s="20" t="s">
        <v>696</v>
      </c>
      <c r="KT57" s="20" t="s">
        <v>696</v>
      </c>
      <c r="KU57" s="20" t="s">
        <v>696</v>
      </c>
      <c r="KV57" s="20" t="s">
        <v>696</v>
      </c>
      <c r="KX57" s="20">
        <v>2024</v>
      </c>
      <c r="KY57" s="20">
        <v>2023</v>
      </c>
      <c r="LC57" s="20" t="s">
        <v>696</v>
      </c>
      <c r="SC57" s="20" t="s">
        <v>696</v>
      </c>
      <c r="SD57" s="20" t="s">
        <v>696</v>
      </c>
      <c r="SF57" s="20" t="s">
        <v>696</v>
      </c>
      <c r="SG57" s="20" t="s">
        <v>696</v>
      </c>
      <c r="SK57" s="20">
        <v>2023</v>
      </c>
      <c r="SL57" s="20" t="s">
        <v>863</v>
      </c>
      <c r="SM57" s="20" t="s">
        <v>864</v>
      </c>
      <c r="SO57" s="20" t="s">
        <v>865</v>
      </c>
      <c r="SQ57" s="20">
        <v>2018</v>
      </c>
      <c r="SR57" s="20" t="s">
        <v>863</v>
      </c>
      <c r="SS57" s="20" t="s">
        <v>864</v>
      </c>
      <c r="SU57" s="20" t="s">
        <v>865</v>
      </c>
      <c r="TE57" s="20">
        <v>2022</v>
      </c>
      <c r="TF57" s="20" t="s">
        <v>863</v>
      </c>
      <c r="TG57" s="20" t="s">
        <v>768</v>
      </c>
      <c r="TK57" s="20">
        <v>2017</v>
      </c>
      <c r="TL57" s="20" t="s">
        <v>863</v>
      </c>
      <c r="TM57" s="20" t="s">
        <v>768</v>
      </c>
      <c r="TQ57" s="20">
        <v>2023</v>
      </c>
      <c r="TR57" s="20" t="s">
        <v>863</v>
      </c>
      <c r="TS57" s="20" t="s">
        <v>933</v>
      </c>
      <c r="TU57" s="20" t="s">
        <v>934</v>
      </c>
      <c r="TV57" s="20">
        <v>2022</v>
      </c>
      <c r="TW57" s="20" t="s">
        <v>863</v>
      </c>
      <c r="TX57" s="20" t="s">
        <v>865</v>
      </c>
      <c r="TZ57" s="20" t="s">
        <v>934</v>
      </c>
      <c r="UO57" s="20" t="s">
        <v>696</v>
      </c>
      <c r="UP57" s="20">
        <v>1994</v>
      </c>
      <c r="UQ57" s="20">
        <v>1110</v>
      </c>
      <c r="UR57" s="20" t="s">
        <v>698</v>
      </c>
      <c r="UZ57" s="20" t="s">
        <v>698</v>
      </c>
      <c r="XL57" s="20" t="s">
        <v>730</v>
      </c>
      <c r="XM57" s="20" t="s">
        <v>731</v>
      </c>
      <c r="XN57" s="20" t="s">
        <v>732</v>
      </c>
      <c r="XO57" s="20" t="s">
        <v>733</v>
      </c>
      <c r="XQ57" s="24">
        <v>45453</v>
      </c>
      <c r="XU57" s="20" t="s">
        <v>730</v>
      </c>
      <c r="XV57" s="20" t="s">
        <v>733</v>
      </c>
      <c r="XW57" s="20" t="s">
        <v>731</v>
      </c>
      <c r="XX57" s="20" t="s">
        <v>732</v>
      </c>
      <c r="XY57" s="20" t="s">
        <v>1266</v>
      </c>
    </row>
    <row r="58" spans="1:649" ht="13">
      <c r="A58" s="20">
        <v>314</v>
      </c>
      <c r="B58" s="21">
        <v>45442</v>
      </c>
      <c r="C58" s="20">
        <v>2024</v>
      </c>
      <c r="D58" s="20">
        <v>20240131</v>
      </c>
      <c r="E58" s="20">
        <v>39614</v>
      </c>
      <c r="F58" s="20" t="s">
        <v>885</v>
      </c>
      <c r="G58" s="20">
        <v>31476</v>
      </c>
      <c r="H58" s="20" t="s">
        <v>735</v>
      </c>
      <c r="I58" s="20" t="s">
        <v>692</v>
      </c>
      <c r="J58" s="20" t="s">
        <v>693</v>
      </c>
      <c r="K58" s="20" t="s">
        <v>694</v>
      </c>
      <c r="L58" s="20">
        <v>77002</v>
      </c>
      <c r="M58" s="22">
        <v>45413.374305555553</v>
      </c>
      <c r="N58" s="20" t="s">
        <v>695</v>
      </c>
      <c r="O58" s="20" t="s">
        <v>696</v>
      </c>
      <c r="P58" s="20">
        <v>36.019470210000001</v>
      </c>
      <c r="Q58" s="20">
        <v>-96.755561830000005</v>
      </c>
      <c r="R58" s="20" t="s">
        <v>697</v>
      </c>
      <c r="W58" s="20">
        <v>16</v>
      </c>
      <c r="Y58" s="20">
        <v>16</v>
      </c>
      <c r="Z58" s="20" t="s">
        <v>698</v>
      </c>
      <c r="AF58" s="20">
        <v>0</v>
      </c>
      <c r="AG58" s="20" t="s">
        <v>698</v>
      </c>
      <c r="AM58" s="20">
        <v>0</v>
      </c>
      <c r="AN58" s="20" t="s">
        <v>699</v>
      </c>
      <c r="AP58" s="20" t="s">
        <v>700</v>
      </c>
      <c r="AQ58" s="23">
        <v>45413.374305555553</v>
      </c>
      <c r="AR58" s="20" t="s">
        <v>736</v>
      </c>
      <c r="AS58" s="20" t="s">
        <v>702</v>
      </c>
      <c r="AT58" s="20" t="s">
        <v>703</v>
      </c>
      <c r="AU58" s="20" t="s">
        <v>698</v>
      </c>
      <c r="AV58" s="20" t="s">
        <v>1192</v>
      </c>
      <c r="AZ58" s="20" t="s">
        <v>696</v>
      </c>
      <c r="BA58" s="20" t="s">
        <v>753</v>
      </c>
      <c r="BB58" s="23">
        <v>45413.427083333336</v>
      </c>
      <c r="BC58" s="23">
        <v>45413.374305555553</v>
      </c>
      <c r="BD58" s="23">
        <v>45413.374305555553</v>
      </c>
      <c r="BF58" s="20" t="s">
        <v>754</v>
      </c>
      <c r="BH58" s="20" t="s">
        <v>698</v>
      </c>
      <c r="BV58" s="20" t="s">
        <v>696</v>
      </c>
      <c r="BW58" s="23">
        <v>45413.374305555553</v>
      </c>
      <c r="BX58" s="20" t="s">
        <v>698</v>
      </c>
      <c r="CA58" s="20">
        <v>0</v>
      </c>
      <c r="CB58" s="20" t="s">
        <v>737</v>
      </c>
      <c r="CC58" s="20" t="s">
        <v>738</v>
      </c>
      <c r="CD58" s="20" t="s">
        <v>739</v>
      </c>
      <c r="CE58" s="20">
        <v>74023</v>
      </c>
      <c r="CF58" s="20" t="s">
        <v>708</v>
      </c>
      <c r="CG58" s="20" t="s">
        <v>740</v>
      </c>
      <c r="CH58" s="20" t="s">
        <v>710</v>
      </c>
      <c r="CI58" s="20" t="s">
        <v>711</v>
      </c>
      <c r="CJ58" s="20" t="s">
        <v>698</v>
      </c>
      <c r="CK58" s="20" t="s">
        <v>712</v>
      </c>
      <c r="CL58" s="20" t="s">
        <v>713</v>
      </c>
      <c r="CM58" s="20" t="s">
        <v>758</v>
      </c>
      <c r="CP58" s="20" t="s">
        <v>698</v>
      </c>
      <c r="DM58" s="20" t="s">
        <v>743</v>
      </c>
      <c r="DN58" s="20" t="s">
        <v>744</v>
      </c>
      <c r="DO58" s="20" t="s">
        <v>745</v>
      </c>
      <c r="DP58" s="20" t="s">
        <v>698</v>
      </c>
      <c r="DQ58" s="20">
        <v>8</v>
      </c>
      <c r="DR58" s="20">
        <v>0.312</v>
      </c>
      <c r="DS58" s="20">
        <v>35000</v>
      </c>
      <c r="DT58" s="20" t="s">
        <v>746</v>
      </c>
      <c r="DU58" s="20" t="s">
        <v>747</v>
      </c>
      <c r="DW58" s="20" t="s">
        <v>728</v>
      </c>
      <c r="DX58" s="20" t="s">
        <v>748</v>
      </c>
      <c r="DZ58" s="20" t="s">
        <v>698</v>
      </c>
      <c r="FK58" s="20" t="s">
        <v>728</v>
      </c>
      <c r="FL58" s="20" t="s">
        <v>728</v>
      </c>
      <c r="FM58" s="20" t="s">
        <v>719</v>
      </c>
      <c r="FO58" s="20" t="s">
        <v>720</v>
      </c>
      <c r="FR58" s="20" t="s">
        <v>749</v>
      </c>
      <c r="FY58" s="20" t="s">
        <v>698</v>
      </c>
      <c r="GC58" s="20" t="s">
        <v>696</v>
      </c>
      <c r="GD58" s="20" t="s">
        <v>698</v>
      </c>
      <c r="GE58" s="20" t="s">
        <v>696</v>
      </c>
      <c r="GH58" s="20" t="s">
        <v>696</v>
      </c>
      <c r="GK58" s="20" t="s">
        <v>698</v>
      </c>
      <c r="GT58" s="20" t="s">
        <v>696</v>
      </c>
      <c r="GU58" s="20" t="s">
        <v>698</v>
      </c>
      <c r="HF58" s="20">
        <v>0</v>
      </c>
      <c r="HG58" s="20">
        <v>0</v>
      </c>
      <c r="HH58" s="20">
        <v>25000</v>
      </c>
      <c r="HI58" s="20">
        <v>15000</v>
      </c>
      <c r="HJ58" s="20">
        <v>5000</v>
      </c>
      <c r="HK58" s="20">
        <v>0</v>
      </c>
      <c r="HM58" s="20">
        <v>45000</v>
      </c>
      <c r="HN58" s="20">
        <v>0</v>
      </c>
      <c r="HO58" s="20">
        <v>0</v>
      </c>
      <c r="HP58" s="20">
        <v>0</v>
      </c>
      <c r="HQ58" s="20">
        <v>0</v>
      </c>
      <c r="HR58" s="20">
        <v>5</v>
      </c>
      <c r="HS58" s="20">
        <v>285</v>
      </c>
      <c r="HT58" s="20" t="s">
        <v>750</v>
      </c>
      <c r="HV58" s="24">
        <v>42736</v>
      </c>
      <c r="HW58" s="20" t="s">
        <v>698</v>
      </c>
      <c r="HY58" s="20" t="s">
        <v>723</v>
      </c>
      <c r="HZ58" s="20" t="s">
        <v>698</v>
      </c>
      <c r="IS58" s="20" t="s">
        <v>724</v>
      </c>
      <c r="IT58" s="20" t="s">
        <v>696</v>
      </c>
      <c r="IU58" s="20" t="s">
        <v>696</v>
      </c>
      <c r="IV58" s="20" t="s">
        <v>696</v>
      </c>
      <c r="IW58" s="20" t="s">
        <v>698</v>
      </c>
      <c r="IX58" s="20" t="s">
        <v>698</v>
      </c>
      <c r="IY58" s="20" t="s">
        <v>698</v>
      </c>
      <c r="JD58" s="20" t="s">
        <v>725</v>
      </c>
      <c r="JE58" s="20" t="s">
        <v>726</v>
      </c>
      <c r="JR58" s="20" t="s">
        <v>698</v>
      </c>
      <c r="JS58" s="20" t="s">
        <v>698</v>
      </c>
      <c r="JX58" s="20" t="s">
        <v>833</v>
      </c>
      <c r="JY58" s="20" t="s">
        <v>834</v>
      </c>
      <c r="JZ58" s="20" t="s">
        <v>834</v>
      </c>
      <c r="LD58" s="20" t="s">
        <v>905</v>
      </c>
      <c r="LH58" s="20" t="s">
        <v>696</v>
      </c>
      <c r="LL58" s="20" t="s">
        <v>696</v>
      </c>
      <c r="LR58" s="20" t="s">
        <v>696</v>
      </c>
      <c r="LU58" s="20" t="s">
        <v>696</v>
      </c>
      <c r="LV58" s="20" t="s">
        <v>698</v>
      </c>
      <c r="LW58" s="20" t="s">
        <v>838</v>
      </c>
      <c r="LX58" s="20" t="s">
        <v>696</v>
      </c>
      <c r="SC58" s="20" t="s">
        <v>698</v>
      </c>
      <c r="UO58" s="20" t="s">
        <v>698</v>
      </c>
      <c r="UR58" s="20" t="s">
        <v>698</v>
      </c>
      <c r="UZ58" s="20" t="s">
        <v>698</v>
      </c>
      <c r="XL58" s="20" t="s">
        <v>730</v>
      </c>
      <c r="XM58" s="20" t="s">
        <v>731</v>
      </c>
      <c r="XN58" s="20" t="s">
        <v>732</v>
      </c>
      <c r="XO58" s="20" t="s">
        <v>733</v>
      </c>
      <c r="XQ58" s="24">
        <v>45442</v>
      </c>
      <c r="XU58" s="20" t="s">
        <v>730</v>
      </c>
      <c r="XV58" s="20" t="s">
        <v>733</v>
      </c>
      <c r="XW58" s="20" t="s">
        <v>731</v>
      </c>
      <c r="XX58" s="20" t="s">
        <v>732</v>
      </c>
      <c r="XY58" s="20" t="s">
        <v>1267</v>
      </c>
    </row>
    <row r="59" spans="1:649" ht="13">
      <c r="A59" s="20">
        <v>317</v>
      </c>
      <c r="B59" s="21">
        <v>45436</v>
      </c>
      <c r="C59" s="20">
        <v>2024</v>
      </c>
      <c r="D59" s="20">
        <v>20240129</v>
      </c>
      <c r="E59" s="20">
        <v>39597</v>
      </c>
      <c r="F59" s="20" t="s">
        <v>885</v>
      </c>
      <c r="G59" s="20">
        <v>22442</v>
      </c>
      <c r="H59" s="20" t="s">
        <v>886</v>
      </c>
      <c r="I59" s="20" t="s">
        <v>692</v>
      </c>
      <c r="J59" s="20" t="s">
        <v>693</v>
      </c>
      <c r="K59" s="20" t="s">
        <v>694</v>
      </c>
      <c r="L59" s="20">
        <v>77002</v>
      </c>
      <c r="M59" s="22">
        <v>45411.166666666664</v>
      </c>
      <c r="N59" s="20" t="s">
        <v>695</v>
      </c>
      <c r="O59" s="20" t="s">
        <v>696</v>
      </c>
      <c r="P59" s="20">
        <v>30.837526</v>
      </c>
      <c r="Q59" s="20">
        <v>-95.173624000000004</v>
      </c>
      <c r="R59" s="20" t="s">
        <v>697</v>
      </c>
      <c r="W59" s="20">
        <v>4.5</v>
      </c>
      <c r="Y59" s="20">
        <v>4.5</v>
      </c>
      <c r="Z59" s="20" t="s">
        <v>698</v>
      </c>
      <c r="AF59" s="20">
        <v>0</v>
      </c>
      <c r="AG59" s="20" t="s">
        <v>698</v>
      </c>
      <c r="AM59" s="20">
        <v>0</v>
      </c>
      <c r="AN59" s="20" t="s">
        <v>887</v>
      </c>
      <c r="AP59" s="20" t="s">
        <v>700</v>
      </c>
      <c r="AQ59" s="23">
        <v>45411.166666666664</v>
      </c>
      <c r="AR59" s="20" t="s">
        <v>701</v>
      </c>
      <c r="AS59" s="20" t="s">
        <v>702</v>
      </c>
      <c r="AT59" s="20" t="s">
        <v>703</v>
      </c>
      <c r="AU59" s="20" t="s">
        <v>696</v>
      </c>
      <c r="AW59" s="23">
        <v>45411.166666666664</v>
      </c>
      <c r="AX59" s="23">
        <v>45411.541666666664</v>
      </c>
      <c r="AZ59" s="20" t="s">
        <v>698</v>
      </c>
      <c r="BC59" s="23">
        <v>45411.188194444447</v>
      </c>
      <c r="BD59" s="23">
        <v>45411.188194444447</v>
      </c>
      <c r="BF59" s="20" t="s">
        <v>754</v>
      </c>
      <c r="BH59" s="20" t="s">
        <v>698</v>
      </c>
      <c r="BV59" s="20" t="s">
        <v>696</v>
      </c>
      <c r="BW59" s="23">
        <v>45411.190972222219</v>
      </c>
      <c r="BX59" s="20" t="s">
        <v>698</v>
      </c>
      <c r="CA59" s="20">
        <v>0</v>
      </c>
      <c r="CB59" s="20" t="s">
        <v>1268</v>
      </c>
      <c r="CC59" s="20" t="s">
        <v>1269</v>
      </c>
      <c r="CD59" s="20" t="s">
        <v>694</v>
      </c>
      <c r="CE59" s="20">
        <v>77360</v>
      </c>
      <c r="CF59" s="20" t="s">
        <v>1270</v>
      </c>
      <c r="CG59" s="20" t="s">
        <v>1271</v>
      </c>
      <c r="CH59" s="20" t="s">
        <v>710</v>
      </c>
      <c r="CI59" s="20" t="s">
        <v>711</v>
      </c>
      <c r="CJ59" s="20" t="s">
        <v>698</v>
      </c>
      <c r="CK59" s="20" t="s">
        <v>712</v>
      </c>
      <c r="CL59" s="20" t="s">
        <v>713</v>
      </c>
      <c r="CM59" s="20" t="s">
        <v>758</v>
      </c>
      <c r="CP59" s="20" t="s">
        <v>698</v>
      </c>
      <c r="DM59" s="20" t="s">
        <v>743</v>
      </c>
      <c r="DN59" s="20" t="s">
        <v>892</v>
      </c>
      <c r="FK59" s="20" t="s">
        <v>728</v>
      </c>
      <c r="FL59" s="20" t="s">
        <v>728</v>
      </c>
      <c r="FM59" s="20" t="s">
        <v>719</v>
      </c>
      <c r="FO59" s="20" t="s">
        <v>893</v>
      </c>
      <c r="FY59" s="20" t="s">
        <v>698</v>
      </c>
      <c r="GC59" s="20" t="s">
        <v>696</v>
      </c>
      <c r="GD59" s="20" t="s">
        <v>698</v>
      </c>
      <c r="GE59" s="20" t="s">
        <v>696</v>
      </c>
      <c r="GH59" s="20" t="s">
        <v>696</v>
      </c>
      <c r="GK59" s="20" t="s">
        <v>698</v>
      </c>
      <c r="GT59" s="20" t="s">
        <v>696</v>
      </c>
      <c r="GU59" s="20" t="s">
        <v>698</v>
      </c>
      <c r="HF59" s="20">
        <v>0</v>
      </c>
      <c r="HG59" s="20">
        <v>9</v>
      </c>
      <c r="HH59" s="20">
        <v>0</v>
      </c>
      <c r="HI59" s="20">
        <v>13000</v>
      </c>
      <c r="HJ59" s="20">
        <v>6000</v>
      </c>
      <c r="HK59" s="20">
        <v>0</v>
      </c>
      <c r="HM59" s="20">
        <v>19009</v>
      </c>
      <c r="HN59" s="20">
        <v>0</v>
      </c>
      <c r="HO59" s="20">
        <v>0</v>
      </c>
      <c r="HP59" s="20">
        <v>0</v>
      </c>
      <c r="HQ59" s="20">
        <v>0</v>
      </c>
      <c r="HR59" s="20">
        <v>0</v>
      </c>
      <c r="HS59" s="20">
        <v>655</v>
      </c>
      <c r="HT59" s="20" t="s">
        <v>787</v>
      </c>
      <c r="HV59" s="24">
        <v>38635</v>
      </c>
      <c r="HW59" s="20" t="s">
        <v>698</v>
      </c>
      <c r="HY59" s="20" t="s">
        <v>723</v>
      </c>
      <c r="HZ59" s="20" t="s">
        <v>698</v>
      </c>
      <c r="IS59" s="20" t="s">
        <v>724</v>
      </c>
      <c r="IT59" s="20" t="s">
        <v>696</v>
      </c>
      <c r="IU59" s="20" t="s">
        <v>696</v>
      </c>
      <c r="IV59" s="20" t="s">
        <v>696</v>
      </c>
      <c r="IW59" s="20" t="s">
        <v>696</v>
      </c>
      <c r="IX59" s="20" t="s">
        <v>696</v>
      </c>
      <c r="IY59" s="20" t="s">
        <v>696</v>
      </c>
      <c r="IZ59" s="20" t="s">
        <v>696</v>
      </c>
      <c r="JA59" s="20" t="s">
        <v>696</v>
      </c>
      <c r="JB59" s="20" t="s">
        <v>698</v>
      </c>
      <c r="JC59" s="20" t="s">
        <v>698</v>
      </c>
      <c r="JD59" s="20" t="s">
        <v>725</v>
      </c>
      <c r="JE59" s="20" t="s">
        <v>726</v>
      </c>
      <c r="JR59" s="20" t="s">
        <v>698</v>
      </c>
      <c r="JS59" s="20" t="s">
        <v>698</v>
      </c>
      <c r="JX59" s="20" t="s">
        <v>1173</v>
      </c>
      <c r="JY59" s="20" t="s">
        <v>1174</v>
      </c>
      <c r="LY59" s="20" t="s">
        <v>1174</v>
      </c>
      <c r="MA59" s="20" t="s">
        <v>766</v>
      </c>
      <c r="MD59" s="20" t="s">
        <v>1272</v>
      </c>
      <c r="ME59" s="20" t="s">
        <v>698</v>
      </c>
      <c r="XL59" s="20" t="s">
        <v>730</v>
      </c>
      <c r="XM59" s="20" t="s">
        <v>731</v>
      </c>
      <c r="XN59" s="20" t="s">
        <v>732</v>
      </c>
      <c r="XO59" s="20" t="s">
        <v>733</v>
      </c>
      <c r="XQ59" s="24">
        <v>45436</v>
      </c>
      <c r="XU59" s="20" t="s">
        <v>730</v>
      </c>
      <c r="XV59" s="20" t="s">
        <v>733</v>
      </c>
      <c r="XW59" s="20" t="s">
        <v>731</v>
      </c>
      <c r="XX59" s="20" t="s">
        <v>732</v>
      </c>
      <c r="XY59" s="20" t="s">
        <v>1273</v>
      </c>
    </row>
    <row r="60" spans="1:649" ht="13">
      <c r="A60" s="20">
        <v>318</v>
      </c>
      <c r="B60" s="21">
        <v>45436</v>
      </c>
      <c r="C60" s="20">
        <v>2024</v>
      </c>
      <c r="D60" s="20">
        <v>20240128</v>
      </c>
      <c r="E60" s="20">
        <v>39596</v>
      </c>
      <c r="F60" s="20" t="s">
        <v>885</v>
      </c>
      <c r="G60" s="20">
        <v>32099</v>
      </c>
      <c r="H60" s="20" t="s">
        <v>752</v>
      </c>
      <c r="I60" s="20" t="s">
        <v>692</v>
      </c>
      <c r="J60" s="20" t="s">
        <v>693</v>
      </c>
      <c r="K60" s="20" t="s">
        <v>694</v>
      </c>
      <c r="L60" s="20">
        <v>77002</v>
      </c>
      <c r="M60" s="22">
        <v>45409.666666666664</v>
      </c>
      <c r="N60" s="20" t="s">
        <v>695</v>
      </c>
      <c r="O60" s="20" t="s">
        <v>696</v>
      </c>
      <c r="P60" s="20">
        <v>34.808205299999997</v>
      </c>
      <c r="Q60" s="20">
        <v>-97.704684999999998</v>
      </c>
      <c r="R60" s="20" t="s">
        <v>697</v>
      </c>
      <c r="W60" s="20">
        <v>8</v>
      </c>
      <c r="Y60" s="20">
        <v>8</v>
      </c>
      <c r="Z60" s="20" t="s">
        <v>698</v>
      </c>
      <c r="AF60" s="20">
        <v>0</v>
      </c>
      <c r="AG60" s="20" t="s">
        <v>698</v>
      </c>
      <c r="AM60" s="20">
        <v>0</v>
      </c>
      <c r="AN60" s="20" t="s">
        <v>699</v>
      </c>
      <c r="AP60" s="20" t="s">
        <v>700</v>
      </c>
      <c r="AQ60" s="23">
        <v>45409.666666666664</v>
      </c>
      <c r="AR60" s="20" t="s">
        <v>736</v>
      </c>
      <c r="AS60" s="20" t="s">
        <v>702</v>
      </c>
      <c r="AT60" s="20" t="s">
        <v>703</v>
      </c>
      <c r="AU60" s="20" t="s">
        <v>698</v>
      </c>
      <c r="AV60" s="20" t="s">
        <v>1274</v>
      </c>
      <c r="AZ60" s="20" t="s">
        <v>698</v>
      </c>
      <c r="BC60" s="23">
        <v>45409.6875</v>
      </c>
      <c r="BD60" s="23">
        <v>45409.6875</v>
      </c>
      <c r="BF60" s="20" t="s">
        <v>754</v>
      </c>
      <c r="BH60" s="20" t="s">
        <v>698</v>
      </c>
      <c r="BV60" s="20" t="s">
        <v>696</v>
      </c>
      <c r="BW60" s="23">
        <v>45409.6875</v>
      </c>
      <c r="BX60" s="20" t="s">
        <v>698</v>
      </c>
      <c r="CA60" s="20">
        <v>0</v>
      </c>
      <c r="CB60" s="20" t="s">
        <v>1275</v>
      </c>
      <c r="CC60" s="20" t="s">
        <v>1276</v>
      </c>
      <c r="CD60" s="20" t="s">
        <v>739</v>
      </c>
      <c r="CE60" s="20">
        <v>73011</v>
      </c>
      <c r="CF60" s="20" t="s">
        <v>1277</v>
      </c>
      <c r="CG60" s="20" t="s">
        <v>812</v>
      </c>
      <c r="CH60" s="20" t="s">
        <v>710</v>
      </c>
      <c r="CI60" s="20" t="s">
        <v>711</v>
      </c>
      <c r="CJ60" s="20" t="s">
        <v>698</v>
      </c>
      <c r="CK60" s="20" t="s">
        <v>712</v>
      </c>
      <c r="CL60" s="20" t="s">
        <v>713</v>
      </c>
      <c r="CM60" s="20" t="s">
        <v>758</v>
      </c>
      <c r="CP60" s="20" t="s">
        <v>698</v>
      </c>
      <c r="DM60" s="20" t="s">
        <v>715</v>
      </c>
      <c r="DN60" s="20" t="s">
        <v>1278</v>
      </c>
      <c r="FK60" s="20">
        <v>2015</v>
      </c>
      <c r="FL60" s="20" t="s">
        <v>728</v>
      </c>
      <c r="FM60" s="20" t="s">
        <v>719</v>
      </c>
      <c r="FO60" s="20" t="s">
        <v>720</v>
      </c>
      <c r="FR60" s="20" t="s">
        <v>721</v>
      </c>
      <c r="FY60" s="20" t="s">
        <v>698</v>
      </c>
      <c r="GC60" s="20" t="s">
        <v>696</v>
      </c>
      <c r="GD60" s="20" t="s">
        <v>698</v>
      </c>
      <c r="GE60" s="20" t="s">
        <v>696</v>
      </c>
      <c r="GH60" s="20" t="s">
        <v>696</v>
      </c>
      <c r="GK60" s="20" t="s">
        <v>698</v>
      </c>
      <c r="GT60" s="20" t="s">
        <v>698</v>
      </c>
      <c r="GU60" s="20" t="s">
        <v>698</v>
      </c>
      <c r="HF60" s="20">
        <v>0</v>
      </c>
      <c r="HG60" s="20">
        <v>500</v>
      </c>
      <c r="HH60" s="20">
        <v>150</v>
      </c>
      <c r="HI60" s="20">
        <v>2500</v>
      </c>
      <c r="HJ60" s="20">
        <v>0</v>
      </c>
      <c r="HK60" s="20">
        <v>0</v>
      </c>
      <c r="HM60" s="20">
        <v>3150</v>
      </c>
      <c r="HN60" s="20">
        <v>0</v>
      </c>
      <c r="HO60" s="20">
        <v>0</v>
      </c>
      <c r="HP60" s="20">
        <v>0</v>
      </c>
      <c r="HQ60" s="20">
        <v>0</v>
      </c>
      <c r="HR60" s="20">
        <v>300</v>
      </c>
      <c r="HS60" s="20">
        <v>1440</v>
      </c>
      <c r="HT60" s="20" t="s">
        <v>787</v>
      </c>
      <c r="HV60" s="24">
        <v>42112</v>
      </c>
      <c r="HW60" s="20" t="s">
        <v>698</v>
      </c>
      <c r="HY60" s="20" t="s">
        <v>723</v>
      </c>
      <c r="HZ60" s="20" t="s">
        <v>698</v>
      </c>
      <c r="IS60" s="20" t="s">
        <v>724</v>
      </c>
      <c r="IT60" s="20" t="s">
        <v>696</v>
      </c>
      <c r="IU60" s="20" t="s">
        <v>696</v>
      </c>
      <c r="IV60" s="20" t="s">
        <v>696</v>
      </c>
      <c r="IW60" s="20" t="s">
        <v>698</v>
      </c>
      <c r="IX60" s="20" t="s">
        <v>698</v>
      </c>
      <c r="IY60" s="20" t="s">
        <v>696</v>
      </c>
      <c r="IZ60" s="20" t="s">
        <v>696</v>
      </c>
      <c r="JA60" s="20" t="s">
        <v>696</v>
      </c>
      <c r="JB60" s="20" t="s">
        <v>696</v>
      </c>
      <c r="JC60" s="20" t="s">
        <v>698</v>
      </c>
      <c r="JD60" s="20" t="s">
        <v>725</v>
      </c>
      <c r="JE60" s="20" t="s">
        <v>726</v>
      </c>
      <c r="JR60" s="20" t="s">
        <v>698</v>
      </c>
      <c r="JS60" s="20" t="s">
        <v>698</v>
      </c>
      <c r="JX60" s="20" t="s">
        <v>789</v>
      </c>
      <c r="JY60" s="20" t="s">
        <v>914</v>
      </c>
      <c r="QB60" s="20" t="s">
        <v>914</v>
      </c>
      <c r="QS60" s="20" t="s">
        <v>1017</v>
      </c>
      <c r="RK60" s="20" t="s">
        <v>696</v>
      </c>
      <c r="RL60" s="20" t="s">
        <v>1042</v>
      </c>
      <c r="XL60" s="20" t="s">
        <v>730</v>
      </c>
      <c r="XM60" s="20" t="s">
        <v>731</v>
      </c>
      <c r="XN60" s="20" t="s">
        <v>732</v>
      </c>
      <c r="XO60" s="20" t="s">
        <v>733</v>
      </c>
      <c r="XQ60" s="24">
        <v>45436</v>
      </c>
      <c r="XU60" s="20" t="s">
        <v>730</v>
      </c>
      <c r="XV60" s="20" t="s">
        <v>733</v>
      </c>
      <c r="XW60" s="20" t="s">
        <v>731</v>
      </c>
      <c r="XX60" s="20" t="s">
        <v>732</v>
      </c>
      <c r="XY60" s="20" t="s">
        <v>1279</v>
      </c>
    </row>
    <row r="61" spans="1:649" ht="13">
      <c r="A61" s="20">
        <v>322</v>
      </c>
      <c r="B61" s="21">
        <v>45433</v>
      </c>
      <c r="C61" s="20">
        <v>2024</v>
      </c>
      <c r="D61" s="20">
        <v>20240124</v>
      </c>
      <c r="E61" s="20">
        <v>39582</v>
      </c>
      <c r="F61" s="20" t="s">
        <v>885</v>
      </c>
      <c r="G61" s="20">
        <v>32099</v>
      </c>
      <c r="H61" s="20" t="s">
        <v>752</v>
      </c>
      <c r="I61" s="20" t="s">
        <v>692</v>
      </c>
      <c r="J61" s="20" t="s">
        <v>693</v>
      </c>
      <c r="K61" s="20" t="s">
        <v>694</v>
      </c>
      <c r="L61" s="20">
        <v>77002</v>
      </c>
      <c r="M61" s="22">
        <v>45404.625</v>
      </c>
      <c r="N61" s="20" t="s">
        <v>695</v>
      </c>
      <c r="O61" s="20" t="s">
        <v>696</v>
      </c>
      <c r="P61" s="20">
        <v>32.069854999999997</v>
      </c>
      <c r="Q61" s="20">
        <v>-96.475628999999998</v>
      </c>
      <c r="R61" s="20" t="s">
        <v>697</v>
      </c>
      <c r="W61" s="20">
        <v>14</v>
      </c>
      <c r="Y61" s="20">
        <v>14</v>
      </c>
      <c r="Z61" s="20" t="s">
        <v>698</v>
      </c>
      <c r="AF61" s="20">
        <v>0</v>
      </c>
      <c r="AG61" s="20" t="s">
        <v>698</v>
      </c>
      <c r="AM61" s="20">
        <v>0</v>
      </c>
      <c r="AN61" s="20" t="s">
        <v>699</v>
      </c>
      <c r="AP61" s="20" t="s">
        <v>700</v>
      </c>
      <c r="AQ61" s="23">
        <v>45404.625</v>
      </c>
      <c r="AR61" s="20" t="s">
        <v>736</v>
      </c>
      <c r="AS61" s="20" t="s">
        <v>702</v>
      </c>
      <c r="AT61" s="20" t="s">
        <v>703</v>
      </c>
      <c r="AU61" s="20" t="s">
        <v>698</v>
      </c>
      <c r="AV61" s="20" t="s">
        <v>1280</v>
      </c>
      <c r="AZ61" s="20" t="s">
        <v>698</v>
      </c>
      <c r="BC61" s="23">
        <v>45404.625</v>
      </c>
      <c r="BD61" s="23">
        <v>45404.625</v>
      </c>
      <c r="BF61" s="20" t="s">
        <v>754</v>
      </c>
      <c r="BH61" s="20" t="s">
        <v>698</v>
      </c>
      <c r="BV61" s="20" t="s">
        <v>696</v>
      </c>
      <c r="BW61" s="23">
        <v>45404.625</v>
      </c>
      <c r="BX61" s="20" t="s">
        <v>698</v>
      </c>
      <c r="CA61" s="20">
        <v>0</v>
      </c>
      <c r="CB61" s="20" t="s">
        <v>1281</v>
      </c>
      <c r="CC61" s="20" t="s">
        <v>1282</v>
      </c>
      <c r="CD61" s="20" t="s">
        <v>694</v>
      </c>
      <c r="CE61" s="20">
        <v>75110</v>
      </c>
      <c r="CF61" s="20" t="s">
        <v>708</v>
      </c>
      <c r="CG61" s="20" t="s">
        <v>1283</v>
      </c>
      <c r="CH61" s="20" t="s">
        <v>710</v>
      </c>
      <c r="CI61" s="20" t="s">
        <v>711</v>
      </c>
      <c r="CJ61" s="20" t="s">
        <v>698</v>
      </c>
      <c r="CK61" s="20" t="s">
        <v>712</v>
      </c>
      <c r="CL61" s="20" t="s">
        <v>713</v>
      </c>
      <c r="CM61" s="20" t="s">
        <v>758</v>
      </c>
      <c r="CP61" s="20" t="s">
        <v>698</v>
      </c>
      <c r="DM61" s="20" t="s">
        <v>743</v>
      </c>
      <c r="DN61" s="20" t="s">
        <v>744</v>
      </c>
      <c r="DO61" s="20" t="s">
        <v>745</v>
      </c>
      <c r="DP61" s="20" t="s">
        <v>698</v>
      </c>
      <c r="DQ61" s="20">
        <v>24</v>
      </c>
      <c r="DR61" s="20">
        <v>0.375</v>
      </c>
      <c r="DS61" s="20">
        <v>42000</v>
      </c>
      <c r="DT61" s="20" t="s">
        <v>1284</v>
      </c>
      <c r="DU61" s="20" t="s">
        <v>747</v>
      </c>
      <c r="DW61" s="20" t="s">
        <v>1285</v>
      </c>
      <c r="DX61" s="20" t="s">
        <v>904</v>
      </c>
      <c r="DZ61" s="20" t="s">
        <v>696</v>
      </c>
      <c r="FK61" s="20">
        <v>2019</v>
      </c>
      <c r="FL61" s="20">
        <v>2017</v>
      </c>
      <c r="FM61" s="20" t="s">
        <v>719</v>
      </c>
      <c r="FO61" s="20" t="s">
        <v>720</v>
      </c>
      <c r="FR61" s="20" t="s">
        <v>749</v>
      </c>
      <c r="FY61" s="20" t="s">
        <v>698</v>
      </c>
      <c r="GC61" s="20" t="s">
        <v>696</v>
      </c>
      <c r="GD61" s="20" t="s">
        <v>698</v>
      </c>
      <c r="GE61" s="20" t="s">
        <v>696</v>
      </c>
      <c r="GH61" s="20" t="s">
        <v>696</v>
      </c>
      <c r="GK61" s="20" t="s">
        <v>698</v>
      </c>
      <c r="GT61" s="20" t="s">
        <v>696</v>
      </c>
      <c r="GU61" s="20" t="s">
        <v>696</v>
      </c>
      <c r="GZ61" s="20" t="s">
        <v>696</v>
      </c>
      <c r="HA61" s="20" t="s">
        <v>696</v>
      </c>
      <c r="HF61" s="20">
        <v>0</v>
      </c>
      <c r="HG61" s="20">
        <v>0</v>
      </c>
      <c r="HH61" s="20">
        <v>1500</v>
      </c>
      <c r="HI61" s="20">
        <v>1232</v>
      </c>
      <c r="HJ61" s="20">
        <v>5071</v>
      </c>
      <c r="HK61" s="20">
        <v>0</v>
      </c>
      <c r="HM61" s="20">
        <v>7803</v>
      </c>
      <c r="HN61" s="20">
        <v>0</v>
      </c>
      <c r="HO61" s="20">
        <v>0</v>
      </c>
      <c r="HP61" s="20">
        <v>0</v>
      </c>
      <c r="HQ61" s="20">
        <v>0</v>
      </c>
      <c r="HR61" s="20">
        <v>25</v>
      </c>
      <c r="HS61" s="20">
        <v>285</v>
      </c>
      <c r="HT61" s="20" t="s">
        <v>722</v>
      </c>
      <c r="HV61" s="24">
        <v>43694</v>
      </c>
      <c r="HW61" s="20" t="s">
        <v>698</v>
      </c>
      <c r="HY61" s="20" t="s">
        <v>723</v>
      </c>
      <c r="HZ61" s="20" t="s">
        <v>698</v>
      </c>
      <c r="IS61" s="20" t="s">
        <v>724</v>
      </c>
      <c r="IT61" s="20" t="s">
        <v>698</v>
      </c>
      <c r="IY61" s="20" t="s">
        <v>698</v>
      </c>
      <c r="JD61" s="20" t="s">
        <v>832</v>
      </c>
      <c r="JR61" s="20" t="s">
        <v>698</v>
      </c>
      <c r="JS61" s="20" t="s">
        <v>698</v>
      </c>
      <c r="JX61" s="20" t="s">
        <v>833</v>
      </c>
      <c r="JY61" s="20" t="s">
        <v>834</v>
      </c>
      <c r="JZ61" s="20" t="s">
        <v>834</v>
      </c>
      <c r="LD61" s="20" t="s">
        <v>835</v>
      </c>
      <c r="LG61" s="20" t="s">
        <v>696</v>
      </c>
      <c r="LH61" s="20" t="s">
        <v>696</v>
      </c>
      <c r="LL61" s="20" t="s">
        <v>696</v>
      </c>
      <c r="LR61" s="20" t="s">
        <v>696</v>
      </c>
      <c r="LU61" s="20" t="s">
        <v>696</v>
      </c>
      <c r="LV61" s="20" t="s">
        <v>698</v>
      </c>
      <c r="LW61" s="20" t="s">
        <v>838</v>
      </c>
      <c r="LX61" s="20" t="s">
        <v>838</v>
      </c>
      <c r="SC61" s="20" t="s">
        <v>698</v>
      </c>
      <c r="UO61" s="20" t="s">
        <v>698</v>
      </c>
      <c r="UR61" s="20" t="s">
        <v>698</v>
      </c>
      <c r="UZ61" s="20" t="s">
        <v>698</v>
      </c>
      <c r="XL61" s="20" t="s">
        <v>730</v>
      </c>
      <c r="XM61" s="20" t="s">
        <v>731</v>
      </c>
      <c r="XN61" s="20" t="s">
        <v>732</v>
      </c>
      <c r="XO61" s="20" t="s">
        <v>733</v>
      </c>
      <c r="XQ61" s="24">
        <v>45433</v>
      </c>
      <c r="XU61" s="20" t="s">
        <v>730</v>
      </c>
      <c r="XV61" s="20" t="s">
        <v>733</v>
      </c>
      <c r="XW61" s="20" t="s">
        <v>731</v>
      </c>
      <c r="XX61" s="20" t="s">
        <v>732</v>
      </c>
      <c r="XY61" s="20" t="s">
        <v>1286</v>
      </c>
    </row>
    <row r="62" spans="1:649" ht="13">
      <c r="A62" s="20">
        <v>323</v>
      </c>
      <c r="B62" s="21">
        <v>45426</v>
      </c>
      <c r="C62" s="20">
        <v>2024</v>
      </c>
      <c r="D62" s="20">
        <v>20240118</v>
      </c>
      <c r="E62" s="20">
        <v>39998</v>
      </c>
      <c r="F62" s="20" t="s">
        <v>825</v>
      </c>
      <c r="G62" s="20">
        <v>39706</v>
      </c>
      <c r="H62" s="20" t="s">
        <v>817</v>
      </c>
      <c r="I62" s="20" t="s">
        <v>692</v>
      </c>
      <c r="J62" s="20" t="s">
        <v>693</v>
      </c>
      <c r="K62" s="20" t="s">
        <v>694</v>
      </c>
      <c r="L62" s="20">
        <v>77002</v>
      </c>
      <c r="M62" s="22">
        <v>45401.338194444441</v>
      </c>
      <c r="N62" s="20" t="s">
        <v>695</v>
      </c>
      <c r="O62" s="20" t="s">
        <v>696</v>
      </c>
      <c r="P62" s="20">
        <v>29.998277999999999</v>
      </c>
      <c r="Q62" s="20">
        <v>-93.985855999999998</v>
      </c>
      <c r="R62" s="20" t="s">
        <v>697</v>
      </c>
      <c r="W62" s="20">
        <v>4</v>
      </c>
      <c r="Y62" s="20">
        <v>4</v>
      </c>
      <c r="Z62" s="20" t="s">
        <v>698</v>
      </c>
      <c r="AF62" s="20">
        <v>0</v>
      </c>
      <c r="AG62" s="20" t="s">
        <v>698</v>
      </c>
      <c r="AM62" s="20">
        <v>0</v>
      </c>
      <c r="AN62" s="20" t="s">
        <v>699</v>
      </c>
      <c r="AP62" s="20" t="s">
        <v>1013</v>
      </c>
      <c r="AQ62" s="23">
        <v>45401.338194444441</v>
      </c>
      <c r="AR62" s="20" t="s">
        <v>907</v>
      </c>
      <c r="AS62" s="20" t="s">
        <v>702</v>
      </c>
      <c r="AT62" s="20" t="s">
        <v>703</v>
      </c>
      <c r="AU62" s="20" t="s">
        <v>698</v>
      </c>
      <c r="AV62" s="20" t="s">
        <v>1287</v>
      </c>
      <c r="AZ62" s="20" t="s">
        <v>698</v>
      </c>
      <c r="BC62" s="23">
        <v>45401.338194444441</v>
      </c>
      <c r="BD62" s="23">
        <v>45401.338194444441</v>
      </c>
      <c r="BE62" s="23">
        <v>45548.552083333336</v>
      </c>
      <c r="BF62" s="20">
        <v>1410754</v>
      </c>
      <c r="BG62" s="20">
        <v>1410758</v>
      </c>
      <c r="BH62" s="20" t="s">
        <v>698</v>
      </c>
      <c r="BV62" s="20" t="s">
        <v>698</v>
      </c>
      <c r="BX62" s="20" t="s">
        <v>698</v>
      </c>
      <c r="CA62" s="20">
        <v>0</v>
      </c>
      <c r="CB62" s="20" t="s">
        <v>818</v>
      </c>
      <c r="CC62" s="20" t="s">
        <v>1288</v>
      </c>
      <c r="CD62" s="20" t="s">
        <v>694</v>
      </c>
      <c r="CE62" s="20">
        <v>77627</v>
      </c>
      <c r="CF62" s="20" t="s">
        <v>820</v>
      </c>
      <c r="CG62" s="20" t="s">
        <v>821</v>
      </c>
      <c r="CH62" s="20" t="s">
        <v>710</v>
      </c>
      <c r="CI62" s="20" t="s">
        <v>711</v>
      </c>
      <c r="CJ62" s="20" t="s">
        <v>698</v>
      </c>
      <c r="CK62" s="20" t="s">
        <v>712</v>
      </c>
      <c r="CL62" s="20" t="s">
        <v>910</v>
      </c>
      <c r="CP62" s="20" t="s">
        <v>698</v>
      </c>
      <c r="DM62" s="20" t="s">
        <v>743</v>
      </c>
      <c r="DN62" s="20" t="s">
        <v>911</v>
      </c>
      <c r="EW62" s="20" t="s">
        <v>1289</v>
      </c>
      <c r="EY62" s="20" t="s">
        <v>913</v>
      </c>
      <c r="FD62" s="20">
        <v>56</v>
      </c>
      <c r="FE62" s="20" t="s">
        <v>698</v>
      </c>
      <c r="FF62" s="20">
        <v>2007</v>
      </c>
      <c r="FH62" s="20">
        <v>2022</v>
      </c>
      <c r="FK62" s="20">
        <v>1977</v>
      </c>
      <c r="FL62" s="20">
        <v>1977</v>
      </c>
      <c r="FM62" s="20" t="s">
        <v>719</v>
      </c>
      <c r="FO62" s="20" t="s">
        <v>720</v>
      </c>
      <c r="FR62" s="20" t="s">
        <v>749</v>
      </c>
      <c r="FY62" s="20" t="s">
        <v>698</v>
      </c>
      <c r="GC62" s="20" t="s">
        <v>696</v>
      </c>
      <c r="GD62" s="20" t="s">
        <v>698</v>
      </c>
      <c r="GE62" s="20" t="s">
        <v>696</v>
      </c>
      <c r="GH62" s="20" t="s">
        <v>696</v>
      </c>
      <c r="GK62" s="20" t="s">
        <v>698</v>
      </c>
      <c r="GT62" s="20" t="s">
        <v>696</v>
      </c>
      <c r="GU62" s="20" t="s">
        <v>696</v>
      </c>
      <c r="GX62" s="20" t="s">
        <v>696</v>
      </c>
      <c r="GY62" s="20" t="s">
        <v>696</v>
      </c>
      <c r="HF62" s="20">
        <v>0</v>
      </c>
      <c r="HG62" s="20">
        <v>400</v>
      </c>
      <c r="HH62" s="20">
        <v>525000</v>
      </c>
      <c r="HI62" s="20">
        <v>13000</v>
      </c>
      <c r="HJ62" s="20">
        <v>16000</v>
      </c>
      <c r="HK62" s="20">
        <v>0</v>
      </c>
      <c r="HM62" s="20">
        <v>554400</v>
      </c>
      <c r="HN62" s="20">
        <v>0</v>
      </c>
      <c r="HO62" s="20">
        <v>0</v>
      </c>
      <c r="HP62" s="20">
        <v>0</v>
      </c>
      <c r="HQ62" s="20">
        <v>0</v>
      </c>
      <c r="HR62" s="20">
        <v>15</v>
      </c>
      <c r="HZ62" s="20" t="s">
        <v>698</v>
      </c>
      <c r="IS62" s="20" t="s">
        <v>724</v>
      </c>
      <c r="IT62" s="20" t="s">
        <v>696</v>
      </c>
      <c r="IU62" s="20" t="s">
        <v>696</v>
      </c>
      <c r="IV62" s="20" t="s">
        <v>696</v>
      </c>
      <c r="IW62" s="20" t="s">
        <v>698</v>
      </c>
      <c r="IX62" s="20" t="s">
        <v>698</v>
      </c>
      <c r="IY62" s="20" t="s">
        <v>698</v>
      </c>
      <c r="JD62" s="20" t="s">
        <v>725</v>
      </c>
      <c r="JE62" s="20" t="s">
        <v>726</v>
      </c>
      <c r="JR62" s="20" t="s">
        <v>698</v>
      </c>
      <c r="JS62" s="20" t="s">
        <v>698</v>
      </c>
      <c r="JX62" s="20" t="s">
        <v>833</v>
      </c>
      <c r="JY62" s="20" t="s">
        <v>834</v>
      </c>
      <c r="JZ62" s="20" t="s">
        <v>834</v>
      </c>
      <c r="LD62" s="20" t="s">
        <v>835</v>
      </c>
      <c r="LG62" s="20" t="s">
        <v>696</v>
      </c>
      <c r="LL62" s="20" t="s">
        <v>696</v>
      </c>
      <c r="LS62" s="20" t="s">
        <v>696</v>
      </c>
      <c r="LT62" s="20" t="s">
        <v>1290</v>
      </c>
      <c r="LU62" s="20" t="s">
        <v>698</v>
      </c>
      <c r="LV62" s="20" t="s">
        <v>696</v>
      </c>
      <c r="LW62" s="20" t="s">
        <v>838</v>
      </c>
      <c r="LX62" s="20" t="s">
        <v>838</v>
      </c>
      <c r="XL62" s="20" t="s">
        <v>730</v>
      </c>
      <c r="XM62" s="20" t="s">
        <v>731</v>
      </c>
      <c r="XN62" s="20" t="s">
        <v>732</v>
      </c>
      <c r="XO62" s="20" t="s">
        <v>733</v>
      </c>
      <c r="XQ62" s="24">
        <v>45548</v>
      </c>
      <c r="XU62" s="20" t="s">
        <v>730</v>
      </c>
      <c r="XV62" s="20" t="s">
        <v>733</v>
      </c>
      <c r="XW62" s="20" t="s">
        <v>731</v>
      </c>
      <c r="XX62" s="20" t="s">
        <v>732</v>
      </c>
      <c r="XY62" s="20" t="s">
        <v>1291</v>
      </c>
    </row>
    <row r="63" spans="1:649" ht="13">
      <c r="A63" s="20">
        <v>327</v>
      </c>
      <c r="B63" s="21">
        <v>45425</v>
      </c>
      <c r="C63" s="20">
        <v>2024</v>
      </c>
      <c r="D63" s="20">
        <v>20240117</v>
      </c>
      <c r="E63" s="20">
        <v>39545</v>
      </c>
      <c r="F63" s="20" t="s">
        <v>885</v>
      </c>
      <c r="G63" s="20">
        <v>39706</v>
      </c>
      <c r="H63" s="20" t="s">
        <v>817</v>
      </c>
      <c r="I63" s="20" t="s">
        <v>692</v>
      </c>
      <c r="J63" s="20" t="s">
        <v>693</v>
      </c>
      <c r="K63" s="20" t="s">
        <v>694</v>
      </c>
      <c r="L63" s="20">
        <v>77002</v>
      </c>
      <c r="M63" s="22">
        <v>45396.270833333336</v>
      </c>
      <c r="N63" s="20" t="s">
        <v>695</v>
      </c>
      <c r="O63" s="20" t="s">
        <v>696</v>
      </c>
      <c r="P63" s="20">
        <v>29.99308611</v>
      </c>
      <c r="Q63" s="20">
        <v>-93.996949999999998</v>
      </c>
      <c r="R63" s="20" t="s">
        <v>697</v>
      </c>
      <c r="W63" s="20">
        <v>0.48</v>
      </c>
      <c r="Y63" s="20">
        <v>0.48</v>
      </c>
      <c r="Z63" s="20" t="s">
        <v>698</v>
      </c>
      <c r="AF63" s="20">
        <v>0</v>
      </c>
      <c r="AG63" s="20" t="s">
        <v>698</v>
      </c>
      <c r="AM63" s="20">
        <v>0</v>
      </c>
      <c r="AN63" s="20" t="s">
        <v>699</v>
      </c>
      <c r="AP63" s="20" t="s">
        <v>700</v>
      </c>
      <c r="AQ63" s="23">
        <v>45396.270833333336</v>
      </c>
      <c r="AR63" s="20" t="s">
        <v>736</v>
      </c>
      <c r="AS63" s="20" t="s">
        <v>702</v>
      </c>
      <c r="AT63" s="20" t="s">
        <v>703</v>
      </c>
      <c r="AU63" s="20" t="s">
        <v>698</v>
      </c>
      <c r="AV63" s="20" t="s">
        <v>1292</v>
      </c>
      <c r="AZ63" s="20" t="s">
        <v>698</v>
      </c>
      <c r="BC63" s="23">
        <v>45396.270833333336</v>
      </c>
      <c r="BD63" s="23">
        <v>45396.270833333336</v>
      </c>
      <c r="BF63" s="20" t="s">
        <v>754</v>
      </c>
      <c r="BH63" s="20" t="s">
        <v>698</v>
      </c>
      <c r="BV63" s="20" t="s">
        <v>696</v>
      </c>
      <c r="BW63" s="23">
        <v>45396.583333333336</v>
      </c>
      <c r="BX63" s="20" t="s">
        <v>698</v>
      </c>
      <c r="CA63" s="20">
        <v>0</v>
      </c>
      <c r="CB63" s="20" t="s">
        <v>818</v>
      </c>
      <c r="CC63" s="20" t="s">
        <v>1293</v>
      </c>
      <c r="CD63" s="20" t="s">
        <v>694</v>
      </c>
      <c r="CE63" s="20">
        <v>77627</v>
      </c>
      <c r="CF63" s="20" t="s">
        <v>820</v>
      </c>
      <c r="CG63" s="20" t="s">
        <v>821</v>
      </c>
      <c r="CH63" s="20" t="s">
        <v>710</v>
      </c>
      <c r="CI63" s="20" t="s">
        <v>711</v>
      </c>
      <c r="CJ63" s="20" t="s">
        <v>698</v>
      </c>
      <c r="CK63" s="20" t="s">
        <v>712</v>
      </c>
      <c r="CL63" s="20" t="s">
        <v>741</v>
      </c>
      <c r="CM63" s="20" t="s">
        <v>742</v>
      </c>
      <c r="CO63" s="20">
        <v>24</v>
      </c>
      <c r="CP63" s="20" t="s">
        <v>698</v>
      </c>
      <c r="DM63" s="20" t="s">
        <v>743</v>
      </c>
      <c r="DN63" s="20" t="s">
        <v>829</v>
      </c>
      <c r="EM63" s="20" t="s">
        <v>830</v>
      </c>
      <c r="FK63" s="20" t="s">
        <v>728</v>
      </c>
      <c r="FL63" s="20" t="s">
        <v>728</v>
      </c>
      <c r="FM63" s="20" t="s">
        <v>719</v>
      </c>
      <c r="FO63" s="20" t="s">
        <v>720</v>
      </c>
      <c r="FR63" s="20" t="s">
        <v>823</v>
      </c>
      <c r="FY63" s="20" t="s">
        <v>698</v>
      </c>
      <c r="GC63" s="20" t="s">
        <v>696</v>
      </c>
      <c r="GD63" s="20" t="s">
        <v>698</v>
      </c>
      <c r="GE63" s="20" t="s">
        <v>696</v>
      </c>
      <c r="GH63" s="20" t="s">
        <v>696</v>
      </c>
      <c r="GK63" s="20" t="s">
        <v>698</v>
      </c>
      <c r="GT63" s="20" t="s">
        <v>696</v>
      </c>
      <c r="GU63" s="20" t="s">
        <v>696</v>
      </c>
      <c r="GX63" s="20" t="s">
        <v>696</v>
      </c>
      <c r="GY63" s="20" t="s">
        <v>696</v>
      </c>
      <c r="HF63" s="20">
        <v>0</v>
      </c>
      <c r="HG63" s="20">
        <v>100</v>
      </c>
      <c r="HH63" s="20">
        <v>50</v>
      </c>
      <c r="HI63" s="20">
        <v>500</v>
      </c>
      <c r="HJ63" s="20">
        <v>3500</v>
      </c>
      <c r="HK63" s="20">
        <v>0</v>
      </c>
      <c r="HM63" s="20">
        <v>4150</v>
      </c>
      <c r="HN63" s="20">
        <v>0</v>
      </c>
      <c r="HO63" s="20">
        <v>0</v>
      </c>
      <c r="HP63" s="20">
        <v>0</v>
      </c>
      <c r="HQ63" s="20">
        <v>0</v>
      </c>
      <c r="HR63" s="20">
        <v>80</v>
      </c>
      <c r="HS63" s="20">
        <v>275</v>
      </c>
      <c r="HT63" s="20" t="s">
        <v>750</v>
      </c>
      <c r="HV63" s="24">
        <v>41275</v>
      </c>
      <c r="HW63" s="20" t="s">
        <v>698</v>
      </c>
      <c r="HY63" s="20" t="s">
        <v>723</v>
      </c>
      <c r="HZ63" s="20" t="s">
        <v>698</v>
      </c>
      <c r="IS63" s="20" t="s">
        <v>724</v>
      </c>
      <c r="IT63" s="20" t="s">
        <v>696</v>
      </c>
      <c r="IU63" s="20" t="s">
        <v>696</v>
      </c>
      <c r="IV63" s="20" t="s">
        <v>696</v>
      </c>
      <c r="IW63" s="20" t="s">
        <v>698</v>
      </c>
      <c r="IX63" s="20" t="s">
        <v>698</v>
      </c>
      <c r="IY63" s="20" t="s">
        <v>696</v>
      </c>
      <c r="IZ63" s="20" t="s">
        <v>696</v>
      </c>
      <c r="JA63" s="20" t="s">
        <v>696</v>
      </c>
      <c r="JB63" s="20" t="s">
        <v>698</v>
      </c>
      <c r="JC63" s="20" t="s">
        <v>698</v>
      </c>
      <c r="JD63" s="20" t="s">
        <v>725</v>
      </c>
      <c r="JE63" s="20" t="s">
        <v>726</v>
      </c>
      <c r="JR63" s="20" t="s">
        <v>698</v>
      </c>
      <c r="JS63" s="20" t="s">
        <v>698</v>
      </c>
      <c r="JX63" s="20" t="s">
        <v>789</v>
      </c>
      <c r="JY63" s="20" t="s">
        <v>953</v>
      </c>
      <c r="QB63" s="20" t="s">
        <v>953</v>
      </c>
      <c r="QQ63" s="20" t="s">
        <v>1294</v>
      </c>
      <c r="QV63" s="20" t="s">
        <v>696</v>
      </c>
      <c r="XL63" s="20" t="s">
        <v>730</v>
      </c>
      <c r="XM63" s="20" t="s">
        <v>731</v>
      </c>
      <c r="XN63" s="20" t="s">
        <v>732</v>
      </c>
      <c r="XO63" s="20" t="s">
        <v>733</v>
      </c>
      <c r="XQ63" s="24">
        <v>45425</v>
      </c>
      <c r="XU63" s="20" t="s">
        <v>730</v>
      </c>
      <c r="XV63" s="20" t="s">
        <v>733</v>
      </c>
      <c r="XW63" s="20" t="s">
        <v>731</v>
      </c>
      <c r="XX63" s="20" t="s">
        <v>732</v>
      </c>
      <c r="XY63" s="20" t="s">
        <v>1295</v>
      </c>
    </row>
    <row r="64" spans="1:649" ht="13">
      <c r="A64" s="20">
        <v>331</v>
      </c>
      <c r="B64" s="21">
        <v>45420</v>
      </c>
      <c r="C64" s="20">
        <v>2024</v>
      </c>
      <c r="D64" s="20">
        <v>20240113</v>
      </c>
      <c r="E64" s="20">
        <v>39531</v>
      </c>
      <c r="F64" s="20" t="s">
        <v>885</v>
      </c>
      <c r="G64" s="20">
        <v>32099</v>
      </c>
      <c r="H64" s="20" t="s">
        <v>752</v>
      </c>
      <c r="I64" s="20" t="s">
        <v>692</v>
      </c>
      <c r="J64" s="20" t="s">
        <v>693</v>
      </c>
      <c r="K64" s="20" t="s">
        <v>694</v>
      </c>
      <c r="L64" s="20">
        <v>77002</v>
      </c>
      <c r="M64" s="22">
        <v>45391.350694444445</v>
      </c>
      <c r="N64" s="20" t="s">
        <v>695</v>
      </c>
      <c r="O64" s="20" t="s">
        <v>696</v>
      </c>
      <c r="P64" s="20">
        <v>32.068556000000001</v>
      </c>
      <c r="Q64" s="20">
        <v>-96.469289000000003</v>
      </c>
      <c r="R64" s="20" t="s">
        <v>697</v>
      </c>
      <c r="W64" s="20">
        <v>30</v>
      </c>
      <c r="Y64" s="20">
        <v>30</v>
      </c>
      <c r="Z64" s="20" t="s">
        <v>698</v>
      </c>
      <c r="AF64" s="20">
        <v>0</v>
      </c>
      <c r="AG64" s="20" t="s">
        <v>698</v>
      </c>
      <c r="AM64" s="20">
        <v>0</v>
      </c>
      <c r="AN64" s="20" t="s">
        <v>699</v>
      </c>
      <c r="AP64" s="20" t="s">
        <v>700</v>
      </c>
      <c r="AQ64" s="23">
        <v>45391.350694444445</v>
      </c>
      <c r="AR64" s="20" t="s">
        <v>736</v>
      </c>
      <c r="AS64" s="20" t="s">
        <v>702</v>
      </c>
      <c r="AT64" s="20" t="s">
        <v>703</v>
      </c>
      <c r="AU64" s="20" t="s">
        <v>698</v>
      </c>
      <c r="AV64" s="20" t="s">
        <v>1280</v>
      </c>
      <c r="AZ64" s="20" t="s">
        <v>696</v>
      </c>
      <c r="BA64" s="20" t="s">
        <v>753</v>
      </c>
      <c r="BB64" s="23">
        <v>45391.395833333336</v>
      </c>
      <c r="BC64" s="23">
        <v>45391.361111111109</v>
      </c>
      <c r="BD64" s="23">
        <v>45391.350694444445</v>
      </c>
      <c r="BE64" s="23">
        <v>45391.397222222222</v>
      </c>
      <c r="BF64" s="20">
        <v>1395956</v>
      </c>
      <c r="BG64" s="20">
        <v>1396114</v>
      </c>
      <c r="BH64" s="20" t="s">
        <v>698</v>
      </c>
      <c r="BV64" s="20" t="s">
        <v>696</v>
      </c>
      <c r="BW64" s="23">
        <v>45391.351388888892</v>
      </c>
      <c r="BX64" s="20" t="s">
        <v>696</v>
      </c>
      <c r="BY64" s="23">
        <v>45391.395833333336</v>
      </c>
      <c r="BZ64" s="23">
        <v>45391.625</v>
      </c>
      <c r="CA64" s="20">
        <v>0</v>
      </c>
      <c r="CB64" s="20" t="s">
        <v>1281</v>
      </c>
      <c r="CC64" s="20" t="s">
        <v>1282</v>
      </c>
      <c r="CD64" s="20" t="s">
        <v>694</v>
      </c>
      <c r="CE64" s="20">
        <v>75110</v>
      </c>
      <c r="CF64" s="20" t="s">
        <v>1296</v>
      </c>
      <c r="CG64" s="20" t="s">
        <v>1283</v>
      </c>
      <c r="CH64" s="20" t="s">
        <v>710</v>
      </c>
      <c r="CI64" s="20" t="s">
        <v>711</v>
      </c>
      <c r="CJ64" s="20" t="s">
        <v>698</v>
      </c>
      <c r="CK64" s="20" t="s">
        <v>712</v>
      </c>
      <c r="CL64" s="20" t="s">
        <v>713</v>
      </c>
      <c r="CM64" s="20" t="s">
        <v>758</v>
      </c>
      <c r="CP64" s="20" t="s">
        <v>698</v>
      </c>
      <c r="DM64" s="20" t="s">
        <v>743</v>
      </c>
      <c r="DN64" s="20" t="s">
        <v>744</v>
      </c>
      <c r="DO64" s="20" t="s">
        <v>745</v>
      </c>
      <c r="DP64" s="20" t="s">
        <v>698</v>
      </c>
      <c r="DQ64" s="20">
        <v>24</v>
      </c>
      <c r="DR64" s="20">
        <v>0.375</v>
      </c>
      <c r="DS64" s="20">
        <v>42000</v>
      </c>
      <c r="DT64" s="20" t="s">
        <v>1284</v>
      </c>
      <c r="DU64" s="20" t="s">
        <v>747</v>
      </c>
      <c r="DW64" s="20" t="s">
        <v>1285</v>
      </c>
      <c r="DX64" s="20" t="s">
        <v>748</v>
      </c>
      <c r="DZ64" s="20" t="s">
        <v>698</v>
      </c>
      <c r="FK64" s="20">
        <v>2019</v>
      </c>
      <c r="FL64" s="20">
        <v>2017</v>
      </c>
      <c r="FM64" s="20" t="s">
        <v>719</v>
      </c>
      <c r="FO64" s="20" t="s">
        <v>720</v>
      </c>
      <c r="FR64" s="20" t="s">
        <v>749</v>
      </c>
      <c r="FY64" s="20" t="s">
        <v>698</v>
      </c>
      <c r="GC64" s="20" t="s">
        <v>696</v>
      </c>
      <c r="GD64" s="20" t="s">
        <v>698</v>
      </c>
      <c r="GE64" s="20" t="s">
        <v>696</v>
      </c>
      <c r="GH64" s="20" t="s">
        <v>696</v>
      </c>
      <c r="GK64" s="20" t="s">
        <v>698</v>
      </c>
      <c r="GT64" s="20" t="s">
        <v>696</v>
      </c>
      <c r="GU64" s="20" t="s">
        <v>696</v>
      </c>
      <c r="GZ64" s="20" t="s">
        <v>696</v>
      </c>
      <c r="HA64" s="20" t="s">
        <v>696</v>
      </c>
      <c r="HF64" s="20">
        <v>0</v>
      </c>
      <c r="HG64" s="20">
        <v>0</v>
      </c>
      <c r="HH64" s="20">
        <v>5700</v>
      </c>
      <c r="HI64" s="20">
        <v>51500</v>
      </c>
      <c r="HJ64" s="20">
        <v>40000</v>
      </c>
      <c r="HK64" s="20">
        <v>0</v>
      </c>
      <c r="HM64" s="20">
        <v>97200</v>
      </c>
      <c r="HN64" s="20">
        <v>0</v>
      </c>
      <c r="HO64" s="20">
        <v>0</v>
      </c>
      <c r="HP64" s="20">
        <v>0</v>
      </c>
      <c r="HQ64" s="20">
        <v>0</v>
      </c>
      <c r="HR64" s="20">
        <v>25</v>
      </c>
      <c r="HS64" s="20">
        <v>285</v>
      </c>
      <c r="HT64" s="20" t="s">
        <v>722</v>
      </c>
      <c r="HV64" s="24">
        <v>43694</v>
      </c>
      <c r="HW64" s="20" t="s">
        <v>698</v>
      </c>
      <c r="HY64" s="20" t="s">
        <v>723</v>
      </c>
      <c r="HZ64" s="20" t="s">
        <v>698</v>
      </c>
      <c r="IS64" s="20" t="s">
        <v>808</v>
      </c>
      <c r="IT64" s="20" t="s">
        <v>698</v>
      </c>
      <c r="IY64" s="20" t="s">
        <v>698</v>
      </c>
      <c r="JD64" s="20" t="s">
        <v>725</v>
      </c>
      <c r="JE64" s="20" t="s">
        <v>726</v>
      </c>
      <c r="JR64" s="20" t="s">
        <v>698</v>
      </c>
      <c r="JS64" s="20" t="s">
        <v>698</v>
      </c>
      <c r="JX64" s="20" t="s">
        <v>833</v>
      </c>
      <c r="JY64" s="20" t="s">
        <v>834</v>
      </c>
      <c r="JZ64" s="20" t="s">
        <v>834</v>
      </c>
      <c r="LD64" s="20" t="s">
        <v>835</v>
      </c>
      <c r="LG64" s="20" t="s">
        <v>696</v>
      </c>
      <c r="LH64" s="20" t="s">
        <v>696</v>
      </c>
      <c r="LL64" s="20" t="s">
        <v>696</v>
      </c>
      <c r="LR64" s="20" t="s">
        <v>696</v>
      </c>
      <c r="LU64" s="20" t="s">
        <v>696</v>
      </c>
      <c r="LV64" s="20" t="s">
        <v>698</v>
      </c>
      <c r="LW64" s="20" t="s">
        <v>838</v>
      </c>
      <c r="LX64" s="20" t="s">
        <v>838</v>
      </c>
      <c r="SC64" s="20" t="s">
        <v>698</v>
      </c>
      <c r="UO64" s="20" t="s">
        <v>698</v>
      </c>
      <c r="UR64" s="20" t="s">
        <v>698</v>
      </c>
      <c r="UZ64" s="20" t="s">
        <v>698</v>
      </c>
      <c r="XL64" s="20" t="s">
        <v>1297</v>
      </c>
      <c r="XM64" s="20" t="s">
        <v>731</v>
      </c>
      <c r="XN64" s="20" t="s">
        <v>732</v>
      </c>
      <c r="XO64" s="20" t="s">
        <v>733</v>
      </c>
      <c r="XQ64" s="24">
        <v>45420</v>
      </c>
      <c r="XU64" s="20" t="s">
        <v>730</v>
      </c>
      <c r="XV64" s="20" t="s">
        <v>733</v>
      </c>
      <c r="XW64" s="20" t="s">
        <v>731</v>
      </c>
      <c r="XX64" s="20" t="s">
        <v>732</v>
      </c>
      <c r="XY64" s="20" t="s">
        <v>1298</v>
      </c>
    </row>
    <row r="65" spans="1:649" ht="13">
      <c r="A65" s="20">
        <v>333</v>
      </c>
      <c r="B65" s="21">
        <v>45415</v>
      </c>
      <c r="C65" s="20">
        <v>2024</v>
      </c>
      <c r="D65" s="20">
        <v>20240109</v>
      </c>
      <c r="E65" s="20">
        <v>39953</v>
      </c>
      <c r="F65" s="20" t="s">
        <v>825</v>
      </c>
      <c r="G65" s="20">
        <v>32099</v>
      </c>
      <c r="H65" s="20" t="s">
        <v>752</v>
      </c>
      <c r="I65" s="20" t="s">
        <v>692</v>
      </c>
      <c r="J65" s="20" t="s">
        <v>693</v>
      </c>
      <c r="K65" s="20" t="s">
        <v>694</v>
      </c>
      <c r="L65" s="20">
        <v>77002</v>
      </c>
      <c r="M65" s="22">
        <v>45386.888888888891</v>
      </c>
      <c r="N65" s="20" t="s">
        <v>695</v>
      </c>
      <c r="O65" s="20" t="s">
        <v>696</v>
      </c>
      <c r="P65" s="20">
        <v>32.045639999999999</v>
      </c>
      <c r="Q65" s="20">
        <v>-97.201809999999995</v>
      </c>
      <c r="R65" s="20" t="s">
        <v>844</v>
      </c>
      <c r="S65" s="20" t="s">
        <v>845</v>
      </c>
      <c r="W65" s="20">
        <v>213</v>
      </c>
      <c r="Y65" s="20">
        <v>0</v>
      </c>
      <c r="Z65" s="20" t="s">
        <v>698</v>
      </c>
      <c r="AF65" s="20">
        <v>0</v>
      </c>
      <c r="AG65" s="20" t="s">
        <v>698</v>
      </c>
      <c r="AM65" s="20">
        <v>0</v>
      </c>
      <c r="AN65" s="20" t="s">
        <v>766</v>
      </c>
      <c r="AO65" s="20" t="s">
        <v>1299</v>
      </c>
      <c r="AQ65" s="23">
        <v>45386.583333333336</v>
      </c>
      <c r="AR65" s="20" t="s">
        <v>776</v>
      </c>
      <c r="AS65" s="20" t="s">
        <v>702</v>
      </c>
      <c r="AT65" s="20" t="s">
        <v>1200</v>
      </c>
      <c r="AZ65" s="20" t="s">
        <v>698</v>
      </c>
      <c r="BC65" s="23">
        <v>45386.604166666664</v>
      </c>
      <c r="BD65" s="23">
        <v>45386.883333333331</v>
      </c>
      <c r="BE65" s="23">
        <v>45386.921527777777</v>
      </c>
      <c r="BF65" s="20">
        <v>1395641</v>
      </c>
      <c r="BG65" s="20">
        <v>1395787</v>
      </c>
      <c r="BH65" s="20" t="s">
        <v>698</v>
      </c>
      <c r="BN65" s="20" t="s">
        <v>849</v>
      </c>
      <c r="BO65" s="20" t="s">
        <v>1300</v>
      </c>
      <c r="BR65" s="20" t="s">
        <v>849</v>
      </c>
      <c r="BS65" s="20" t="s">
        <v>1300</v>
      </c>
      <c r="BV65" s="20" t="s">
        <v>698</v>
      </c>
      <c r="BX65" s="20" t="s">
        <v>698</v>
      </c>
      <c r="CA65" s="20">
        <v>0</v>
      </c>
      <c r="CB65" s="20" t="s">
        <v>1301</v>
      </c>
      <c r="CC65" s="20" t="s">
        <v>1301</v>
      </c>
      <c r="CD65" s="20" t="s">
        <v>694</v>
      </c>
      <c r="CE65" s="20">
        <v>76645</v>
      </c>
      <c r="CF65" s="20" t="s">
        <v>1302</v>
      </c>
      <c r="CG65" s="20" t="s">
        <v>890</v>
      </c>
      <c r="CH65" s="20" t="s">
        <v>710</v>
      </c>
      <c r="CI65" s="20">
        <v>1542822.7</v>
      </c>
      <c r="CJ65" s="20" t="s">
        <v>698</v>
      </c>
      <c r="CK65" s="20" t="s">
        <v>785</v>
      </c>
      <c r="CL65" s="20" t="s">
        <v>741</v>
      </c>
      <c r="CM65" s="20" t="s">
        <v>742</v>
      </c>
      <c r="CO65" s="20">
        <v>36</v>
      </c>
      <c r="CP65" s="20" t="s">
        <v>698</v>
      </c>
      <c r="DM65" s="20" t="s">
        <v>715</v>
      </c>
      <c r="DN65" s="20" t="s">
        <v>744</v>
      </c>
      <c r="DO65" s="20" t="s">
        <v>745</v>
      </c>
      <c r="DP65" s="20" t="s">
        <v>698</v>
      </c>
      <c r="DQ65" s="20">
        <v>12</v>
      </c>
      <c r="DR65" s="20">
        <v>0.25</v>
      </c>
      <c r="DS65" s="20">
        <v>35000</v>
      </c>
      <c r="DT65" s="20" t="s">
        <v>1103</v>
      </c>
      <c r="DU65" s="20" t="s">
        <v>857</v>
      </c>
      <c r="DW65" s="20" t="s">
        <v>1164</v>
      </c>
      <c r="DX65" s="20" t="s">
        <v>805</v>
      </c>
      <c r="DZ65" s="20" t="s">
        <v>728</v>
      </c>
      <c r="FK65" s="20">
        <v>1949</v>
      </c>
      <c r="FL65" s="20" t="s">
        <v>728</v>
      </c>
      <c r="FM65" s="20" t="s">
        <v>719</v>
      </c>
      <c r="FO65" s="20" t="s">
        <v>720</v>
      </c>
      <c r="FR65" s="20" t="s">
        <v>749</v>
      </c>
      <c r="FY65" s="20" t="s">
        <v>698</v>
      </c>
      <c r="GC65" s="20" t="s">
        <v>696</v>
      </c>
      <c r="GD65" s="20" t="s">
        <v>698</v>
      </c>
      <c r="GE65" s="20" t="s">
        <v>696</v>
      </c>
      <c r="GH65" s="20" t="s">
        <v>696</v>
      </c>
      <c r="GK65" s="20" t="s">
        <v>698</v>
      </c>
      <c r="GT65" s="20" t="s">
        <v>698</v>
      </c>
      <c r="GU65" s="20" t="s">
        <v>698</v>
      </c>
      <c r="HF65" s="20">
        <v>0</v>
      </c>
      <c r="HG65" s="20">
        <v>23000</v>
      </c>
      <c r="HH65" s="20">
        <v>0</v>
      </c>
      <c r="HI65" s="20">
        <v>400000</v>
      </c>
      <c r="HJ65" s="20">
        <v>500000</v>
      </c>
      <c r="HK65" s="20">
        <v>0</v>
      </c>
      <c r="HM65" s="20">
        <v>923000</v>
      </c>
      <c r="HN65" s="20">
        <v>0</v>
      </c>
      <c r="HO65" s="20">
        <v>0</v>
      </c>
      <c r="HP65" s="20">
        <v>0</v>
      </c>
      <c r="HQ65" s="20">
        <v>0</v>
      </c>
      <c r="HR65" s="20">
        <v>15</v>
      </c>
      <c r="HS65" s="20">
        <v>720</v>
      </c>
      <c r="HT65" s="20" t="s">
        <v>722</v>
      </c>
      <c r="HV65" s="24">
        <v>17899</v>
      </c>
      <c r="HW65" s="20" t="s">
        <v>698</v>
      </c>
      <c r="HY65" s="20" t="s">
        <v>723</v>
      </c>
      <c r="HZ65" s="20" t="s">
        <v>698</v>
      </c>
      <c r="ID65" s="20" t="s">
        <v>696</v>
      </c>
      <c r="IL65" s="20" t="s">
        <v>698</v>
      </c>
      <c r="IS65" s="20" t="s">
        <v>724</v>
      </c>
      <c r="IT65" s="20" t="s">
        <v>698</v>
      </c>
      <c r="IY65" s="20" t="s">
        <v>698</v>
      </c>
      <c r="JD65" s="20" t="s">
        <v>832</v>
      </c>
      <c r="JR65" s="20" t="s">
        <v>698</v>
      </c>
      <c r="JS65" s="20" t="s">
        <v>698</v>
      </c>
      <c r="JX65" s="20" t="s">
        <v>833</v>
      </c>
      <c r="JY65" s="20" t="s">
        <v>860</v>
      </c>
      <c r="JZ65" s="20" t="s">
        <v>860</v>
      </c>
      <c r="KA65" s="20" t="s">
        <v>766</v>
      </c>
      <c r="KB65" s="20" t="s">
        <v>1303</v>
      </c>
      <c r="KD65" s="20" t="s">
        <v>696</v>
      </c>
      <c r="KF65" s="20" t="s">
        <v>696</v>
      </c>
      <c r="KL65" s="20" t="s">
        <v>696</v>
      </c>
      <c r="KN65" s="20" t="s">
        <v>696</v>
      </c>
      <c r="KO65" s="20" t="s">
        <v>1304</v>
      </c>
      <c r="KP65" s="20" t="s">
        <v>696</v>
      </c>
      <c r="KQ65" s="20" t="s">
        <v>696</v>
      </c>
      <c r="KR65" s="20">
        <v>1956</v>
      </c>
      <c r="KS65" s="20" t="s">
        <v>696</v>
      </c>
      <c r="KT65" s="20" t="s">
        <v>696</v>
      </c>
      <c r="KU65" s="20" t="s">
        <v>696</v>
      </c>
      <c r="KX65" s="20">
        <v>2023</v>
      </c>
      <c r="LC65" s="20" t="s">
        <v>696</v>
      </c>
      <c r="SC65" s="20" t="s">
        <v>696</v>
      </c>
      <c r="SD65" s="20" t="s">
        <v>696</v>
      </c>
      <c r="SG65" s="20" t="s">
        <v>696</v>
      </c>
      <c r="SK65" s="20">
        <v>2012</v>
      </c>
      <c r="SL65" s="20" t="s">
        <v>863</v>
      </c>
      <c r="SM65" s="20" t="s">
        <v>864</v>
      </c>
      <c r="SO65" s="20" t="s">
        <v>865</v>
      </c>
      <c r="SQ65" s="20">
        <v>2012</v>
      </c>
      <c r="SR65" s="20" t="s">
        <v>863</v>
      </c>
      <c r="SS65" s="20" t="s">
        <v>864</v>
      </c>
      <c r="SU65" s="20" t="s">
        <v>865</v>
      </c>
      <c r="TQ65" s="20">
        <v>2012</v>
      </c>
      <c r="TR65" s="20" t="s">
        <v>863</v>
      </c>
      <c r="TS65" s="20" t="s">
        <v>865</v>
      </c>
      <c r="TU65" s="20" t="s">
        <v>934</v>
      </c>
      <c r="TV65" s="20">
        <v>2012</v>
      </c>
      <c r="TW65" s="20" t="s">
        <v>863</v>
      </c>
      <c r="TX65" s="20" t="s">
        <v>865</v>
      </c>
      <c r="TZ65" s="20" t="s">
        <v>934</v>
      </c>
      <c r="UO65" s="20" t="s">
        <v>698</v>
      </c>
      <c r="UR65" s="20" t="s">
        <v>698</v>
      </c>
      <c r="UZ65" s="20" t="s">
        <v>698</v>
      </c>
      <c r="XL65" s="20" t="s">
        <v>1305</v>
      </c>
      <c r="XM65" s="20" t="s">
        <v>1306</v>
      </c>
      <c r="XN65" s="20" t="s">
        <v>1307</v>
      </c>
      <c r="XO65" s="20" t="s">
        <v>1308</v>
      </c>
      <c r="XQ65" s="24">
        <v>45533</v>
      </c>
      <c r="XU65" s="20" t="s">
        <v>1112</v>
      </c>
      <c r="XV65" s="20" t="s">
        <v>1113</v>
      </c>
      <c r="XW65" s="20" t="s">
        <v>1114</v>
      </c>
      <c r="XX65" s="20" t="s">
        <v>1115</v>
      </c>
      <c r="XY65" s="20" t="s">
        <v>1309</v>
      </c>
    </row>
    <row r="66" spans="1:649" ht="13">
      <c r="A66" s="20">
        <v>340</v>
      </c>
      <c r="B66" s="21">
        <v>45413</v>
      </c>
      <c r="C66" s="20">
        <v>2024</v>
      </c>
      <c r="D66" s="20">
        <v>20240104</v>
      </c>
      <c r="E66" s="20">
        <v>40154</v>
      </c>
      <c r="F66" s="20" t="s">
        <v>825</v>
      </c>
      <c r="G66" s="20">
        <v>12470</v>
      </c>
      <c r="H66" s="20" t="s">
        <v>1070</v>
      </c>
      <c r="I66" s="20" t="s">
        <v>692</v>
      </c>
      <c r="J66" s="20" t="s">
        <v>693</v>
      </c>
      <c r="K66" s="20" t="s">
        <v>694</v>
      </c>
      <c r="L66" s="20">
        <v>77002</v>
      </c>
      <c r="M66" s="22">
        <v>45384.277083333334</v>
      </c>
      <c r="N66" s="20" t="s">
        <v>695</v>
      </c>
      <c r="O66" s="20" t="s">
        <v>696</v>
      </c>
      <c r="P66" s="20">
        <v>32.949420000000003</v>
      </c>
      <c r="Q66" s="20">
        <v>-93.167540000000002</v>
      </c>
      <c r="R66" s="20" t="s">
        <v>697</v>
      </c>
      <c r="W66" s="20">
        <v>2</v>
      </c>
      <c r="Y66" s="20">
        <v>2</v>
      </c>
      <c r="Z66" s="20" t="s">
        <v>698</v>
      </c>
      <c r="AF66" s="20">
        <v>0</v>
      </c>
      <c r="AG66" s="20" t="s">
        <v>698</v>
      </c>
      <c r="AM66" s="20">
        <v>0</v>
      </c>
      <c r="AN66" s="20" t="s">
        <v>699</v>
      </c>
      <c r="AP66" s="20" t="s">
        <v>700</v>
      </c>
      <c r="AQ66" s="23">
        <v>45384.277083333334</v>
      </c>
      <c r="AR66" s="20" t="s">
        <v>701</v>
      </c>
      <c r="AS66" s="20" t="s">
        <v>702</v>
      </c>
      <c r="AT66" s="20" t="s">
        <v>703</v>
      </c>
      <c r="AU66" s="20" t="s">
        <v>696</v>
      </c>
      <c r="AW66" s="23">
        <v>45384.279166666667</v>
      </c>
      <c r="AX66" s="23">
        <v>45385.006944444445</v>
      </c>
      <c r="AZ66" s="20" t="s">
        <v>696</v>
      </c>
      <c r="BA66" s="20" t="s">
        <v>753</v>
      </c>
      <c r="BB66" s="23">
        <v>45385.397916666669</v>
      </c>
      <c r="BC66" s="23">
        <v>45384.277083333334</v>
      </c>
      <c r="BD66" s="23">
        <v>45384.277083333334</v>
      </c>
      <c r="BF66" s="20" t="s">
        <v>754</v>
      </c>
      <c r="BH66" s="20" t="s">
        <v>698</v>
      </c>
      <c r="BV66" s="20" t="s">
        <v>696</v>
      </c>
      <c r="BW66" s="23">
        <v>45384.28125</v>
      </c>
      <c r="BX66" s="20" t="s">
        <v>698</v>
      </c>
      <c r="CA66" s="20">
        <v>0</v>
      </c>
      <c r="CB66" s="20" t="s">
        <v>1310</v>
      </c>
      <c r="CC66" s="20" t="s">
        <v>1311</v>
      </c>
      <c r="CD66" s="20" t="s">
        <v>1009</v>
      </c>
      <c r="CE66" s="20">
        <v>71038</v>
      </c>
      <c r="CF66" s="20" t="s">
        <v>1312</v>
      </c>
      <c r="CG66" s="20" t="s">
        <v>1313</v>
      </c>
      <c r="CH66" s="20" t="s">
        <v>710</v>
      </c>
      <c r="CI66" s="20" t="s">
        <v>711</v>
      </c>
      <c r="CJ66" s="20" t="s">
        <v>698</v>
      </c>
      <c r="CK66" s="20" t="s">
        <v>712</v>
      </c>
      <c r="CL66" s="20" t="s">
        <v>713</v>
      </c>
      <c r="CM66" s="20" t="s">
        <v>758</v>
      </c>
      <c r="CP66" s="20" t="s">
        <v>698</v>
      </c>
      <c r="DM66" s="20" t="s">
        <v>743</v>
      </c>
      <c r="DN66" s="20" t="s">
        <v>744</v>
      </c>
      <c r="DO66" s="20" t="s">
        <v>745</v>
      </c>
      <c r="DP66" s="20" t="s">
        <v>698</v>
      </c>
      <c r="DQ66" s="20">
        <v>6</v>
      </c>
      <c r="DR66" s="20">
        <v>0.375</v>
      </c>
      <c r="DS66" s="20">
        <v>52000</v>
      </c>
      <c r="DT66" s="20" t="s">
        <v>1314</v>
      </c>
      <c r="DU66" s="20" t="s">
        <v>926</v>
      </c>
      <c r="DW66" s="20" t="s">
        <v>728</v>
      </c>
      <c r="DX66" s="20" t="s">
        <v>904</v>
      </c>
      <c r="DZ66" s="20" t="s">
        <v>696</v>
      </c>
      <c r="FK66" s="20">
        <v>2012</v>
      </c>
      <c r="FL66" s="20" t="s">
        <v>728</v>
      </c>
      <c r="FM66" s="20" t="s">
        <v>719</v>
      </c>
      <c r="FO66" s="20" t="s">
        <v>720</v>
      </c>
      <c r="FR66" s="20" t="s">
        <v>749</v>
      </c>
      <c r="FY66" s="20" t="s">
        <v>698</v>
      </c>
      <c r="GC66" s="20" t="s">
        <v>696</v>
      </c>
      <c r="GD66" s="20" t="s">
        <v>698</v>
      </c>
      <c r="GE66" s="20" t="s">
        <v>696</v>
      </c>
      <c r="GH66" s="20" t="s">
        <v>696</v>
      </c>
      <c r="GK66" s="20" t="s">
        <v>698</v>
      </c>
      <c r="GT66" s="20" t="s">
        <v>698</v>
      </c>
      <c r="GU66" s="20" t="s">
        <v>698</v>
      </c>
      <c r="HF66" s="20">
        <v>0</v>
      </c>
      <c r="HG66" s="20">
        <v>80</v>
      </c>
      <c r="HH66" s="20">
        <v>11326</v>
      </c>
      <c r="HI66" s="20">
        <v>4455</v>
      </c>
      <c r="HJ66" s="20">
        <v>0</v>
      </c>
      <c r="HK66" s="20">
        <v>0</v>
      </c>
      <c r="HM66" s="20">
        <v>15861</v>
      </c>
      <c r="HN66" s="20">
        <v>0</v>
      </c>
      <c r="HO66" s="20">
        <v>0</v>
      </c>
      <c r="HP66" s="20">
        <v>0</v>
      </c>
      <c r="HQ66" s="20">
        <v>0</v>
      </c>
      <c r="HR66" s="20">
        <v>560</v>
      </c>
      <c r="HS66" s="20">
        <v>867</v>
      </c>
      <c r="HT66" s="20" t="s">
        <v>943</v>
      </c>
      <c r="HV66" s="24">
        <v>41047</v>
      </c>
      <c r="HW66" s="20" t="s">
        <v>698</v>
      </c>
      <c r="HY66" s="20" t="s">
        <v>723</v>
      </c>
      <c r="HZ66" s="20" t="s">
        <v>698</v>
      </c>
      <c r="IS66" s="20" t="s">
        <v>724</v>
      </c>
      <c r="IT66" s="20" t="s">
        <v>696</v>
      </c>
      <c r="IU66" s="20" t="s">
        <v>696</v>
      </c>
      <c r="IV66" s="20" t="s">
        <v>696</v>
      </c>
      <c r="IW66" s="20" t="s">
        <v>698</v>
      </c>
      <c r="IX66" s="20" t="s">
        <v>698</v>
      </c>
      <c r="IY66" s="20" t="s">
        <v>696</v>
      </c>
      <c r="IZ66" s="20" t="s">
        <v>696</v>
      </c>
      <c r="JA66" s="20" t="s">
        <v>696</v>
      </c>
      <c r="JB66" s="20" t="s">
        <v>698</v>
      </c>
      <c r="JC66" s="20" t="s">
        <v>698</v>
      </c>
      <c r="JD66" s="20" t="s">
        <v>725</v>
      </c>
      <c r="JE66" s="20" t="s">
        <v>726</v>
      </c>
      <c r="JR66" s="20" t="s">
        <v>698</v>
      </c>
      <c r="JS66" s="20" t="s">
        <v>698</v>
      </c>
      <c r="JX66" s="20" t="s">
        <v>833</v>
      </c>
      <c r="JY66" s="20" t="s">
        <v>834</v>
      </c>
      <c r="JZ66" s="20" t="s">
        <v>834</v>
      </c>
      <c r="LD66" s="20" t="s">
        <v>835</v>
      </c>
      <c r="LH66" s="20" t="s">
        <v>696</v>
      </c>
      <c r="LL66" s="20" t="s">
        <v>696</v>
      </c>
      <c r="LN66" s="20" t="s">
        <v>696</v>
      </c>
      <c r="LO66" s="20" t="s">
        <v>1315</v>
      </c>
      <c r="LS66" s="20" t="s">
        <v>696</v>
      </c>
      <c r="LT66" s="20" t="s">
        <v>1316</v>
      </c>
      <c r="LU66" s="20" t="s">
        <v>696</v>
      </c>
      <c r="LV66" s="20" t="s">
        <v>698</v>
      </c>
      <c r="LW66" s="20" t="s">
        <v>838</v>
      </c>
      <c r="LX66" s="20" t="s">
        <v>838</v>
      </c>
      <c r="SC66" s="20" t="s">
        <v>698</v>
      </c>
      <c r="UO66" s="20" t="s">
        <v>698</v>
      </c>
      <c r="UR66" s="20" t="s">
        <v>698</v>
      </c>
      <c r="UZ66" s="20" t="s">
        <v>698</v>
      </c>
      <c r="XL66" s="20" t="s">
        <v>730</v>
      </c>
      <c r="XM66" s="20" t="s">
        <v>731</v>
      </c>
      <c r="XN66" s="20" t="s">
        <v>732</v>
      </c>
      <c r="XO66" s="20" t="s">
        <v>733</v>
      </c>
      <c r="XQ66" s="24">
        <v>45593</v>
      </c>
      <c r="XU66" s="20" t="s">
        <v>730</v>
      </c>
      <c r="XV66" s="20" t="s">
        <v>733</v>
      </c>
      <c r="XW66" s="20" t="s">
        <v>731</v>
      </c>
      <c r="XX66" s="20" t="s">
        <v>732</v>
      </c>
      <c r="XY66" s="20" t="s">
        <v>1317</v>
      </c>
    </row>
    <row r="67" spans="1:649" ht="13">
      <c r="A67" s="20">
        <v>349</v>
      </c>
      <c r="B67" s="21">
        <v>45400</v>
      </c>
      <c r="C67" s="20">
        <v>2024</v>
      </c>
      <c r="D67" s="20">
        <v>20240094</v>
      </c>
      <c r="E67" s="20">
        <v>39461</v>
      </c>
      <c r="F67" s="20" t="s">
        <v>885</v>
      </c>
      <c r="G67" s="20">
        <v>22442</v>
      </c>
      <c r="H67" s="20" t="s">
        <v>886</v>
      </c>
      <c r="I67" s="20" t="s">
        <v>692</v>
      </c>
      <c r="J67" s="20" t="s">
        <v>693</v>
      </c>
      <c r="K67" s="20" t="s">
        <v>694</v>
      </c>
      <c r="L67" s="20">
        <v>77002</v>
      </c>
      <c r="M67" s="22">
        <v>45374.083333333336</v>
      </c>
      <c r="N67" s="20" t="s">
        <v>695</v>
      </c>
      <c r="O67" s="20" t="s">
        <v>696</v>
      </c>
      <c r="P67" s="20">
        <v>32.5316829</v>
      </c>
      <c r="Q67" s="20">
        <v>-100.8464264</v>
      </c>
      <c r="R67" s="20" t="s">
        <v>697</v>
      </c>
      <c r="W67" s="20">
        <v>3</v>
      </c>
      <c r="Y67" s="20">
        <v>3</v>
      </c>
      <c r="Z67" s="20" t="s">
        <v>698</v>
      </c>
      <c r="AF67" s="20">
        <v>0</v>
      </c>
      <c r="AG67" s="20" t="s">
        <v>698</v>
      </c>
      <c r="AM67" s="20">
        <v>0</v>
      </c>
      <c r="AN67" s="20" t="s">
        <v>699</v>
      </c>
      <c r="AP67" s="20" t="s">
        <v>700</v>
      </c>
      <c r="AQ67" s="23">
        <v>45374.083333333336</v>
      </c>
      <c r="AR67" s="20" t="s">
        <v>701</v>
      </c>
      <c r="AS67" s="20" t="s">
        <v>702</v>
      </c>
      <c r="AT67" s="20" t="s">
        <v>703</v>
      </c>
      <c r="AU67" s="20" t="s">
        <v>696</v>
      </c>
      <c r="AW67" s="23">
        <v>45374.145833333336</v>
      </c>
      <c r="AX67" s="23">
        <v>45374.333333333336</v>
      </c>
      <c r="AZ67" s="20" t="s">
        <v>698</v>
      </c>
      <c r="BC67" s="23">
        <v>45374.125</v>
      </c>
      <c r="BD67" s="23">
        <v>45374.145833333336</v>
      </c>
      <c r="BF67" s="20" t="s">
        <v>754</v>
      </c>
      <c r="BH67" s="20" t="s">
        <v>698</v>
      </c>
      <c r="BV67" s="20" t="s">
        <v>696</v>
      </c>
      <c r="BW67" s="23">
        <v>45374.180555555555</v>
      </c>
      <c r="BX67" s="20" t="s">
        <v>698</v>
      </c>
      <c r="CA67" s="20">
        <v>0</v>
      </c>
      <c r="CB67" s="20" t="s">
        <v>1318</v>
      </c>
      <c r="CC67" s="20" t="s">
        <v>1319</v>
      </c>
      <c r="CD67" s="20" t="s">
        <v>694</v>
      </c>
      <c r="CE67" s="20">
        <v>79512</v>
      </c>
      <c r="CF67" s="20" t="s">
        <v>1320</v>
      </c>
      <c r="CG67" s="20" t="s">
        <v>1204</v>
      </c>
      <c r="CH67" s="20" t="s">
        <v>710</v>
      </c>
      <c r="CI67" s="20" t="s">
        <v>711</v>
      </c>
      <c r="CJ67" s="20" t="s">
        <v>698</v>
      </c>
      <c r="CK67" s="20" t="s">
        <v>712</v>
      </c>
      <c r="CL67" s="20" t="s">
        <v>713</v>
      </c>
      <c r="CM67" s="20" t="s">
        <v>758</v>
      </c>
      <c r="CP67" s="20" t="s">
        <v>698</v>
      </c>
      <c r="DM67" s="20" t="s">
        <v>743</v>
      </c>
      <c r="DN67" s="20" t="s">
        <v>822</v>
      </c>
      <c r="FK67" s="20" t="s">
        <v>728</v>
      </c>
      <c r="FL67" s="20" t="s">
        <v>728</v>
      </c>
      <c r="FM67" s="20" t="s">
        <v>719</v>
      </c>
      <c r="FO67" s="20" t="s">
        <v>893</v>
      </c>
      <c r="FY67" s="20" t="s">
        <v>698</v>
      </c>
      <c r="GC67" s="20" t="s">
        <v>698</v>
      </c>
      <c r="GD67" s="20" t="s">
        <v>698</v>
      </c>
      <c r="GE67" s="20" t="s">
        <v>698</v>
      </c>
      <c r="GK67" s="20" t="s">
        <v>698</v>
      </c>
      <c r="GT67" s="20" t="s">
        <v>698</v>
      </c>
      <c r="GU67" s="20" t="s">
        <v>698</v>
      </c>
      <c r="HF67" s="20">
        <v>0</v>
      </c>
      <c r="HG67" s="20">
        <v>100</v>
      </c>
      <c r="HH67" s="20">
        <v>750</v>
      </c>
      <c r="HI67" s="20">
        <v>4000</v>
      </c>
      <c r="HJ67" s="20">
        <v>6000</v>
      </c>
      <c r="HK67" s="20">
        <v>0</v>
      </c>
      <c r="HM67" s="20">
        <v>10850</v>
      </c>
      <c r="HN67" s="20">
        <v>0</v>
      </c>
      <c r="HO67" s="20">
        <v>0</v>
      </c>
      <c r="HP67" s="20">
        <v>0</v>
      </c>
      <c r="HQ67" s="20">
        <v>0</v>
      </c>
      <c r="HR67" s="20">
        <v>160</v>
      </c>
      <c r="HS67" s="20">
        <v>285</v>
      </c>
      <c r="HT67" s="20" t="s">
        <v>750</v>
      </c>
      <c r="HV67" s="24">
        <v>41292</v>
      </c>
      <c r="HW67" s="20" t="s">
        <v>698</v>
      </c>
      <c r="HY67" s="20" t="s">
        <v>723</v>
      </c>
      <c r="HZ67" s="20" t="s">
        <v>698</v>
      </c>
      <c r="IS67" s="20" t="s">
        <v>724</v>
      </c>
      <c r="IT67" s="20" t="s">
        <v>696</v>
      </c>
      <c r="IU67" s="20" t="s">
        <v>696</v>
      </c>
      <c r="IV67" s="20" t="s">
        <v>696</v>
      </c>
      <c r="IW67" s="20" t="s">
        <v>696</v>
      </c>
      <c r="IX67" s="20" t="s">
        <v>696</v>
      </c>
      <c r="IY67" s="20" t="s">
        <v>698</v>
      </c>
      <c r="JD67" s="20" t="s">
        <v>725</v>
      </c>
      <c r="JE67" s="20" t="s">
        <v>726</v>
      </c>
      <c r="JR67" s="20" t="s">
        <v>698</v>
      </c>
      <c r="JS67" s="20" t="s">
        <v>698</v>
      </c>
      <c r="JX67" s="20" t="s">
        <v>789</v>
      </c>
      <c r="JY67" s="20" t="s">
        <v>790</v>
      </c>
      <c r="QB67" s="20" t="s">
        <v>790</v>
      </c>
      <c r="QI67" s="20" t="s">
        <v>696</v>
      </c>
      <c r="RK67" s="20" t="s">
        <v>696</v>
      </c>
      <c r="RL67" s="20" t="s">
        <v>1321</v>
      </c>
      <c r="XL67" s="20" t="s">
        <v>730</v>
      </c>
      <c r="XM67" s="20" t="s">
        <v>731</v>
      </c>
      <c r="XN67" s="20" t="s">
        <v>732</v>
      </c>
      <c r="XO67" s="20" t="s">
        <v>733</v>
      </c>
      <c r="XQ67" s="24">
        <v>45400</v>
      </c>
      <c r="XU67" s="20" t="s">
        <v>730</v>
      </c>
      <c r="XV67" s="20" t="s">
        <v>733</v>
      </c>
      <c r="XW67" s="20" t="s">
        <v>731</v>
      </c>
      <c r="XX67" s="20" t="s">
        <v>732</v>
      </c>
      <c r="XY67" s="20" t="s">
        <v>1322</v>
      </c>
    </row>
    <row r="68" spans="1:649" ht="13">
      <c r="A68" s="20">
        <v>354</v>
      </c>
      <c r="B68" s="21">
        <v>45394</v>
      </c>
      <c r="C68" s="20">
        <v>2024</v>
      </c>
      <c r="D68" s="20">
        <v>20240090</v>
      </c>
      <c r="E68" s="20">
        <v>40981</v>
      </c>
      <c r="F68" s="20" t="s">
        <v>825</v>
      </c>
      <c r="G68" s="20">
        <v>18718</v>
      </c>
      <c r="H68" s="20" t="s">
        <v>918</v>
      </c>
      <c r="I68" s="20" t="s">
        <v>692</v>
      </c>
      <c r="J68" s="20" t="s">
        <v>693</v>
      </c>
      <c r="K68" s="20" t="s">
        <v>694</v>
      </c>
      <c r="L68" s="20">
        <v>77002</v>
      </c>
      <c r="M68" s="22">
        <v>45365.3125</v>
      </c>
      <c r="N68" s="20" t="s">
        <v>843</v>
      </c>
      <c r="O68" s="20" t="s">
        <v>696</v>
      </c>
      <c r="P68" s="20">
        <v>40.314739000000003</v>
      </c>
      <c r="Q68" s="20">
        <v>-76.033968000000002</v>
      </c>
      <c r="R68" s="20" t="s">
        <v>844</v>
      </c>
      <c r="S68" s="20" t="s">
        <v>845</v>
      </c>
      <c r="W68" s="20">
        <v>2</v>
      </c>
      <c r="Y68" s="20">
        <v>2</v>
      </c>
      <c r="Z68" s="20" t="s">
        <v>698</v>
      </c>
      <c r="AF68" s="20">
        <v>0</v>
      </c>
      <c r="AG68" s="20" t="s">
        <v>698</v>
      </c>
      <c r="AM68" s="20">
        <v>0</v>
      </c>
      <c r="AN68" s="20" t="s">
        <v>699</v>
      </c>
      <c r="AP68" s="20" t="s">
        <v>700</v>
      </c>
      <c r="AQ68" s="23">
        <v>45365.3125</v>
      </c>
      <c r="AR68" s="20" t="s">
        <v>736</v>
      </c>
      <c r="AS68" s="20" t="s">
        <v>702</v>
      </c>
      <c r="AT68" s="20" t="s">
        <v>703</v>
      </c>
      <c r="AU68" s="20" t="s">
        <v>698</v>
      </c>
      <c r="AV68" s="20" t="s">
        <v>1323</v>
      </c>
      <c r="AZ68" s="20" t="s">
        <v>696</v>
      </c>
      <c r="BA68" s="20" t="s">
        <v>753</v>
      </c>
      <c r="BB68" s="23">
        <v>45365.737500000003</v>
      </c>
      <c r="BC68" s="23">
        <v>45365.333333333336</v>
      </c>
      <c r="BD68" s="23">
        <v>45365.6875</v>
      </c>
      <c r="BE68" s="23">
        <v>45365.731249999997</v>
      </c>
      <c r="BF68" s="20">
        <v>1393893</v>
      </c>
      <c r="BG68" s="20">
        <v>1393936</v>
      </c>
      <c r="BH68" s="20" t="s">
        <v>698</v>
      </c>
      <c r="BV68" s="20" t="s">
        <v>696</v>
      </c>
      <c r="BW68" s="23">
        <v>45365.3125</v>
      </c>
      <c r="BX68" s="20" t="s">
        <v>696</v>
      </c>
      <c r="BY68" s="23">
        <v>45365.336805555555</v>
      </c>
      <c r="BZ68" s="23">
        <v>45365.447916666664</v>
      </c>
      <c r="CA68" s="20">
        <v>0</v>
      </c>
      <c r="CB68" s="20" t="s">
        <v>1027</v>
      </c>
      <c r="CC68" s="20" t="s">
        <v>1324</v>
      </c>
      <c r="CD68" s="20" t="s">
        <v>921</v>
      </c>
      <c r="CE68" s="20">
        <v>19608</v>
      </c>
      <c r="CF68" s="20" t="s">
        <v>1325</v>
      </c>
      <c r="CG68" s="20" t="s">
        <v>1030</v>
      </c>
      <c r="CH68" s="20" t="s">
        <v>784</v>
      </c>
      <c r="CI68" s="20" t="s">
        <v>711</v>
      </c>
      <c r="CJ68" s="20" t="s">
        <v>698</v>
      </c>
      <c r="CK68" s="20" t="s">
        <v>712</v>
      </c>
      <c r="CL68" s="20" t="s">
        <v>741</v>
      </c>
      <c r="CM68" s="20" t="s">
        <v>742</v>
      </c>
      <c r="CO68" s="20">
        <v>48</v>
      </c>
      <c r="CP68" s="20" t="s">
        <v>698</v>
      </c>
      <c r="DM68" s="20" t="s">
        <v>743</v>
      </c>
      <c r="DN68" s="20" t="s">
        <v>1011</v>
      </c>
      <c r="FK68" s="20">
        <v>1975</v>
      </c>
      <c r="FL68" s="20" t="s">
        <v>728</v>
      </c>
      <c r="FM68" s="20" t="s">
        <v>719</v>
      </c>
      <c r="FO68" s="20" t="s">
        <v>720</v>
      </c>
      <c r="FR68" s="20" t="s">
        <v>749</v>
      </c>
      <c r="FY68" s="20" t="s">
        <v>698</v>
      </c>
      <c r="GC68" s="20" t="s">
        <v>696</v>
      </c>
      <c r="GD68" s="20" t="s">
        <v>698</v>
      </c>
      <c r="GE68" s="20" t="s">
        <v>696</v>
      </c>
      <c r="GH68" s="20" t="s">
        <v>696</v>
      </c>
      <c r="GK68" s="20" t="s">
        <v>698</v>
      </c>
      <c r="GT68" s="20" t="s">
        <v>696</v>
      </c>
      <c r="GU68" s="20" t="s">
        <v>696</v>
      </c>
      <c r="GX68" s="20" t="s">
        <v>696</v>
      </c>
      <c r="GY68" s="20" t="s">
        <v>696</v>
      </c>
      <c r="HB68" s="20" t="s">
        <v>696</v>
      </c>
      <c r="HC68" s="20" t="s">
        <v>696</v>
      </c>
      <c r="HF68" s="20">
        <v>0</v>
      </c>
      <c r="HG68" s="20">
        <v>336</v>
      </c>
      <c r="HH68" s="20">
        <v>8000</v>
      </c>
      <c r="HI68" s="20">
        <v>38000</v>
      </c>
      <c r="HJ68" s="20">
        <v>20000</v>
      </c>
      <c r="HK68" s="20">
        <v>0</v>
      </c>
      <c r="HM68" s="20">
        <v>66336</v>
      </c>
      <c r="HN68" s="20">
        <v>0</v>
      </c>
      <c r="HO68" s="20">
        <v>0</v>
      </c>
      <c r="HP68" s="20">
        <v>0</v>
      </c>
      <c r="HQ68" s="20">
        <v>0</v>
      </c>
      <c r="HR68" s="20">
        <v>700</v>
      </c>
      <c r="HS68" s="20">
        <v>1100</v>
      </c>
      <c r="HT68" s="20" t="s">
        <v>787</v>
      </c>
      <c r="HV68" s="24">
        <v>42151</v>
      </c>
      <c r="HW68" s="20" t="s">
        <v>698</v>
      </c>
      <c r="HY68" s="20" t="s">
        <v>723</v>
      </c>
      <c r="HZ68" s="20" t="s">
        <v>698</v>
      </c>
      <c r="IS68" s="20" t="s">
        <v>724</v>
      </c>
      <c r="IT68" s="20" t="s">
        <v>696</v>
      </c>
      <c r="IU68" s="20" t="s">
        <v>698</v>
      </c>
      <c r="IV68" s="20" t="s">
        <v>698</v>
      </c>
      <c r="IW68" s="20" t="s">
        <v>698</v>
      </c>
      <c r="IX68" s="20" t="s">
        <v>698</v>
      </c>
      <c r="IY68" s="20" t="s">
        <v>696</v>
      </c>
      <c r="IZ68" s="20" t="s">
        <v>698</v>
      </c>
      <c r="JA68" s="20" t="s">
        <v>698</v>
      </c>
      <c r="JB68" s="20" t="s">
        <v>698</v>
      </c>
      <c r="JC68" s="20" t="s">
        <v>698</v>
      </c>
      <c r="JD68" s="20" t="s">
        <v>725</v>
      </c>
      <c r="JE68" s="20" t="s">
        <v>1326</v>
      </c>
      <c r="JR68" s="20" t="s">
        <v>698</v>
      </c>
      <c r="JS68" s="20" t="s">
        <v>698</v>
      </c>
      <c r="JX68" s="20" t="s">
        <v>833</v>
      </c>
      <c r="JY68" s="20" t="s">
        <v>860</v>
      </c>
      <c r="JZ68" s="20" t="s">
        <v>860</v>
      </c>
      <c r="KA68" s="20" t="s">
        <v>835</v>
      </c>
      <c r="KF68" s="20" t="s">
        <v>696</v>
      </c>
      <c r="KL68" s="20" t="s">
        <v>696</v>
      </c>
      <c r="KM68" s="20" t="s">
        <v>696</v>
      </c>
      <c r="KP68" s="20" t="s">
        <v>696</v>
      </c>
      <c r="KQ68" s="20" t="s">
        <v>696</v>
      </c>
      <c r="KR68" s="20">
        <v>1975</v>
      </c>
      <c r="KS68" s="20" t="s">
        <v>696</v>
      </c>
      <c r="KT68" s="20" t="s">
        <v>696</v>
      </c>
      <c r="KU68" s="20" t="s">
        <v>696</v>
      </c>
      <c r="KX68" s="20">
        <v>2023</v>
      </c>
      <c r="LC68" s="20" t="s">
        <v>696</v>
      </c>
      <c r="XL68" s="20" t="s">
        <v>730</v>
      </c>
      <c r="XM68" s="20" t="s">
        <v>731</v>
      </c>
      <c r="XN68" s="20" t="s">
        <v>732</v>
      </c>
      <c r="XO68" s="20" t="s">
        <v>733</v>
      </c>
      <c r="XQ68" s="24">
        <v>45811</v>
      </c>
      <c r="XU68" s="20" t="s">
        <v>730</v>
      </c>
      <c r="XV68" s="20" t="s">
        <v>733</v>
      </c>
      <c r="XW68" s="20" t="s">
        <v>731</v>
      </c>
      <c r="XX68" s="20" t="s">
        <v>732</v>
      </c>
      <c r="XY68" s="20" t="s">
        <v>1327</v>
      </c>
    </row>
    <row r="69" spans="1:649" ht="13">
      <c r="A69" s="20">
        <v>372</v>
      </c>
      <c r="B69" s="21">
        <v>45368</v>
      </c>
      <c r="C69" s="20">
        <v>2024</v>
      </c>
      <c r="D69" s="20">
        <v>20240067</v>
      </c>
      <c r="E69" s="20">
        <v>39331</v>
      </c>
      <c r="F69" s="20" t="s">
        <v>885</v>
      </c>
      <c r="G69" s="20">
        <v>39706</v>
      </c>
      <c r="H69" s="20" t="s">
        <v>817</v>
      </c>
      <c r="I69" s="20" t="s">
        <v>692</v>
      </c>
      <c r="J69" s="20" t="s">
        <v>693</v>
      </c>
      <c r="K69" s="20" t="s">
        <v>694</v>
      </c>
      <c r="L69" s="20">
        <v>77002</v>
      </c>
      <c r="M69" s="22">
        <v>45341.510416666664</v>
      </c>
      <c r="N69" s="20" t="s">
        <v>695</v>
      </c>
      <c r="O69" s="20" t="s">
        <v>698</v>
      </c>
      <c r="P69" s="20">
        <v>29.998531</v>
      </c>
      <c r="Q69" s="20">
        <v>-93.990886000000003</v>
      </c>
      <c r="R69" s="20" t="s">
        <v>697</v>
      </c>
      <c r="W69" s="20">
        <v>0.5</v>
      </c>
      <c r="Y69" s="20">
        <v>0.5</v>
      </c>
      <c r="Z69" s="20" t="s">
        <v>698</v>
      </c>
      <c r="AF69" s="20">
        <v>0</v>
      </c>
      <c r="AG69" s="20" t="s">
        <v>698</v>
      </c>
      <c r="AM69" s="20">
        <v>0</v>
      </c>
      <c r="AN69" s="20" t="s">
        <v>699</v>
      </c>
      <c r="AP69" s="20" t="s">
        <v>1013</v>
      </c>
      <c r="AQ69" s="23">
        <v>45341.510416666664</v>
      </c>
      <c r="AR69" s="20" t="s">
        <v>907</v>
      </c>
      <c r="AS69" s="20" t="s">
        <v>702</v>
      </c>
      <c r="AT69" s="20" t="s">
        <v>703</v>
      </c>
      <c r="AU69" s="20" t="s">
        <v>698</v>
      </c>
      <c r="AV69" s="20" t="s">
        <v>1328</v>
      </c>
      <c r="AZ69" s="20" t="s">
        <v>698</v>
      </c>
      <c r="BC69" s="23">
        <v>45341.510416666664</v>
      </c>
      <c r="BD69" s="23">
        <v>45341.510416666664</v>
      </c>
      <c r="BF69" s="20" t="s">
        <v>754</v>
      </c>
      <c r="BH69" s="20" t="s">
        <v>698</v>
      </c>
      <c r="BV69" s="20" t="s">
        <v>698</v>
      </c>
      <c r="BX69" s="20" t="s">
        <v>698</v>
      </c>
      <c r="CA69" s="20">
        <v>0</v>
      </c>
      <c r="CB69" s="20" t="s">
        <v>818</v>
      </c>
      <c r="CC69" s="20" t="s">
        <v>1329</v>
      </c>
      <c r="CD69" s="20" t="s">
        <v>694</v>
      </c>
      <c r="CE69" s="20">
        <v>77627</v>
      </c>
      <c r="CF69" s="20" t="s">
        <v>820</v>
      </c>
      <c r="CG69" s="20" t="s">
        <v>821</v>
      </c>
      <c r="CH69" s="20" t="s">
        <v>710</v>
      </c>
      <c r="CI69" s="20" t="s">
        <v>711</v>
      </c>
      <c r="CJ69" s="20" t="s">
        <v>698</v>
      </c>
      <c r="CK69" s="20" t="s">
        <v>712</v>
      </c>
      <c r="CL69" s="20" t="s">
        <v>910</v>
      </c>
      <c r="CP69" s="20" t="s">
        <v>698</v>
      </c>
      <c r="DM69" s="20" t="s">
        <v>743</v>
      </c>
      <c r="DN69" s="20" t="s">
        <v>911</v>
      </c>
      <c r="EW69" s="20" t="s">
        <v>912</v>
      </c>
      <c r="EY69" s="20" t="s">
        <v>913</v>
      </c>
      <c r="FD69" s="20">
        <v>55</v>
      </c>
      <c r="FE69" s="20" t="s">
        <v>698</v>
      </c>
      <c r="FF69" s="20">
        <v>2015</v>
      </c>
      <c r="FH69" s="20">
        <v>2020</v>
      </c>
      <c r="FK69" s="20" t="s">
        <v>728</v>
      </c>
      <c r="FL69" s="20" t="s">
        <v>728</v>
      </c>
      <c r="FM69" s="20" t="s">
        <v>719</v>
      </c>
      <c r="FO69" s="20" t="s">
        <v>720</v>
      </c>
      <c r="FR69" s="20" t="s">
        <v>721</v>
      </c>
      <c r="FY69" s="20" t="s">
        <v>698</v>
      </c>
      <c r="GC69" s="20" t="s">
        <v>696</v>
      </c>
      <c r="GD69" s="20" t="s">
        <v>698</v>
      </c>
      <c r="GE69" s="20" t="s">
        <v>696</v>
      </c>
      <c r="GH69" s="20" t="s">
        <v>696</v>
      </c>
      <c r="GK69" s="20" t="s">
        <v>698</v>
      </c>
      <c r="GT69" s="20" t="s">
        <v>696</v>
      </c>
      <c r="GU69" s="20" t="s">
        <v>696</v>
      </c>
      <c r="GX69" s="20" t="s">
        <v>696</v>
      </c>
      <c r="GY69" s="20" t="s">
        <v>696</v>
      </c>
      <c r="HF69" s="20">
        <v>0</v>
      </c>
      <c r="HG69" s="20">
        <v>40</v>
      </c>
      <c r="HH69" s="20">
        <v>3900</v>
      </c>
      <c r="HI69" s="20">
        <v>1000</v>
      </c>
      <c r="HJ69" s="20">
        <v>2000</v>
      </c>
      <c r="HK69" s="20">
        <v>0</v>
      </c>
      <c r="HM69" s="20">
        <v>6940</v>
      </c>
      <c r="HN69" s="20">
        <v>0</v>
      </c>
      <c r="HO69" s="20">
        <v>0</v>
      </c>
      <c r="HP69" s="20">
        <v>0</v>
      </c>
      <c r="HQ69" s="20">
        <v>0</v>
      </c>
      <c r="HR69" s="20">
        <v>14.7</v>
      </c>
      <c r="HZ69" s="20" t="s">
        <v>698</v>
      </c>
      <c r="IS69" s="20" t="s">
        <v>724</v>
      </c>
      <c r="IT69" s="20" t="s">
        <v>696</v>
      </c>
      <c r="IU69" s="20" t="s">
        <v>696</v>
      </c>
      <c r="IV69" s="20" t="s">
        <v>696</v>
      </c>
      <c r="IW69" s="20" t="s">
        <v>698</v>
      </c>
      <c r="IX69" s="20" t="s">
        <v>698</v>
      </c>
      <c r="IY69" s="20" t="s">
        <v>698</v>
      </c>
      <c r="JD69" s="20" t="s">
        <v>725</v>
      </c>
      <c r="JE69" s="20" t="s">
        <v>726</v>
      </c>
      <c r="JR69" s="20" t="s">
        <v>698</v>
      </c>
      <c r="JS69" s="20" t="s">
        <v>698</v>
      </c>
      <c r="JX69" s="20" t="s">
        <v>789</v>
      </c>
      <c r="JY69" s="20" t="s">
        <v>914</v>
      </c>
      <c r="QB69" s="20" t="s">
        <v>914</v>
      </c>
      <c r="QS69" s="20" t="s">
        <v>915</v>
      </c>
      <c r="RK69" s="20" t="s">
        <v>696</v>
      </c>
      <c r="RL69" s="20" t="s">
        <v>1330</v>
      </c>
      <c r="XL69" s="20" t="s">
        <v>730</v>
      </c>
      <c r="XM69" s="20" t="s">
        <v>731</v>
      </c>
      <c r="XN69" s="20" t="s">
        <v>732</v>
      </c>
      <c r="XO69" s="20" t="s">
        <v>733</v>
      </c>
      <c r="XQ69" s="24">
        <v>45368</v>
      </c>
      <c r="XU69" s="20" t="s">
        <v>730</v>
      </c>
      <c r="XV69" s="20" t="s">
        <v>733</v>
      </c>
      <c r="XW69" s="20" t="s">
        <v>731</v>
      </c>
      <c r="XX69" s="20" t="s">
        <v>732</v>
      </c>
      <c r="XY69" s="20" t="s">
        <v>1331</v>
      </c>
    </row>
    <row r="70" spans="1:649" ht="13">
      <c r="A70" s="20">
        <v>373</v>
      </c>
      <c r="B70" s="21">
        <v>45369</v>
      </c>
      <c r="C70" s="20">
        <v>2024</v>
      </c>
      <c r="D70" s="20">
        <v>20240068</v>
      </c>
      <c r="E70" s="20">
        <v>39339</v>
      </c>
      <c r="F70" s="20" t="s">
        <v>885</v>
      </c>
      <c r="G70" s="20">
        <v>39368</v>
      </c>
      <c r="H70" s="20" t="s">
        <v>691</v>
      </c>
      <c r="I70" s="20" t="s">
        <v>692</v>
      </c>
      <c r="J70" s="20" t="s">
        <v>693</v>
      </c>
      <c r="K70" s="20" t="s">
        <v>694</v>
      </c>
      <c r="L70" s="20">
        <v>77002</v>
      </c>
      <c r="M70" s="22">
        <v>45340.642361111109</v>
      </c>
      <c r="N70" s="20" t="s">
        <v>695</v>
      </c>
      <c r="O70" s="20" t="s">
        <v>698</v>
      </c>
      <c r="P70" s="20">
        <v>48.140050000000002</v>
      </c>
      <c r="Q70" s="20">
        <v>-103.67657</v>
      </c>
      <c r="R70" s="20" t="s">
        <v>697</v>
      </c>
      <c r="W70" s="20">
        <v>0.6</v>
      </c>
      <c r="Y70" s="20">
        <v>0.6</v>
      </c>
      <c r="Z70" s="20" t="s">
        <v>698</v>
      </c>
      <c r="AF70" s="20">
        <v>0</v>
      </c>
      <c r="AG70" s="20" t="s">
        <v>698</v>
      </c>
      <c r="AM70" s="20">
        <v>0</v>
      </c>
      <c r="AN70" s="20" t="s">
        <v>1332</v>
      </c>
      <c r="AQ70" s="23">
        <v>45340.657638888886</v>
      </c>
      <c r="AR70" s="20" t="s">
        <v>776</v>
      </c>
      <c r="AS70" s="20" t="s">
        <v>702</v>
      </c>
      <c r="AT70" s="20" t="s">
        <v>703</v>
      </c>
      <c r="AU70" s="20" t="s">
        <v>696</v>
      </c>
      <c r="AW70" s="23">
        <v>45340.673611111109</v>
      </c>
      <c r="AX70" s="23">
        <v>45340.753472222219</v>
      </c>
      <c r="BC70" s="23">
        <v>45340.657638888886</v>
      </c>
      <c r="BD70" s="23">
        <v>45340.657638888886</v>
      </c>
      <c r="BE70" s="23">
        <v>45340.795138888891</v>
      </c>
      <c r="BF70" s="20">
        <v>1391874</v>
      </c>
      <c r="BG70" s="20">
        <v>1391901</v>
      </c>
      <c r="BH70" s="20" t="s">
        <v>698</v>
      </c>
      <c r="BN70" s="20" t="s">
        <v>777</v>
      </c>
      <c r="BP70" s="23">
        <v>45340.666666666664</v>
      </c>
      <c r="BQ70" s="20" t="s">
        <v>779</v>
      </c>
      <c r="BR70" s="20" t="s">
        <v>777</v>
      </c>
      <c r="BT70" s="23">
        <v>45340.673611111109</v>
      </c>
      <c r="BU70" s="20" t="s">
        <v>779</v>
      </c>
      <c r="BV70" s="20" t="s">
        <v>696</v>
      </c>
      <c r="BW70" s="23">
        <v>45340.659722222219</v>
      </c>
      <c r="BX70" s="20" t="s">
        <v>698</v>
      </c>
      <c r="CA70" s="20">
        <v>0</v>
      </c>
      <c r="CB70" s="20" t="s">
        <v>1333</v>
      </c>
      <c r="CC70" s="20" t="s">
        <v>1333</v>
      </c>
      <c r="CD70" s="20" t="s">
        <v>707</v>
      </c>
      <c r="CE70" s="20">
        <v>58801</v>
      </c>
      <c r="CF70" s="20" t="s">
        <v>1334</v>
      </c>
      <c r="CG70" s="20" t="s">
        <v>960</v>
      </c>
      <c r="CH70" s="20" t="s">
        <v>710</v>
      </c>
      <c r="CI70" s="20" t="s">
        <v>1335</v>
      </c>
      <c r="CJ70" s="20" t="s">
        <v>698</v>
      </c>
      <c r="CK70" s="20" t="s">
        <v>785</v>
      </c>
      <c r="CL70" s="20" t="s">
        <v>713</v>
      </c>
      <c r="CM70" s="20" t="s">
        <v>758</v>
      </c>
      <c r="CP70" s="20" t="s">
        <v>698</v>
      </c>
      <c r="DM70" s="20" t="s">
        <v>715</v>
      </c>
      <c r="DN70" s="20" t="s">
        <v>829</v>
      </c>
      <c r="EM70" s="20" t="s">
        <v>830</v>
      </c>
      <c r="FK70" s="20">
        <v>2023</v>
      </c>
      <c r="FL70" s="20">
        <v>2016</v>
      </c>
      <c r="FM70" s="20" t="s">
        <v>719</v>
      </c>
      <c r="FO70" s="20" t="s">
        <v>720</v>
      </c>
      <c r="FR70" s="20" t="s">
        <v>721</v>
      </c>
      <c r="FY70" s="20" t="s">
        <v>698</v>
      </c>
      <c r="GC70" s="20" t="s">
        <v>698</v>
      </c>
      <c r="GD70" s="20" t="s">
        <v>698</v>
      </c>
      <c r="GE70" s="20" t="s">
        <v>698</v>
      </c>
      <c r="GK70" s="20" t="s">
        <v>698</v>
      </c>
      <c r="GT70" s="20" t="s">
        <v>696</v>
      </c>
      <c r="GU70" s="20" t="s">
        <v>696</v>
      </c>
      <c r="GZ70" s="20" t="s">
        <v>696</v>
      </c>
      <c r="HA70" s="20" t="s">
        <v>696</v>
      </c>
      <c r="HF70" s="20">
        <v>0</v>
      </c>
      <c r="HG70" s="20">
        <v>0</v>
      </c>
      <c r="HH70" s="20">
        <v>0</v>
      </c>
      <c r="HI70" s="20">
        <v>0</v>
      </c>
      <c r="HJ70" s="20">
        <v>7500</v>
      </c>
      <c r="HK70" s="20">
        <v>1500</v>
      </c>
      <c r="HL70" s="20" t="s">
        <v>1336</v>
      </c>
      <c r="HM70" s="20">
        <v>9000</v>
      </c>
      <c r="HN70" s="20">
        <v>0</v>
      </c>
      <c r="HO70" s="20">
        <v>0</v>
      </c>
      <c r="HP70" s="20">
        <v>0</v>
      </c>
      <c r="HQ70" s="20">
        <v>0</v>
      </c>
      <c r="HR70" s="20">
        <v>300</v>
      </c>
      <c r="HS70" s="20">
        <v>1480</v>
      </c>
      <c r="HT70" s="20" t="s">
        <v>750</v>
      </c>
      <c r="HV70" s="24">
        <v>45007</v>
      </c>
      <c r="HW70" s="20" t="s">
        <v>698</v>
      </c>
      <c r="HY70" s="20" t="s">
        <v>723</v>
      </c>
      <c r="HZ70" s="20" t="s">
        <v>698</v>
      </c>
      <c r="IC70" s="20">
        <v>33315</v>
      </c>
      <c r="ID70" s="20" t="s">
        <v>696</v>
      </c>
      <c r="IL70" s="20" t="s">
        <v>698</v>
      </c>
      <c r="IS70" s="20" t="s">
        <v>2663</v>
      </c>
      <c r="IT70" s="20" t="s">
        <v>698</v>
      </c>
      <c r="IY70" s="20" t="s">
        <v>698</v>
      </c>
      <c r="JD70" s="20" t="s">
        <v>725</v>
      </c>
      <c r="JE70" s="20" t="s">
        <v>1337</v>
      </c>
      <c r="JR70" s="20" t="s">
        <v>698</v>
      </c>
      <c r="JS70" s="20" t="s">
        <v>698</v>
      </c>
      <c r="JX70" s="20" t="s">
        <v>789</v>
      </c>
      <c r="JY70" s="20" t="s">
        <v>953</v>
      </c>
      <c r="QB70" s="20" t="s">
        <v>953</v>
      </c>
      <c r="QQ70" s="20" t="s">
        <v>766</v>
      </c>
      <c r="QR70" s="20" t="s">
        <v>1338</v>
      </c>
      <c r="QY70" s="20" t="s">
        <v>696</v>
      </c>
      <c r="XL70" s="20" t="s">
        <v>1112</v>
      </c>
      <c r="XM70" s="20" t="s">
        <v>1114</v>
      </c>
      <c r="XN70" s="20" t="s">
        <v>1115</v>
      </c>
      <c r="XQ70" s="24">
        <v>45369</v>
      </c>
      <c r="XU70" s="20" t="s">
        <v>1112</v>
      </c>
      <c r="XV70" s="20" t="s">
        <v>1113</v>
      </c>
      <c r="XW70" s="20" t="s">
        <v>1114</v>
      </c>
      <c r="XX70" s="20" t="s">
        <v>1115</v>
      </c>
      <c r="XY70" s="20" t="s">
        <v>1339</v>
      </c>
    </row>
    <row r="71" spans="1:649" ht="13">
      <c r="A71" s="20">
        <v>385</v>
      </c>
      <c r="B71" s="21">
        <v>45349</v>
      </c>
      <c r="C71" s="20">
        <v>2024</v>
      </c>
      <c r="D71" s="20">
        <v>20240054</v>
      </c>
      <c r="E71" s="20">
        <v>39505</v>
      </c>
      <c r="F71" s="20" t="s">
        <v>825</v>
      </c>
      <c r="G71" s="20">
        <v>22830</v>
      </c>
      <c r="H71" s="20" t="s">
        <v>973</v>
      </c>
      <c r="I71" s="20" t="s">
        <v>974</v>
      </c>
      <c r="J71" s="20" t="s">
        <v>975</v>
      </c>
      <c r="K71" s="20" t="s">
        <v>976</v>
      </c>
      <c r="L71" s="20" t="s">
        <v>977</v>
      </c>
      <c r="M71" s="22">
        <v>45323.519444444442</v>
      </c>
      <c r="N71" s="20" t="s">
        <v>695</v>
      </c>
      <c r="O71" s="20" t="s">
        <v>698</v>
      </c>
      <c r="P71" s="20">
        <v>41.55124</v>
      </c>
      <c r="Q71" s="20">
        <v>-87.502300000000005</v>
      </c>
      <c r="R71" s="20" t="s">
        <v>844</v>
      </c>
      <c r="S71" s="20" t="s">
        <v>766</v>
      </c>
      <c r="T71" s="20" t="s">
        <v>1340</v>
      </c>
      <c r="W71" s="20">
        <v>1.06</v>
      </c>
      <c r="Y71" s="20">
        <v>1.06</v>
      </c>
      <c r="Z71" s="20" t="s">
        <v>698</v>
      </c>
      <c r="AF71" s="20">
        <v>0</v>
      </c>
      <c r="AG71" s="20" t="s">
        <v>698</v>
      </c>
      <c r="AM71" s="20">
        <v>0</v>
      </c>
      <c r="AN71" s="20" t="s">
        <v>775</v>
      </c>
      <c r="AQ71" s="23">
        <v>45323.519444444442</v>
      </c>
      <c r="AR71" s="20" t="s">
        <v>776</v>
      </c>
      <c r="AS71" s="20" t="s">
        <v>702</v>
      </c>
      <c r="AT71" s="20" t="s">
        <v>1341</v>
      </c>
      <c r="AZ71" s="20" t="s">
        <v>696</v>
      </c>
      <c r="BA71" s="20" t="s">
        <v>753</v>
      </c>
      <c r="BB71" s="23">
        <v>45323.569444444445</v>
      </c>
      <c r="BC71" s="23">
        <v>45323.538194444445</v>
      </c>
      <c r="BD71" s="23">
        <v>45323.543749999997</v>
      </c>
      <c r="BE71" s="23">
        <v>45323.572222222225</v>
      </c>
      <c r="BF71" s="20">
        <v>1390514</v>
      </c>
      <c r="BG71" s="25">
        <v>1.39064313907401E+20</v>
      </c>
      <c r="BH71" s="20" t="s">
        <v>698</v>
      </c>
      <c r="BN71" s="20" t="s">
        <v>777</v>
      </c>
      <c r="BP71" s="23">
        <v>45323.600694444445</v>
      </c>
      <c r="BQ71" s="20" t="s">
        <v>779</v>
      </c>
      <c r="BR71" s="20" t="s">
        <v>849</v>
      </c>
      <c r="BS71" s="20" t="s">
        <v>1342</v>
      </c>
      <c r="BV71" s="20" t="s">
        <v>696</v>
      </c>
      <c r="BW71" s="23">
        <v>45323.544444444444</v>
      </c>
      <c r="BX71" s="20" t="s">
        <v>698</v>
      </c>
      <c r="CA71" s="20">
        <v>0</v>
      </c>
      <c r="CB71" s="20" t="s">
        <v>1343</v>
      </c>
      <c r="CC71" s="20" t="s">
        <v>1344</v>
      </c>
      <c r="CD71" s="20" t="s">
        <v>1345</v>
      </c>
      <c r="CE71" s="20">
        <v>46321</v>
      </c>
      <c r="CF71" s="20" t="s">
        <v>1346</v>
      </c>
      <c r="CG71" s="20" t="s">
        <v>1347</v>
      </c>
      <c r="CH71" s="20" t="s">
        <v>784</v>
      </c>
      <c r="CI71" s="20">
        <v>33.9</v>
      </c>
      <c r="CJ71" s="20" t="s">
        <v>698</v>
      </c>
      <c r="CK71" s="20" t="s">
        <v>785</v>
      </c>
      <c r="CL71" s="20" t="s">
        <v>741</v>
      </c>
      <c r="CM71" s="20" t="s">
        <v>742</v>
      </c>
      <c r="CO71" s="20">
        <v>65</v>
      </c>
      <c r="CP71" s="20" t="s">
        <v>698</v>
      </c>
      <c r="DM71" s="20" t="s">
        <v>743</v>
      </c>
      <c r="DN71" s="20" t="s">
        <v>766</v>
      </c>
      <c r="FJ71" s="20" t="s">
        <v>1348</v>
      </c>
      <c r="FK71" s="20" t="s">
        <v>728</v>
      </c>
      <c r="FL71" s="20" t="s">
        <v>728</v>
      </c>
      <c r="FM71" s="20" t="s">
        <v>719</v>
      </c>
      <c r="FO71" s="20" t="s">
        <v>720</v>
      </c>
      <c r="FR71" s="20" t="s">
        <v>823</v>
      </c>
      <c r="FY71" s="20" t="s">
        <v>698</v>
      </c>
      <c r="GC71" s="20" t="s">
        <v>696</v>
      </c>
      <c r="GD71" s="20" t="s">
        <v>698</v>
      </c>
      <c r="GE71" s="20" t="s">
        <v>698</v>
      </c>
      <c r="GK71" s="20" t="s">
        <v>698</v>
      </c>
      <c r="GT71" s="20" t="s">
        <v>696</v>
      </c>
      <c r="GU71" s="20" t="s">
        <v>696</v>
      </c>
      <c r="GV71" s="20" t="s">
        <v>696</v>
      </c>
      <c r="GW71" s="20" t="s">
        <v>696</v>
      </c>
      <c r="GX71" s="20" t="s">
        <v>696</v>
      </c>
      <c r="GY71" s="20" t="s">
        <v>698</v>
      </c>
      <c r="HF71" s="20">
        <v>0</v>
      </c>
      <c r="HG71" s="20">
        <v>100</v>
      </c>
      <c r="HH71" s="20">
        <v>0</v>
      </c>
      <c r="HI71" s="20">
        <v>215000</v>
      </c>
      <c r="HJ71" s="20">
        <v>0</v>
      </c>
      <c r="HK71" s="20">
        <v>30000</v>
      </c>
      <c r="HL71" s="20" t="s">
        <v>1349</v>
      </c>
      <c r="HM71" s="20">
        <v>245100</v>
      </c>
      <c r="HN71" s="20">
        <v>0</v>
      </c>
      <c r="HO71" s="20">
        <v>0</v>
      </c>
      <c r="HP71" s="20">
        <v>0</v>
      </c>
      <c r="HQ71" s="20">
        <v>0</v>
      </c>
      <c r="HR71" s="20">
        <v>65</v>
      </c>
      <c r="HS71" s="20">
        <v>1140</v>
      </c>
      <c r="HT71" s="20" t="s">
        <v>943</v>
      </c>
      <c r="HV71" s="24">
        <v>25563</v>
      </c>
      <c r="HW71" s="20" t="s">
        <v>698</v>
      </c>
      <c r="HY71" s="20" t="s">
        <v>723</v>
      </c>
      <c r="HZ71" s="20" t="s">
        <v>698</v>
      </c>
      <c r="ID71" s="20" t="s">
        <v>696</v>
      </c>
      <c r="IL71" s="20" t="s">
        <v>698</v>
      </c>
      <c r="IS71" s="20" t="s">
        <v>724</v>
      </c>
      <c r="IT71" s="20" t="s">
        <v>696</v>
      </c>
      <c r="IU71" s="20" t="s">
        <v>696</v>
      </c>
      <c r="IV71" s="20" t="s">
        <v>696</v>
      </c>
      <c r="IW71" s="20" t="s">
        <v>698</v>
      </c>
      <c r="IX71" s="20" t="s">
        <v>698</v>
      </c>
      <c r="IY71" s="20" t="s">
        <v>698</v>
      </c>
      <c r="JD71" s="20" t="s">
        <v>725</v>
      </c>
      <c r="JE71" s="20" t="s">
        <v>1350</v>
      </c>
      <c r="JR71" s="20" t="s">
        <v>698</v>
      </c>
      <c r="JS71" s="20" t="s">
        <v>698</v>
      </c>
      <c r="JX71" s="20" t="s">
        <v>1173</v>
      </c>
      <c r="JY71" s="20" t="s">
        <v>1351</v>
      </c>
      <c r="LY71" s="20" t="s">
        <v>1351</v>
      </c>
      <c r="MC71" s="20" t="s">
        <v>1352</v>
      </c>
      <c r="ME71" s="20" t="s">
        <v>698</v>
      </c>
      <c r="XL71" s="20" t="s">
        <v>1353</v>
      </c>
      <c r="XM71" s="20" t="s">
        <v>1354</v>
      </c>
      <c r="XN71" s="20" t="s">
        <v>999</v>
      </c>
      <c r="XO71" s="20">
        <v>12695489865</v>
      </c>
      <c r="XQ71" s="24">
        <v>45413</v>
      </c>
      <c r="XU71" s="20" t="s">
        <v>1002</v>
      </c>
      <c r="XV71" s="20" t="s">
        <v>1003</v>
      </c>
      <c r="XW71" s="20" t="s">
        <v>1004</v>
      </c>
      <c r="XX71" s="20" t="s">
        <v>1005</v>
      </c>
      <c r="XY71" s="20" t="s">
        <v>1355</v>
      </c>
    </row>
    <row r="72" spans="1:649" ht="13">
      <c r="A72" s="20">
        <v>401</v>
      </c>
      <c r="B72" s="21">
        <v>45338</v>
      </c>
      <c r="C72" s="20">
        <v>2024</v>
      </c>
      <c r="D72" s="20">
        <v>20240041</v>
      </c>
      <c r="E72" s="20">
        <v>39197</v>
      </c>
      <c r="F72" s="20" t="s">
        <v>885</v>
      </c>
      <c r="G72" s="20">
        <v>32099</v>
      </c>
      <c r="H72" s="20" t="s">
        <v>752</v>
      </c>
      <c r="I72" s="20" t="s">
        <v>692</v>
      </c>
      <c r="J72" s="20" t="s">
        <v>693</v>
      </c>
      <c r="K72" s="20" t="s">
        <v>694</v>
      </c>
      <c r="L72" s="20">
        <v>77002</v>
      </c>
      <c r="M72" s="22">
        <v>45308.583333333336</v>
      </c>
      <c r="N72" s="20" t="s">
        <v>695</v>
      </c>
      <c r="O72" s="20" t="s">
        <v>698</v>
      </c>
      <c r="P72" s="20">
        <v>31.071076999999999</v>
      </c>
      <c r="Q72" s="20">
        <v>-103.222161</v>
      </c>
      <c r="R72" s="20" t="s">
        <v>697</v>
      </c>
      <c r="W72" s="20">
        <v>3</v>
      </c>
      <c r="Y72" s="20">
        <v>3</v>
      </c>
      <c r="Z72" s="20" t="s">
        <v>698</v>
      </c>
      <c r="AF72" s="20">
        <v>0</v>
      </c>
      <c r="AG72" s="20" t="s">
        <v>698</v>
      </c>
      <c r="AM72" s="20">
        <v>0</v>
      </c>
      <c r="AN72" s="20" t="s">
        <v>766</v>
      </c>
      <c r="AO72" s="20" t="s">
        <v>950</v>
      </c>
      <c r="AQ72" s="23">
        <v>45308.583333333336</v>
      </c>
      <c r="AR72" s="20" t="s">
        <v>701</v>
      </c>
      <c r="AS72" s="20" t="s">
        <v>702</v>
      </c>
      <c r="AT72" s="20" t="s">
        <v>703</v>
      </c>
      <c r="AU72" s="20" t="s">
        <v>698</v>
      </c>
      <c r="AV72" s="20" t="s">
        <v>1356</v>
      </c>
      <c r="AZ72" s="20" t="s">
        <v>698</v>
      </c>
      <c r="BC72" s="23">
        <v>45308.621527777781</v>
      </c>
      <c r="BD72" s="23">
        <v>45308.625</v>
      </c>
      <c r="BF72" s="20" t="s">
        <v>754</v>
      </c>
      <c r="BH72" s="20" t="s">
        <v>698</v>
      </c>
      <c r="BV72" s="20" t="s">
        <v>696</v>
      </c>
      <c r="BW72" s="23">
        <v>45308.590277777781</v>
      </c>
      <c r="BX72" s="20" t="s">
        <v>698</v>
      </c>
      <c r="CA72" s="20">
        <v>0</v>
      </c>
      <c r="CB72" s="20" t="s">
        <v>1357</v>
      </c>
      <c r="CC72" s="20" t="s">
        <v>1358</v>
      </c>
      <c r="CD72" s="20" t="s">
        <v>694</v>
      </c>
      <c r="CE72" s="20">
        <v>79772</v>
      </c>
      <c r="CF72" s="20" t="s">
        <v>708</v>
      </c>
      <c r="CG72" s="20" t="s">
        <v>1359</v>
      </c>
      <c r="CH72" s="20" t="s">
        <v>710</v>
      </c>
      <c r="CI72" s="20" t="s">
        <v>711</v>
      </c>
      <c r="CJ72" s="20" t="s">
        <v>698</v>
      </c>
      <c r="CK72" s="20" t="s">
        <v>712</v>
      </c>
      <c r="CL72" s="20" t="s">
        <v>713</v>
      </c>
      <c r="CM72" s="20" t="s">
        <v>758</v>
      </c>
      <c r="CP72" s="20" t="s">
        <v>698</v>
      </c>
      <c r="DM72" s="20" t="s">
        <v>715</v>
      </c>
      <c r="DN72" s="20" t="s">
        <v>1170</v>
      </c>
      <c r="EU72" s="20" t="s">
        <v>1171</v>
      </c>
      <c r="EV72" s="20" t="s">
        <v>1172</v>
      </c>
      <c r="FK72" s="20" t="s">
        <v>728</v>
      </c>
      <c r="FL72" s="20" t="s">
        <v>728</v>
      </c>
      <c r="FM72" s="20" t="s">
        <v>962</v>
      </c>
      <c r="FN72" s="20" t="s">
        <v>1171</v>
      </c>
      <c r="FO72" s="20" t="s">
        <v>720</v>
      </c>
      <c r="FR72" s="20" t="s">
        <v>823</v>
      </c>
      <c r="FY72" s="20" t="s">
        <v>698</v>
      </c>
      <c r="GC72" s="20" t="s">
        <v>696</v>
      </c>
      <c r="GD72" s="20" t="s">
        <v>698</v>
      </c>
      <c r="GE72" s="20" t="s">
        <v>696</v>
      </c>
      <c r="GH72" s="20" t="s">
        <v>696</v>
      </c>
      <c r="GK72" s="20" t="s">
        <v>698</v>
      </c>
      <c r="GT72" s="20" t="s">
        <v>698</v>
      </c>
      <c r="GU72" s="20" t="s">
        <v>698</v>
      </c>
      <c r="HF72" s="20">
        <v>0</v>
      </c>
      <c r="HG72" s="20">
        <v>210</v>
      </c>
      <c r="HH72" s="20">
        <v>710</v>
      </c>
      <c r="HI72" s="20">
        <v>0</v>
      </c>
      <c r="HJ72" s="20">
        <v>5510</v>
      </c>
      <c r="HK72" s="20">
        <v>0</v>
      </c>
      <c r="HM72" s="20">
        <v>6430</v>
      </c>
      <c r="HN72" s="20">
        <v>0</v>
      </c>
      <c r="HO72" s="20">
        <v>0</v>
      </c>
      <c r="HP72" s="20">
        <v>0</v>
      </c>
      <c r="HQ72" s="20">
        <v>0</v>
      </c>
      <c r="HR72" s="20">
        <v>80</v>
      </c>
      <c r="HS72" s="20">
        <v>740</v>
      </c>
      <c r="HT72" s="20" t="s">
        <v>750</v>
      </c>
      <c r="HV72" s="24">
        <v>43282</v>
      </c>
      <c r="HW72" s="20" t="s">
        <v>971</v>
      </c>
      <c r="HY72" s="20" t="s">
        <v>723</v>
      </c>
      <c r="HZ72" s="20" t="s">
        <v>698</v>
      </c>
      <c r="IS72" s="20" t="s">
        <v>724</v>
      </c>
      <c r="IT72" s="20" t="s">
        <v>696</v>
      </c>
      <c r="IU72" s="20" t="s">
        <v>696</v>
      </c>
      <c r="IV72" s="20" t="s">
        <v>696</v>
      </c>
      <c r="IW72" s="20" t="s">
        <v>698</v>
      </c>
      <c r="IX72" s="20" t="s">
        <v>698</v>
      </c>
      <c r="IY72" s="20" t="s">
        <v>696</v>
      </c>
      <c r="IZ72" s="20" t="s">
        <v>696</v>
      </c>
      <c r="JA72" s="20" t="s">
        <v>696</v>
      </c>
      <c r="JB72" s="20" t="s">
        <v>698</v>
      </c>
      <c r="JC72" s="20" t="s">
        <v>698</v>
      </c>
      <c r="JD72" s="20" t="s">
        <v>725</v>
      </c>
      <c r="JE72" s="20" t="s">
        <v>726</v>
      </c>
      <c r="JR72" s="20" t="s">
        <v>698</v>
      </c>
      <c r="JS72" s="20" t="s">
        <v>698</v>
      </c>
      <c r="JX72" s="20" t="s">
        <v>789</v>
      </c>
      <c r="JY72" s="20" t="s">
        <v>953</v>
      </c>
      <c r="QB72" s="20" t="s">
        <v>953</v>
      </c>
      <c r="QQ72" s="20" t="s">
        <v>954</v>
      </c>
      <c r="RA72" s="20" t="s">
        <v>696</v>
      </c>
      <c r="XL72" s="20" t="s">
        <v>730</v>
      </c>
      <c r="XM72" s="20" t="s">
        <v>1360</v>
      </c>
      <c r="XN72" s="20" t="s">
        <v>1361</v>
      </c>
      <c r="XO72" s="20" t="s">
        <v>733</v>
      </c>
      <c r="XQ72" s="24">
        <v>45338</v>
      </c>
      <c r="XU72" s="20" t="s">
        <v>730</v>
      </c>
      <c r="XV72" s="20" t="s">
        <v>733</v>
      </c>
      <c r="XW72" s="20" t="s">
        <v>1360</v>
      </c>
      <c r="XX72" s="20" t="s">
        <v>732</v>
      </c>
      <c r="XY72" s="20" t="s">
        <v>1362</v>
      </c>
    </row>
    <row r="73" spans="1:649" ht="13">
      <c r="A73" s="20">
        <v>418</v>
      </c>
      <c r="B73" s="21">
        <v>45317</v>
      </c>
      <c r="C73" s="20">
        <v>2023</v>
      </c>
      <c r="D73" s="20">
        <v>20240023</v>
      </c>
      <c r="E73" s="20">
        <v>39124</v>
      </c>
      <c r="F73" s="20" t="s">
        <v>690</v>
      </c>
      <c r="G73" s="20">
        <v>39596</v>
      </c>
      <c r="H73" s="20" t="s">
        <v>796</v>
      </c>
      <c r="I73" s="20" t="s">
        <v>692</v>
      </c>
      <c r="J73" s="20" t="s">
        <v>693</v>
      </c>
      <c r="K73" s="20" t="s">
        <v>694</v>
      </c>
      <c r="L73" s="20">
        <v>77002</v>
      </c>
      <c r="M73" s="22">
        <v>45287.395833333336</v>
      </c>
      <c r="N73" s="20" t="s">
        <v>695</v>
      </c>
      <c r="O73" s="20" t="s">
        <v>698</v>
      </c>
      <c r="P73" s="20">
        <v>38.784762999999998</v>
      </c>
      <c r="Q73" s="20">
        <v>-89.082492999999999</v>
      </c>
      <c r="R73" s="20" t="s">
        <v>697</v>
      </c>
      <c r="W73" s="20">
        <v>0.9</v>
      </c>
      <c r="Y73" s="20">
        <v>0.9</v>
      </c>
      <c r="Z73" s="20" t="s">
        <v>698</v>
      </c>
      <c r="AF73" s="20">
        <v>0</v>
      </c>
      <c r="AG73" s="20" t="s">
        <v>698</v>
      </c>
      <c r="AM73" s="20">
        <v>0</v>
      </c>
      <c r="AN73" s="20" t="s">
        <v>699</v>
      </c>
      <c r="AP73" s="20" t="s">
        <v>700</v>
      </c>
      <c r="AQ73" s="23">
        <v>45287.395833333336</v>
      </c>
      <c r="AR73" s="20" t="s">
        <v>907</v>
      </c>
      <c r="AS73" s="20" t="s">
        <v>702</v>
      </c>
      <c r="AT73" s="20" t="s">
        <v>703</v>
      </c>
      <c r="AU73" s="20" t="s">
        <v>698</v>
      </c>
      <c r="AV73" s="20" t="s">
        <v>1363</v>
      </c>
      <c r="AZ73" s="20" t="s">
        <v>698</v>
      </c>
      <c r="BC73" s="23">
        <v>45287.395833333336</v>
      </c>
      <c r="BD73" s="23">
        <v>45287.395833333336</v>
      </c>
      <c r="BF73" s="20" t="s">
        <v>754</v>
      </c>
      <c r="BH73" s="20" t="s">
        <v>698</v>
      </c>
      <c r="BV73" s="20" t="s">
        <v>696</v>
      </c>
      <c r="BW73" s="23">
        <v>45287.395833333336</v>
      </c>
      <c r="BX73" s="20" t="s">
        <v>698</v>
      </c>
      <c r="CA73" s="20">
        <v>0</v>
      </c>
      <c r="CB73" s="20" t="s">
        <v>1364</v>
      </c>
      <c r="CC73" s="20" t="s">
        <v>1365</v>
      </c>
      <c r="CD73" s="20" t="s">
        <v>1366</v>
      </c>
      <c r="CE73" s="20">
        <v>62875</v>
      </c>
      <c r="CF73" s="20" t="s">
        <v>1367</v>
      </c>
      <c r="CG73" s="20" t="s">
        <v>1368</v>
      </c>
      <c r="CH73" s="20" t="s">
        <v>710</v>
      </c>
      <c r="CI73" s="20" t="s">
        <v>711</v>
      </c>
      <c r="CJ73" s="20" t="s">
        <v>698</v>
      </c>
      <c r="CK73" s="20" t="s">
        <v>712</v>
      </c>
      <c r="CL73" s="20" t="s">
        <v>910</v>
      </c>
      <c r="CP73" s="20" t="s">
        <v>698</v>
      </c>
      <c r="DM73" s="20" t="s">
        <v>743</v>
      </c>
      <c r="DN73" s="20" t="s">
        <v>911</v>
      </c>
      <c r="EW73" s="20" t="s">
        <v>1156</v>
      </c>
      <c r="EY73" s="20" t="s">
        <v>913</v>
      </c>
      <c r="FD73" s="20">
        <v>46</v>
      </c>
      <c r="FE73" s="20" t="s">
        <v>698</v>
      </c>
      <c r="FF73" s="20">
        <v>2006</v>
      </c>
      <c r="FH73" s="20">
        <v>2021</v>
      </c>
      <c r="FK73" s="20">
        <v>2006</v>
      </c>
      <c r="FL73" s="20">
        <v>2006</v>
      </c>
      <c r="FM73" s="20" t="s">
        <v>719</v>
      </c>
      <c r="FO73" s="20" t="s">
        <v>720</v>
      </c>
      <c r="FR73" s="20" t="s">
        <v>766</v>
      </c>
      <c r="FS73" s="20" t="s">
        <v>1157</v>
      </c>
      <c r="FY73" s="20" t="s">
        <v>698</v>
      </c>
      <c r="GC73" s="20" t="s">
        <v>696</v>
      </c>
      <c r="GD73" s="20" t="s">
        <v>698</v>
      </c>
      <c r="GE73" s="20" t="s">
        <v>696</v>
      </c>
      <c r="GH73" s="20" t="s">
        <v>696</v>
      </c>
      <c r="GK73" s="20" t="s">
        <v>698</v>
      </c>
      <c r="GT73" s="20" t="s">
        <v>698</v>
      </c>
      <c r="GU73" s="20" t="s">
        <v>698</v>
      </c>
      <c r="HF73" s="20">
        <v>0</v>
      </c>
      <c r="HG73" s="20">
        <v>0</v>
      </c>
      <c r="HH73" s="20">
        <v>3000</v>
      </c>
      <c r="HI73" s="20">
        <v>5000</v>
      </c>
      <c r="HJ73" s="20">
        <v>3000</v>
      </c>
      <c r="HK73" s="20">
        <v>0</v>
      </c>
      <c r="HM73" s="20">
        <v>11000</v>
      </c>
      <c r="HN73" s="20">
        <v>0</v>
      </c>
      <c r="HO73" s="20">
        <v>0</v>
      </c>
      <c r="HP73" s="20">
        <v>0</v>
      </c>
      <c r="HQ73" s="20">
        <v>0</v>
      </c>
      <c r="HR73" s="20">
        <v>14.7</v>
      </c>
      <c r="HZ73" s="20" t="s">
        <v>698</v>
      </c>
      <c r="IS73" s="20" t="s">
        <v>724</v>
      </c>
      <c r="IT73" s="20" t="s">
        <v>696</v>
      </c>
      <c r="IU73" s="20" t="s">
        <v>696</v>
      </c>
      <c r="IV73" s="20" t="s">
        <v>696</v>
      </c>
      <c r="IW73" s="20" t="s">
        <v>698</v>
      </c>
      <c r="IX73" s="20" t="s">
        <v>698</v>
      </c>
      <c r="IY73" s="20" t="s">
        <v>698</v>
      </c>
      <c r="JD73" s="20" t="s">
        <v>725</v>
      </c>
      <c r="JE73" s="20" t="s">
        <v>726</v>
      </c>
      <c r="JR73" s="20" t="s">
        <v>698</v>
      </c>
      <c r="JS73" s="20" t="s">
        <v>698</v>
      </c>
      <c r="JX73" s="20" t="s">
        <v>727</v>
      </c>
      <c r="JY73" s="20" t="s">
        <v>728</v>
      </c>
      <c r="RY73" s="20" t="s">
        <v>728</v>
      </c>
      <c r="SA73" s="20" t="s">
        <v>729</v>
      </c>
      <c r="XL73" s="20" t="s">
        <v>730</v>
      </c>
      <c r="XM73" s="20" t="s">
        <v>731</v>
      </c>
      <c r="XN73" s="20" t="s">
        <v>732</v>
      </c>
      <c r="XO73" s="20" t="s">
        <v>733</v>
      </c>
      <c r="XQ73" s="24">
        <v>45317</v>
      </c>
      <c r="XU73" s="20" t="s">
        <v>730</v>
      </c>
      <c r="XV73" s="20" t="s">
        <v>733</v>
      </c>
      <c r="XW73" s="20" t="s">
        <v>731</v>
      </c>
      <c r="XX73" s="20" t="s">
        <v>732</v>
      </c>
      <c r="XY73" s="20" t="s">
        <v>1369</v>
      </c>
    </row>
    <row r="74" spans="1:649" ht="13">
      <c r="A74" s="20">
        <v>422</v>
      </c>
      <c r="B74" s="21">
        <v>45310</v>
      </c>
      <c r="C74" s="20">
        <v>2023</v>
      </c>
      <c r="D74" s="20">
        <v>20240018</v>
      </c>
      <c r="E74" s="20">
        <v>39094</v>
      </c>
      <c r="F74" s="20" t="s">
        <v>885</v>
      </c>
      <c r="G74" s="20">
        <v>32099</v>
      </c>
      <c r="H74" s="20" t="s">
        <v>752</v>
      </c>
      <c r="I74" s="20" t="s">
        <v>692</v>
      </c>
      <c r="J74" s="20" t="s">
        <v>693</v>
      </c>
      <c r="K74" s="20" t="s">
        <v>694</v>
      </c>
      <c r="L74" s="20">
        <v>77002</v>
      </c>
      <c r="M74" s="22">
        <v>45281.204861111109</v>
      </c>
      <c r="N74" s="20" t="s">
        <v>695</v>
      </c>
      <c r="O74" s="20" t="s">
        <v>698</v>
      </c>
      <c r="P74" s="20">
        <v>32.147199999999998</v>
      </c>
      <c r="Q74" s="20">
        <v>-102.82259999999999</v>
      </c>
      <c r="R74" s="20" t="s">
        <v>697</v>
      </c>
      <c r="W74" s="20">
        <v>2.6</v>
      </c>
      <c r="Y74" s="20">
        <v>2.6</v>
      </c>
      <c r="Z74" s="20" t="s">
        <v>698</v>
      </c>
      <c r="AF74" s="20">
        <v>0</v>
      </c>
      <c r="AG74" s="20" t="s">
        <v>698</v>
      </c>
      <c r="AM74" s="20">
        <v>0</v>
      </c>
      <c r="AN74" s="20" t="s">
        <v>766</v>
      </c>
      <c r="AO74" s="20" t="s">
        <v>1370</v>
      </c>
      <c r="AQ74" s="23">
        <v>45281.204861111109</v>
      </c>
      <c r="AR74" s="20" t="s">
        <v>701</v>
      </c>
      <c r="AS74" s="20" t="s">
        <v>702</v>
      </c>
      <c r="AT74" s="20" t="s">
        <v>703</v>
      </c>
      <c r="AU74" s="20" t="s">
        <v>696</v>
      </c>
      <c r="AW74" s="23">
        <v>45281.229166666664</v>
      </c>
      <c r="AX74" s="23">
        <v>45282.304166666669</v>
      </c>
      <c r="AZ74" s="20" t="s">
        <v>696</v>
      </c>
      <c r="BA74" s="20" t="s">
        <v>753</v>
      </c>
      <c r="BB74" s="23">
        <v>45281.3</v>
      </c>
      <c r="BC74" s="23">
        <v>45281.229166666664</v>
      </c>
      <c r="BD74" s="23">
        <v>45281.270833333336</v>
      </c>
      <c r="BF74" s="20" t="s">
        <v>754</v>
      </c>
      <c r="BH74" s="20" t="s">
        <v>698</v>
      </c>
      <c r="BV74" s="20" t="s">
        <v>696</v>
      </c>
      <c r="BW74" s="23">
        <v>45281.211805555555</v>
      </c>
      <c r="BX74" s="20" t="s">
        <v>698</v>
      </c>
      <c r="CA74" s="20">
        <v>0</v>
      </c>
      <c r="CB74" s="20" t="s">
        <v>1371</v>
      </c>
      <c r="CC74" s="20" t="s">
        <v>1372</v>
      </c>
      <c r="CD74" s="20" t="s">
        <v>694</v>
      </c>
      <c r="CE74" s="20">
        <v>79714</v>
      </c>
      <c r="CF74" s="20" t="s">
        <v>1373</v>
      </c>
      <c r="CG74" s="20" t="s">
        <v>1373</v>
      </c>
      <c r="CH74" s="20" t="s">
        <v>784</v>
      </c>
      <c r="CI74" s="20">
        <v>0</v>
      </c>
      <c r="CJ74" s="20" t="s">
        <v>698</v>
      </c>
      <c r="CK74" s="20" t="s">
        <v>712</v>
      </c>
      <c r="CL74" s="20" t="s">
        <v>713</v>
      </c>
      <c r="CM74" s="20" t="s">
        <v>758</v>
      </c>
      <c r="CP74" s="20" t="s">
        <v>698</v>
      </c>
      <c r="DM74" s="20" t="s">
        <v>743</v>
      </c>
      <c r="DN74" s="20" t="s">
        <v>1170</v>
      </c>
      <c r="EU74" s="20" t="s">
        <v>1171</v>
      </c>
      <c r="EV74" s="20" t="s">
        <v>1172</v>
      </c>
      <c r="FK74" s="20">
        <v>2016</v>
      </c>
      <c r="FL74" s="20" t="s">
        <v>728</v>
      </c>
      <c r="FM74" s="20" t="s">
        <v>962</v>
      </c>
      <c r="FN74" s="20" t="s">
        <v>1171</v>
      </c>
      <c r="FO74" s="20" t="s">
        <v>720</v>
      </c>
      <c r="FR74" s="20" t="s">
        <v>823</v>
      </c>
      <c r="FY74" s="20" t="s">
        <v>698</v>
      </c>
      <c r="GC74" s="20" t="s">
        <v>696</v>
      </c>
      <c r="GD74" s="20" t="s">
        <v>698</v>
      </c>
      <c r="GE74" s="20" t="s">
        <v>696</v>
      </c>
      <c r="GH74" s="20" t="s">
        <v>696</v>
      </c>
      <c r="GK74" s="20" t="s">
        <v>698</v>
      </c>
      <c r="GT74" s="20" t="s">
        <v>696</v>
      </c>
      <c r="GU74" s="20" t="s">
        <v>696</v>
      </c>
      <c r="HD74" s="20" t="s">
        <v>696</v>
      </c>
      <c r="HE74" s="20" t="s">
        <v>696</v>
      </c>
      <c r="HF74" s="20">
        <v>0</v>
      </c>
      <c r="HG74" s="20">
        <v>182</v>
      </c>
      <c r="HH74" s="20">
        <v>300</v>
      </c>
      <c r="HI74" s="20">
        <v>2250</v>
      </c>
      <c r="HJ74" s="20">
        <v>3600</v>
      </c>
      <c r="HK74" s="20">
        <v>0</v>
      </c>
      <c r="HM74" s="20">
        <v>6332</v>
      </c>
      <c r="HN74" s="20">
        <v>0</v>
      </c>
      <c r="HO74" s="20">
        <v>0</v>
      </c>
      <c r="HP74" s="20">
        <v>0</v>
      </c>
      <c r="HQ74" s="20">
        <v>0</v>
      </c>
      <c r="HR74" s="20">
        <v>1539</v>
      </c>
      <c r="HS74" s="20">
        <v>1480</v>
      </c>
      <c r="HT74" s="20" t="s">
        <v>943</v>
      </c>
      <c r="HV74" s="24">
        <v>42347</v>
      </c>
      <c r="HW74" s="20" t="s">
        <v>698</v>
      </c>
      <c r="HY74" s="20" t="s">
        <v>1214</v>
      </c>
      <c r="HZ74" s="20" t="s">
        <v>698</v>
      </c>
      <c r="IS74" s="20" t="s">
        <v>724</v>
      </c>
      <c r="IT74" s="20" t="s">
        <v>696</v>
      </c>
      <c r="IU74" s="20" t="s">
        <v>696</v>
      </c>
      <c r="IV74" s="20" t="s">
        <v>696</v>
      </c>
      <c r="IW74" s="20" t="s">
        <v>696</v>
      </c>
      <c r="IX74" s="20" t="s">
        <v>696</v>
      </c>
      <c r="IY74" s="20" t="s">
        <v>696</v>
      </c>
      <c r="IZ74" s="20" t="s">
        <v>696</v>
      </c>
      <c r="JA74" s="20" t="s">
        <v>696</v>
      </c>
      <c r="JB74" s="20" t="s">
        <v>696</v>
      </c>
      <c r="JC74" s="20" t="s">
        <v>698</v>
      </c>
      <c r="JD74" s="20" t="s">
        <v>725</v>
      </c>
      <c r="JE74" s="20" t="s">
        <v>726</v>
      </c>
      <c r="JR74" s="20" t="s">
        <v>698</v>
      </c>
      <c r="JS74" s="20" t="s">
        <v>698</v>
      </c>
      <c r="JX74" s="20" t="s">
        <v>789</v>
      </c>
      <c r="JY74" s="20" t="s">
        <v>953</v>
      </c>
      <c r="QB74" s="20" t="s">
        <v>953</v>
      </c>
      <c r="QQ74" s="20" t="s">
        <v>1374</v>
      </c>
      <c r="QW74" s="20" t="s">
        <v>696</v>
      </c>
      <c r="XF74" s="20" t="s">
        <v>696</v>
      </c>
      <c r="XL74" s="20" t="s">
        <v>730</v>
      </c>
      <c r="XM74" s="20" t="s">
        <v>731</v>
      </c>
      <c r="XN74" s="20" t="s">
        <v>732</v>
      </c>
      <c r="XO74" s="20" t="s">
        <v>733</v>
      </c>
      <c r="XQ74" s="24">
        <v>45310</v>
      </c>
      <c r="XU74" s="20" t="s">
        <v>730</v>
      </c>
      <c r="XV74" s="20" t="s">
        <v>733</v>
      </c>
      <c r="XW74" s="20" t="s">
        <v>731</v>
      </c>
      <c r="XX74" s="20" t="s">
        <v>732</v>
      </c>
      <c r="XY74" s="20" t="s">
        <v>1375</v>
      </c>
    </row>
    <row r="75" spans="1:649" ht="13">
      <c r="A75" s="20">
        <v>425</v>
      </c>
      <c r="B75" s="21">
        <v>45308</v>
      </c>
      <c r="C75" s="20">
        <v>2023</v>
      </c>
      <c r="D75" s="20">
        <v>20240015</v>
      </c>
      <c r="E75" s="20">
        <v>40513</v>
      </c>
      <c r="F75" s="20" t="s">
        <v>825</v>
      </c>
      <c r="G75" s="20">
        <v>32099</v>
      </c>
      <c r="H75" s="20" t="s">
        <v>752</v>
      </c>
      <c r="I75" s="20" t="s">
        <v>692</v>
      </c>
      <c r="J75" s="20" t="s">
        <v>693</v>
      </c>
      <c r="K75" s="20" t="s">
        <v>694</v>
      </c>
      <c r="L75" s="20">
        <v>77002</v>
      </c>
      <c r="M75" s="22">
        <v>45278.458333333336</v>
      </c>
      <c r="N75" s="20" t="s">
        <v>695</v>
      </c>
      <c r="O75" s="20" t="s">
        <v>698</v>
      </c>
      <c r="P75" s="20">
        <v>31.968299999999999</v>
      </c>
      <c r="Q75" s="20">
        <v>-102.0197</v>
      </c>
      <c r="R75" s="20" t="s">
        <v>697</v>
      </c>
      <c r="W75" s="20">
        <v>2</v>
      </c>
      <c r="Y75" s="20">
        <v>2</v>
      </c>
      <c r="Z75" s="20" t="s">
        <v>698</v>
      </c>
      <c r="AF75" s="20">
        <v>0</v>
      </c>
      <c r="AG75" s="20" t="s">
        <v>698</v>
      </c>
      <c r="AM75" s="20">
        <v>0</v>
      </c>
      <c r="AN75" s="20" t="s">
        <v>775</v>
      </c>
      <c r="AQ75" s="23">
        <v>45278.458333333336</v>
      </c>
      <c r="AR75" s="20" t="s">
        <v>776</v>
      </c>
      <c r="AS75" s="20" t="s">
        <v>702</v>
      </c>
      <c r="AT75" s="20" t="s">
        <v>703</v>
      </c>
      <c r="AU75" s="20" t="s">
        <v>696</v>
      </c>
      <c r="AW75" s="23">
        <v>45278.458333333336</v>
      </c>
      <c r="AX75" s="23">
        <v>45278.770833333336</v>
      </c>
      <c r="AZ75" s="20" t="s">
        <v>696</v>
      </c>
      <c r="BA75" s="20" t="s">
        <v>753</v>
      </c>
      <c r="BB75" s="23">
        <v>45278.572916666664</v>
      </c>
      <c r="BC75" s="23">
        <v>45278.545138888891</v>
      </c>
      <c r="BD75" s="23">
        <v>45278.545138888891</v>
      </c>
      <c r="BF75" s="20" t="s">
        <v>754</v>
      </c>
      <c r="BH75" s="20" t="s">
        <v>698</v>
      </c>
      <c r="BN75" s="20" t="s">
        <v>777</v>
      </c>
      <c r="BP75" s="23">
        <v>45278.583333333336</v>
      </c>
      <c r="BQ75" s="20" t="s">
        <v>798</v>
      </c>
      <c r="BR75" s="20" t="s">
        <v>777</v>
      </c>
      <c r="BT75" s="23">
        <v>45278.583333333336</v>
      </c>
      <c r="BU75" s="20" t="s">
        <v>779</v>
      </c>
      <c r="BV75" s="20" t="s">
        <v>696</v>
      </c>
      <c r="BW75" s="23">
        <v>45278.565972222219</v>
      </c>
      <c r="BX75" s="20" t="s">
        <v>698</v>
      </c>
      <c r="CA75" s="20">
        <v>0</v>
      </c>
      <c r="CB75" s="20" t="s">
        <v>1376</v>
      </c>
      <c r="CC75" s="20" t="s">
        <v>1376</v>
      </c>
      <c r="CD75" s="20" t="s">
        <v>694</v>
      </c>
      <c r="CE75" s="20">
        <v>79706</v>
      </c>
      <c r="CF75" s="20" t="s">
        <v>757</v>
      </c>
      <c r="CG75" s="20" t="s">
        <v>757</v>
      </c>
      <c r="CH75" s="20" t="s">
        <v>784</v>
      </c>
      <c r="CI75" s="20">
        <v>94</v>
      </c>
      <c r="CJ75" s="20" t="s">
        <v>698</v>
      </c>
      <c r="CK75" s="20" t="s">
        <v>785</v>
      </c>
      <c r="CL75" s="20" t="s">
        <v>741</v>
      </c>
      <c r="CM75" s="20" t="s">
        <v>742</v>
      </c>
      <c r="CO75" s="20">
        <v>114</v>
      </c>
      <c r="CP75" s="20" t="s">
        <v>698</v>
      </c>
      <c r="DM75" s="20" t="s">
        <v>715</v>
      </c>
      <c r="DN75" s="20" t="s">
        <v>744</v>
      </c>
      <c r="DO75" s="20" t="s">
        <v>745</v>
      </c>
      <c r="DP75" s="20" t="s">
        <v>698</v>
      </c>
      <c r="DQ75" s="20">
        <v>10</v>
      </c>
      <c r="DR75" s="20">
        <v>0.25</v>
      </c>
      <c r="DS75" s="20">
        <v>42000</v>
      </c>
      <c r="DT75" s="20" t="s">
        <v>985</v>
      </c>
      <c r="DU75" s="20" t="s">
        <v>747</v>
      </c>
      <c r="DW75" s="20" t="s">
        <v>1377</v>
      </c>
      <c r="DX75" s="20" t="s">
        <v>748</v>
      </c>
      <c r="DZ75" s="20" t="s">
        <v>698</v>
      </c>
      <c r="FK75" s="20">
        <v>1998</v>
      </c>
      <c r="FL75" s="20" t="s">
        <v>728</v>
      </c>
      <c r="FM75" s="20" t="s">
        <v>719</v>
      </c>
      <c r="FO75" s="20" t="s">
        <v>720</v>
      </c>
      <c r="FR75" s="20" t="s">
        <v>749</v>
      </c>
      <c r="FY75" s="20" t="s">
        <v>698</v>
      </c>
      <c r="GC75" s="20" t="s">
        <v>696</v>
      </c>
      <c r="GD75" s="20" t="s">
        <v>698</v>
      </c>
      <c r="GE75" s="20" t="s">
        <v>696</v>
      </c>
      <c r="GH75" s="20" t="s">
        <v>696</v>
      </c>
      <c r="GK75" s="20" t="s">
        <v>698</v>
      </c>
      <c r="GT75" s="20" t="s">
        <v>696</v>
      </c>
      <c r="GU75" s="20" t="s">
        <v>698</v>
      </c>
      <c r="HF75" s="20">
        <v>0</v>
      </c>
      <c r="HG75" s="20">
        <v>160</v>
      </c>
      <c r="HH75" s="20">
        <v>3500</v>
      </c>
      <c r="HI75" s="20">
        <v>17000</v>
      </c>
      <c r="HJ75" s="20">
        <v>7500</v>
      </c>
      <c r="HK75" s="20">
        <v>0</v>
      </c>
      <c r="HM75" s="20">
        <v>28160</v>
      </c>
      <c r="HN75" s="20">
        <v>0</v>
      </c>
      <c r="HO75" s="20">
        <v>0</v>
      </c>
      <c r="HP75" s="20">
        <v>0</v>
      </c>
      <c r="HQ75" s="20">
        <v>0</v>
      </c>
      <c r="HR75" s="20">
        <v>246</v>
      </c>
      <c r="HS75" s="20">
        <v>1329</v>
      </c>
      <c r="HT75" s="20" t="s">
        <v>787</v>
      </c>
      <c r="HV75" s="24">
        <v>43691</v>
      </c>
      <c r="HW75" s="20" t="s">
        <v>698</v>
      </c>
      <c r="HY75" s="20" t="s">
        <v>723</v>
      </c>
      <c r="HZ75" s="20" t="s">
        <v>698</v>
      </c>
      <c r="IC75" s="20">
        <v>23760</v>
      </c>
      <c r="ID75" s="20" t="s">
        <v>696</v>
      </c>
      <c r="IL75" s="20" t="s">
        <v>698</v>
      </c>
      <c r="IS75" s="20" t="s">
        <v>724</v>
      </c>
      <c r="IT75" s="20" t="s">
        <v>696</v>
      </c>
      <c r="IU75" s="20" t="s">
        <v>696</v>
      </c>
      <c r="IV75" s="20" t="s">
        <v>696</v>
      </c>
      <c r="IW75" s="20" t="s">
        <v>698</v>
      </c>
      <c r="IX75" s="20" t="s">
        <v>698</v>
      </c>
      <c r="IY75" s="20" t="s">
        <v>698</v>
      </c>
      <c r="JD75" s="20" t="s">
        <v>725</v>
      </c>
      <c r="JE75" s="20" t="s">
        <v>726</v>
      </c>
      <c r="JR75" s="20" t="s">
        <v>698</v>
      </c>
      <c r="JS75" s="20" t="s">
        <v>698</v>
      </c>
      <c r="JX75" s="20" t="s">
        <v>833</v>
      </c>
      <c r="JY75" s="20" t="s">
        <v>834</v>
      </c>
      <c r="JZ75" s="20" t="s">
        <v>834</v>
      </c>
      <c r="LD75" s="20" t="s">
        <v>835</v>
      </c>
      <c r="LH75" s="20" t="s">
        <v>696</v>
      </c>
      <c r="LM75" s="20" t="s">
        <v>696</v>
      </c>
      <c r="LP75" s="20" t="s">
        <v>696</v>
      </c>
      <c r="LU75" s="20" t="s">
        <v>698</v>
      </c>
      <c r="LV75" s="20" t="s">
        <v>698</v>
      </c>
      <c r="LW75" s="20" t="s">
        <v>696</v>
      </c>
      <c r="LX75" s="20" t="s">
        <v>696</v>
      </c>
      <c r="SC75" s="20" t="s">
        <v>696</v>
      </c>
      <c r="SD75" s="20" t="s">
        <v>696</v>
      </c>
      <c r="SG75" s="20" t="s">
        <v>696</v>
      </c>
      <c r="SK75" s="20">
        <v>2019</v>
      </c>
      <c r="SL75" s="20" t="s">
        <v>863</v>
      </c>
      <c r="SM75" s="20" t="s">
        <v>864</v>
      </c>
      <c r="SO75" s="20" t="s">
        <v>933</v>
      </c>
      <c r="SQ75" s="20">
        <v>2013</v>
      </c>
      <c r="SR75" s="20" t="s">
        <v>863</v>
      </c>
      <c r="SS75" s="20" t="s">
        <v>864</v>
      </c>
      <c r="SU75" s="20" t="s">
        <v>933</v>
      </c>
      <c r="TQ75" s="20">
        <v>2019</v>
      </c>
      <c r="TR75" s="20" t="s">
        <v>863</v>
      </c>
      <c r="TS75" s="20" t="s">
        <v>933</v>
      </c>
      <c r="TU75" s="20" t="s">
        <v>934</v>
      </c>
      <c r="TV75" s="20">
        <v>2013</v>
      </c>
      <c r="TW75" s="20" t="s">
        <v>863</v>
      </c>
      <c r="TX75" s="20" t="s">
        <v>933</v>
      </c>
      <c r="TZ75" s="20" t="s">
        <v>934</v>
      </c>
      <c r="UO75" s="20" t="s">
        <v>698</v>
      </c>
      <c r="UR75" s="20" t="s">
        <v>698</v>
      </c>
      <c r="UZ75" s="20" t="s">
        <v>698</v>
      </c>
      <c r="XL75" s="20" t="s">
        <v>730</v>
      </c>
      <c r="XM75" s="20" t="s">
        <v>731</v>
      </c>
      <c r="XN75" s="20" t="s">
        <v>732</v>
      </c>
      <c r="XO75" s="20" t="s">
        <v>733</v>
      </c>
      <c r="XQ75" s="24">
        <v>45705</v>
      </c>
      <c r="XU75" s="20" t="s">
        <v>730</v>
      </c>
      <c r="XV75" s="20" t="s">
        <v>733</v>
      </c>
      <c r="XW75" s="20" t="s">
        <v>731</v>
      </c>
      <c r="XX75" s="20" t="s">
        <v>732</v>
      </c>
      <c r="XY75" s="20" t="s">
        <v>1378</v>
      </c>
    </row>
    <row r="76" spans="1:649" ht="13">
      <c r="A76" s="20">
        <v>427</v>
      </c>
      <c r="B76" s="21">
        <v>45303</v>
      </c>
      <c r="C76" s="20">
        <v>2023</v>
      </c>
      <c r="D76" s="20">
        <v>20240013</v>
      </c>
      <c r="E76" s="20">
        <v>39420</v>
      </c>
      <c r="F76" s="20" t="s">
        <v>825</v>
      </c>
      <c r="G76" s="20">
        <v>39596</v>
      </c>
      <c r="H76" s="20" t="s">
        <v>796</v>
      </c>
      <c r="I76" s="20" t="s">
        <v>692</v>
      </c>
      <c r="J76" s="20" t="s">
        <v>693</v>
      </c>
      <c r="K76" s="20" t="s">
        <v>694</v>
      </c>
      <c r="L76" s="20">
        <v>77002</v>
      </c>
      <c r="M76" s="22">
        <v>45275.21875</v>
      </c>
      <c r="N76" s="20" t="s">
        <v>695</v>
      </c>
      <c r="O76" s="20" t="s">
        <v>698</v>
      </c>
      <c r="P76" s="20">
        <v>32.531823000000003</v>
      </c>
      <c r="Q76" s="20">
        <v>-100.83005</v>
      </c>
      <c r="R76" s="20" t="s">
        <v>697</v>
      </c>
      <c r="W76" s="20">
        <v>181</v>
      </c>
      <c r="Y76" s="20">
        <v>151</v>
      </c>
      <c r="Z76" s="20" t="s">
        <v>698</v>
      </c>
      <c r="AF76" s="20">
        <v>0</v>
      </c>
      <c r="AG76" s="20" t="s">
        <v>698</v>
      </c>
      <c r="AM76" s="20">
        <v>0</v>
      </c>
      <c r="AN76" s="20" t="s">
        <v>699</v>
      </c>
      <c r="AP76" s="20" t="s">
        <v>700</v>
      </c>
      <c r="AQ76" s="23">
        <v>45275.21875</v>
      </c>
      <c r="AR76" s="20" t="s">
        <v>701</v>
      </c>
      <c r="AS76" s="20" t="s">
        <v>702</v>
      </c>
      <c r="AT76" s="20" t="s">
        <v>703</v>
      </c>
      <c r="AU76" s="20" t="s">
        <v>696</v>
      </c>
      <c r="AW76" s="23">
        <v>45275.220138888886</v>
      </c>
      <c r="AX76" s="23">
        <v>45276.696527777778</v>
      </c>
      <c r="AZ76" s="20" t="s">
        <v>696</v>
      </c>
      <c r="BA76" s="20" t="s">
        <v>753</v>
      </c>
      <c r="BB76" s="23">
        <v>45275.287499999999</v>
      </c>
      <c r="BC76" s="23">
        <v>45275.21875</v>
      </c>
      <c r="BD76" s="23">
        <v>45275.21875</v>
      </c>
      <c r="BE76" s="23">
        <v>45275.280555555553</v>
      </c>
      <c r="BF76" s="20">
        <v>1386737</v>
      </c>
      <c r="BG76" s="20">
        <v>1386884</v>
      </c>
      <c r="BH76" s="20" t="s">
        <v>698</v>
      </c>
      <c r="BV76" s="20" t="s">
        <v>696</v>
      </c>
      <c r="BW76" s="23">
        <v>45275.222222222219</v>
      </c>
      <c r="BX76" s="20" t="s">
        <v>696</v>
      </c>
      <c r="BY76" s="23">
        <v>45275.263888888891</v>
      </c>
      <c r="BZ76" s="23">
        <v>45275.625</v>
      </c>
      <c r="CA76" s="20">
        <v>0</v>
      </c>
      <c r="CB76" s="20" t="s">
        <v>1318</v>
      </c>
      <c r="CC76" s="20" t="s">
        <v>1379</v>
      </c>
      <c r="CD76" s="20" t="s">
        <v>694</v>
      </c>
      <c r="CE76" s="20">
        <v>79526</v>
      </c>
      <c r="CF76" s="20" t="s">
        <v>1203</v>
      </c>
      <c r="CG76" s="20" t="s">
        <v>1204</v>
      </c>
      <c r="CH76" s="20" t="s">
        <v>710</v>
      </c>
      <c r="CI76" s="20" t="s">
        <v>711</v>
      </c>
      <c r="CJ76" s="20" t="s">
        <v>698</v>
      </c>
      <c r="CK76" s="20" t="s">
        <v>891</v>
      </c>
      <c r="CL76" s="20" t="s">
        <v>741</v>
      </c>
      <c r="CM76" s="20" t="s">
        <v>742</v>
      </c>
      <c r="CO76" s="20">
        <v>48</v>
      </c>
      <c r="CP76" s="20" t="s">
        <v>698</v>
      </c>
      <c r="DM76" s="20" t="s">
        <v>743</v>
      </c>
      <c r="DN76" s="20" t="s">
        <v>744</v>
      </c>
      <c r="DO76" s="20" t="s">
        <v>745</v>
      </c>
      <c r="DP76" s="20" t="s">
        <v>698</v>
      </c>
      <c r="DQ76" s="20">
        <v>20</v>
      </c>
      <c r="DR76" s="20">
        <v>0.375</v>
      </c>
      <c r="DS76" s="20">
        <v>65000</v>
      </c>
      <c r="DT76" s="20" t="s">
        <v>1103</v>
      </c>
      <c r="DU76" s="20" t="s">
        <v>747</v>
      </c>
      <c r="DW76" s="20" t="s">
        <v>1380</v>
      </c>
      <c r="DX76" s="20" t="s">
        <v>748</v>
      </c>
      <c r="DZ76" s="20" t="s">
        <v>698</v>
      </c>
      <c r="FK76" s="20">
        <v>2015</v>
      </c>
      <c r="FL76" s="20">
        <v>2015</v>
      </c>
      <c r="FM76" s="20" t="s">
        <v>719</v>
      </c>
      <c r="FO76" s="20" t="s">
        <v>720</v>
      </c>
      <c r="FR76" s="20" t="s">
        <v>749</v>
      </c>
      <c r="FY76" s="20" t="s">
        <v>698</v>
      </c>
      <c r="GC76" s="20" t="s">
        <v>696</v>
      </c>
      <c r="GD76" s="20" t="s">
        <v>698</v>
      </c>
      <c r="GE76" s="20" t="s">
        <v>696</v>
      </c>
      <c r="GH76" s="20" t="s">
        <v>696</v>
      </c>
      <c r="GK76" s="20" t="s">
        <v>696</v>
      </c>
      <c r="GM76" s="20" t="s">
        <v>696</v>
      </c>
      <c r="GR76" s="20">
        <v>30</v>
      </c>
      <c r="GS76" s="20" t="s">
        <v>1381</v>
      </c>
      <c r="GT76" s="20" t="s">
        <v>698</v>
      </c>
      <c r="GU76" s="20" t="s">
        <v>698</v>
      </c>
      <c r="HF76" s="20">
        <v>270000</v>
      </c>
      <c r="HG76" s="20">
        <v>10786</v>
      </c>
      <c r="HH76" s="20">
        <v>165000</v>
      </c>
      <c r="HI76" s="20">
        <v>200000</v>
      </c>
      <c r="HJ76" s="20">
        <v>250000</v>
      </c>
      <c r="HK76" s="20">
        <v>0</v>
      </c>
      <c r="HM76" s="20">
        <v>895786</v>
      </c>
      <c r="HN76" s="20">
        <v>0</v>
      </c>
      <c r="HO76" s="20">
        <v>0</v>
      </c>
      <c r="HP76" s="20">
        <v>0</v>
      </c>
      <c r="HQ76" s="20">
        <v>0</v>
      </c>
      <c r="HR76" s="20">
        <v>60</v>
      </c>
      <c r="HS76" s="20">
        <v>275</v>
      </c>
      <c r="HT76" s="20" t="s">
        <v>750</v>
      </c>
      <c r="HV76" s="24">
        <v>42115</v>
      </c>
      <c r="HW76" s="20" t="s">
        <v>698</v>
      </c>
      <c r="HY76" s="20" t="s">
        <v>723</v>
      </c>
      <c r="HZ76" s="20" t="s">
        <v>698</v>
      </c>
      <c r="IS76" s="20" t="s">
        <v>724</v>
      </c>
      <c r="IT76" s="20" t="s">
        <v>696</v>
      </c>
      <c r="IU76" s="20" t="s">
        <v>696</v>
      </c>
      <c r="IV76" s="20" t="s">
        <v>696</v>
      </c>
      <c r="IW76" s="20" t="s">
        <v>698</v>
      </c>
      <c r="IX76" s="20" t="s">
        <v>698</v>
      </c>
      <c r="IY76" s="20" t="s">
        <v>696</v>
      </c>
      <c r="IZ76" s="20" t="s">
        <v>696</v>
      </c>
      <c r="JA76" s="20" t="s">
        <v>696</v>
      </c>
      <c r="JB76" s="20" t="s">
        <v>698</v>
      </c>
      <c r="JC76" s="20" t="s">
        <v>698</v>
      </c>
      <c r="JD76" s="20" t="s">
        <v>859</v>
      </c>
      <c r="JF76" s="20" t="s">
        <v>696</v>
      </c>
      <c r="JI76" s="20" t="s">
        <v>696</v>
      </c>
      <c r="JJ76" s="20" t="s">
        <v>696</v>
      </c>
      <c r="JR76" s="20" t="s">
        <v>696</v>
      </c>
      <c r="JS76" s="20" t="s">
        <v>698</v>
      </c>
      <c r="JT76" s="20">
        <v>1</v>
      </c>
      <c r="JU76" s="20">
        <v>0</v>
      </c>
      <c r="JX76" s="20" t="s">
        <v>833</v>
      </c>
      <c r="JY76" s="20" t="s">
        <v>834</v>
      </c>
      <c r="JZ76" s="20" t="s">
        <v>834</v>
      </c>
      <c r="LD76" s="20" t="s">
        <v>835</v>
      </c>
      <c r="LH76" s="20" t="s">
        <v>696</v>
      </c>
      <c r="LM76" s="20" t="s">
        <v>696</v>
      </c>
      <c r="LP76" s="20" t="s">
        <v>696</v>
      </c>
      <c r="LR76" s="20" t="s">
        <v>696</v>
      </c>
      <c r="LU76" s="20" t="s">
        <v>698</v>
      </c>
      <c r="LV76" s="20" t="s">
        <v>698</v>
      </c>
      <c r="LW76" s="20" t="s">
        <v>838</v>
      </c>
      <c r="LX76" s="20" t="s">
        <v>838</v>
      </c>
      <c r="SC76" s="20" t="s">
        <v>698</v>
      </c>
      <c r="UO76" s="20" t="s">
        <v>696</v>
      </c>
      <c r="UP76" s="20">
        <v>2018</v>
      </c>
      <c r="UQ76" s="20">
        <v>1171</v>
      </c>
      <c r="UR76" s="20" t="s">
        <v>698</v>
      </c>
      <c r="UZ76" s="20" t="s">
        <v>698</v>
      </c>
      <c r="XL76" s="20" t="s">
        <v>730</v>
      </c>
      <c r="XM76" s="20" t="s">
        <v>731</v>
      </c>
      <c r="XN76" s="20" t="s">
        <v>732</v>
      </c>
      <c r="XO76" s="20" t="s">
        <v>733</v>
      </c>
      <c r="XQ76" s="24">
        <v>45392</v>
      </c>
      <c r="XU76" s="20" t="s">
        <v>1297</v>
      </c>
      <c r="XV76" s="20" t="s">
        <v>733</v>
      </c>
      <c r="XW76" s="20" t="s">
        <v>731</v>
      </c>
      <c r="XX76" s="20" t="s">
        <v>732</v>
      </c>
      <c r="XY76" s="20" t="s">
        <v>1382</v>
      </c>
    </row>
    <row r="77" spans="1:649" ht="13">
      <c r="A77" s="20">
        <v>428</v>
      </c>
      <c r="B77" s="21">
        <v>45302</v>
      </c>
      <c r="C77" s="20">
        <v>2023</v>
      </c>
      <c r="D77" s="20">
        <v>20240012</v>
      </c>
      <c r="E77" s="20">
        <v>39385</v>
      </c>
      <c r="F77" s="20" t="s">
        <v>825</v>
      </c>
      <c r="G77" s="20">
        <v>31888</v>
      </c>
      <c r="H77" s="20" t="s">
        <v>1126</v>
      </c>
      <c r="I77" s="20" t="s">
        <v>692</v>
      </c>
      <c r="J77" s="20" t="s">
        <v>693</v>
      </c>
      <c r="K77" s="20" t="s">
        <v>694</v>
      </c>
      <c r="L77" s="20">
        <v>77002</v>
      </c>
      <c r="M77" s="22">
        <v>45273.371527777781</v>
      </c>
      <c r="N77" s="20" t="s">
        <v>695</v>
      </c>
      <c r="O77" s="20" t="s">
        <v>696</v>
      </c>
      <c r="P77" s="20">
        <v>32.033056000000002</v>
      </c>
      <c r="Q77" s="20">
        <v>-102.508889</v>
      </c>
      <c r="R77" s="20" t="s">
        <v>697</v>
      </c>
      <c r="W77" s="20">
        <v>15</v>
      </c>
      <c r="Y77" s="20">
        <v>15</v>
      </c>
      <c r="Z77" s="20" t="s">
        <v>698</v>
      </c>
      <c r="AF77" s="20">
        <v>0</v>
      </c>
      <c r="AG77" s="20" t="s">
        <v>698</v>
      </c>
      <c r="AM77" s="20">
        <v>0</v>
      </c>
      <c r="AN77" s="20" t="s">
        <v>699</v>
      </c>
      <c r="AP77" s="20" t="s">
        <v>1013</v>
      </c>
      <c r="AQ77" s="23">
        <v>45273.371527777781</v>
      </c>
      <c r="AR77" s="20" t="s">
        <v>701</v>
      </c>
      <c r="AS77" s="20" t="s">
        <v>702</v>
      </c>
      <c r="AT77" s="20" t="s">
        <v>703</v>
      </c>
      <c r="AU77" s="20" t="s">
        <v>698</v>
      </c>
      <c r="AV77" s="20" t="s">
        <v>1383</v>
      </c>
      <c r="AZ77" s="20" t="s">
        <v>698</v>
      </c>
      <c r="BC77" s="23">
        <v>45273.371527777781</v>
      </c>
      <c r="BD77" s="23">
        <v>45273.371527777781</v>
      </c>
      <c r="BF77" s="20" t="s">
        <v>754</v>
      </c>
      <c r="BH77" s="20" t="s">
        <v>698</v>
      </c>
      <c r="BV77" s="20" t="s">
        <v>696</v>
      </c>
      <c r="BW77" s="23">
        <v>45273.371527777781</v>
      </c>
      <c r="BX77" s="20" t="s">
        <v>698</v>
      </c>
      <c r="CA77" s="20">
        <v>0</v>
      </c>
      <c r="CB77" s="20" t="s">
        <v>1384</v>
      </c>
      <c r="CC77" s="20" t="s">
        <v>1385</v>
      </c>
      <c r="CD77" s="20" t="s">
        <v>694</v>
      </c>
      <c r="CE77" s="20">
        <v>79741</v>
      </c>
      <c r="CF77" s="20" t="s">
        <v>708</v>
      </c>
      <c r="CG77" s="20" t="s">
        <v>1386</v>
      </c>
      <c r="CH77" s="20" t="s">
        <v>710</v>
      </c>
      <c r="CI77" s="20" t="s">
        <v>1387</v>
      </c>
      <c r="CJ77" s="20" t="s">
        <v>698</v>
      </c>
      <c r="CK77" s="20" t="s">
        <v>712</v>
      </c>
      <c r="CL77" s="20" t="s">
        <v>741</v>
      </c>
      <c r="CM77" s="20" t="s">
        <v>742</v>
      </c>
      <c r="CO77" s="20">
        <v>5</v>
      </c>
      <c r="CP77" s="20" t="s">
        <v>698</v>
      </c>
      <c r="DM77" s="20" t="s">
        <v>715</v>
      </c>
      <c r="DN77" s="20" t="s">
        <v>1278</v>
      </c>
      <c r="FK77" s="20" t="s">
        <v>728</v>
      </c>
      <c r="FL77" s="20" t="s">
        <v>728</v>
      </c>
      <c r="FM77" s="20" t="s">
        <v>719</v>
      </c>
      <c r="FO77" s="20" t="s">
        <v>720</v>
      </c>
      <c r="FR77" s="20" t="s">
        <v>749</v>
      </c>
      <c r="FY77" s="20" t="s">
        <v>698</v>
      </c>
      <c r="GC77" s="20" t="s">
        <v>696</v>
      </c>
      <c r="GD77" s="20" t="s">
        <v>698</v>
      </c>
      <c r="GE77" s="20" t="s">
        <v>696</v>
      </c>
      <c r="GH77" s="20" t="s">
        <v>696</v>
      </c>
      <c r="GK77" s="20" t="s">
        <v>698</v>
      </c>
      <c r="GT77" s="20" t="s">
        <v>698</v>
      </c>
      <c r="GU77" s="20" t="s">
        <v>698</v>
      </c>
      <c r="HF77" s="20">
        <v>0</v>
      </c>
      <c r="HG77" s="20">
        <v>700</v>
      </c>
      <c r="HH77" s="20">
        <v>1000</v>
      </c>
      <c r="HI77" s="20">
        <v>5000</v>
      </c>
      <c r="HJ77" s="20">
        <v>35000</v>
      </c>
      <c r="HK77" s="20">
        <v>0</v>
      </c>
      <c r="HM77" s="20">
        <v>41700</v>
      </c>
      <c r="HN77" s="20">
        <v>0</v>
      </c>
      <c r="HO77" s="20">
        <v>0</v>
      </c>
      <c r="HP77" s="20">
        <v>0</v>
      </c>
      <c r="HQ77" s="20">
        <v>0</v>
      </c>
      <c r="HR77" s="20">
        <v>13</v>
      </c>
      <c r="HS77" s="20">
        <v>243</v>
      </c>
      <c r="HT77" s="20" t="s">
        <v>787</v>
      </c>
      <c r="HV77" s="24">
        <v>43560</v>
      </c>
      <c r="HW77" s="20" t="s">
        <v>698</v>
      </c>
      <c r="HY77" s="20" t="s">
        <v>723</v>
      </c>
      <c r="HZ77" s="20" t="s">
        <v>698</v>
      </c>
      <c r="IS77" s="20" t="s">
        <v>808</v>
      </c>
      <c r="IT77" s="20" t="s">
        <v>696</v>
      </c>
      <c r="IU77" s="20" t="s">
        <v>696</v>
      </c>
      <c r="IV77" s="20" t="s">
        <v>696</v>
      </c>
      <c r="IW77" s="20" t="s">
        <v>698</v>
      </c>
      <c r="IX77" s="20" t="s">
        <v>698</v>
      </c>
      <c r="IY77" s="20" t="s">
        <v>698</v>
      </c>
      <c r="JD77" s="20" t="s">
        <v>725</v>
      </c>
      <c r="JE77" s="20" t="s">
        <v>1388</v>
      </c>
      <c r="JR77" s="20" t="s">
        <v>698</v>
      </c>
      <c r="JS77" s="20" t="s">
        <v>698</v>
      </c>
      <c r="JX77" s="20" t="s">
        <v>833</v>
      </c>
      <c r="JY77" s="20" t="s">
        <v>834</v>
      </c>
      <c r="JZ77" s="20" t="s">
        <v>834</v>
      </c>
      <c r="LD77" s="20" t="s">
        <v>835</v>
      </c>
      <c r="LG77" s="20" t="s">
        <v>696</v>
      </c>
      <c r="LL77" s="20" t="s">
        <v>696</v>
      </c>
      <c r="LP77" s="20" t="s">
        <v>696</v>
      </c>
      <c r="LU77" s="20" t="s">
        <v>696</v>
      </c>
      <c r="LV77" s="20" t="s">
        <v>698</v>
      </c>
      <c r="LW77" s="20" t="s">
        <v>838</v>
      </c>
      <c r="LX77" s="20" t="s">
        <v>838</v>
      </c>
      <c r="XL77" s="20" t="s">
        <v>1389</v>
      </c>
      <c r="XM77" s="20" t="s">
        <v>1390</v>
      </c>
      <c r="XN77" s="20" t="s">
        <v>1391</v>
      </c>
      <c r="XO77" s="20" t="s">
        <v>1392</v>
      </c>
      <c r="XQ77" s="24">
        <v>45379</v>
      </c>
      <c r="XU77" s="20" t="s">
        <v>1393</v>
      </c>
      <c r="XV77" s="20" t="s">
        <v>1394</v>
      </c>
      <c r="XW77" s="20" t="s">
        <v>1395</v>
      </c>
      <c r="XX77" s="20" t="s">
        <v>1396</v>
      </c>
      <c r="XY77" s="20" t="s">
        <v>1397</v>
      </c>
    </row>
    <row r="78" spans="1:649" ht="13">
      <c r="A78" s="20">
        <v>431</v>
      </c>
      <c r="B78" s="21">
        <v>45301</v>
      </c>
      <c r="C78" s="20">
        <v>2023</v>
      </c>
      <c r="D78" s="20">
        <v>20240011</v>
      </c>
      <c r="E78" s="20">
        <v>39332</v>
      </c>
      <c r="F78" s="20" t="s">
        <v>825</v>
      </c>
      <c r="G78" s="20">
        <v>32099</v>
      </c>
      <c r="H78" s="20" t="s">
        <v>752</v>
      </c>
      <c r="I78" s="20" t="s">
        <v>692</v>
      </c>
      <c r="J78" s="20" t="s">
        <v>693</v>
      </c>
      <c r="K78" s="20" t="s">
        <v>694</v>
      </c>
      <c r="L78" s="20">
        <v>77002</v>
      </c>
      <c r="M78" s="22">
        <v>45271.416666666664</v>
      </c>
      <c r="N78" s="20" t="s">
        <v>695</v>
      </c>
      <c r="O78" s="20" t="s">
        <v>698</v>
      </c>
      <c r="P78" s="20">
        <v>30.676825999999998</v>
      </c>
      <c r="Q78" s="20">
        <v>-94.528687000000005</v>
      </c>
      <c r="R78" s="20" t="s">
        <v>697</v>
      </c>
      <c r="W78" s="20">
        <v>47</v>
      </c>
      <c r="Y78" s="20">
        <v>47</v>
      </c>
      <c r="Z78" s="20" t="s">
        <v>698</v>
      </c>
      <c r="AF78" s="20">
        <v>0</v>
      </c>
      <c r="AG78" s="20" t="s">
        <v>698</v>
      </c>
      <c r="AM78" s="20">
        <v>0</v>
      </c>
      <c r="AN78" s="20" t="s">
        <v>887</v>
      </c>
      <c r="AP78" s="20" t="s">
        <v>700</v>
      </c>
      <c r="AQ78" s="23">
        <v>45271.416666666664</v>
      </c>
      <c r="AR78" s="20" t="s">
        <v>776</v>
      </c>
      <c r="AS78" s="20" t="s">
        <v>702</v>
      </c>
      <c r="AT78" s="20" t="s">
        <v>703</v>
      </c>
      <c r="AU78" s="20" t="s">
        <v>698</v>
      </c>
      <c r="AV78" s="20" t="s">
        <v>1398</v>
      </c>
      <c r="AZ78" s="20" t="s">
        <v>696</v>
      </c>
      <c r="BA78" s="20" t="s">
        <v>753</v>
      </c>
      <c r="BB78" s="23">
        <v>45271.46875</v>
      </c>
      <c r="BC78" s="23">
        <v>45271.4375</v>
      </c>
      <c r="BD78" s="23">
        <v>45271.4375</v>
      </c>
      <c r="BE78" s="23">
        <v>45271.470833333333</v>
      </c>
      <c r="BF78" s="20">
        <v>1386382</v>
      </c>
      <c r="BG78" s="20">
        <v>1386552</v>
      </c>
      <c r="BH78" s="20" t="s">
        <v>698</v>
      </c>
      <c r="BN78" s="20" t="s">
        <v>777</v>
      </c>
      <c r="BP78" s="23">
        <v>45271.434027777781</v>
      </c>
      <c r="BQ78" s="20" t="s">
        <v>798</v>
      </c>
      <c r="BR78" s="20" t="s">
        <v>777</v>
      </c>
      <c r="BT78" s="23">
        <v>45271.434027777781</v>
      </c>
      <c r="BU78" s="20" t="s">
        <v>798</v>
      </c>
      <c r="BV78" s="20" t="s">
        <v>696</v>
      </c>
      <c r="BW78" s="23">
        <v>45271.416666666664</v>
      </c>
      <c r="BX78" s="20" t="s">
        <v>696</v>
      </c>
      <c r="BY78" s="23">
        <v>45271.458333333336</v>
      </c>
      <c r="BZ78" s="23">
        <v>45271.5</v>
      </c>
      <c r="CA78" s="20">
        <v>0</v>
      </c>
      <c r="CB78" s="20" t="s">
        <v>1399</v>
      </c>
      <c r="CC78" s="20" t="s">
        <v>1400</v>
      </c>
      <c r="CD78" s="20" t="s">
        <v>694</v>
      </c>
      <c r="CE78" s="20">
        <v>77664</v>
      </c>
      <c r="CF78" s="20" t="s">
        <v>1401</v>
      </c>
      <c r="CG78" s="20" t="s">
        <v>1402</v>
      </c>
      <c r="CH78" s="20" t="s">
        <v>784</v>
      </c>
      <c r="CI78" s="20">
        <v>1.66</v>
      </c>
      <c r="CJ78" s="20" t="s">
        <v>698</v>
      </c>
      <c r="CK78" s="20" t="s">
        <v>785</v>
      </c>
      <c r="CL78" s="20" t="s">
        <v>741</v>
      </c>
      <c r="CM78" s="20" t="s">
        <v>742</v>
      </c>
      <c r="CO78" s="20">
        <v>36</v>
      </c>
      <c r="CP78" s="20" t="s">
        <v>698</v>
      </c>
      <c r="DM78" s="20" t="s">
        <v>715</v>
      </c>
      <c r="DN78" s="20" t="s">
        <v>759</v>
      </c>
      <c r="FK78" s="20" t="s">
        <v>728</v>
      </c>
      <c r="FL78" s="20" t="s">
        <v>728</v>
      </c>
      <c r="FM78" s="20" t="s">
        <v>719</v>
      </c>
      <c r="FO78" s="20" t="s">
        <v>720</v>
      </c>
      <c r="FR78" s="20" t="s">
        <v>823</v>
      </c>
      <c r="FY78" s="20" t="s">
        <v>696</v>
      </c>
      <c r="GA78" s="20" t="s">
        <v>696</v>
      </c>
      <c r="GC78" s="20" t="s">
        <v>696</v>
      </c>
      <c r="GD78" s="20" t="s">
        <v>698</v>
      </c>
      <c r="GE78" s="20" t="s">
        <v>696</v>
      </c>
      <c r="GH78" s="20" t="s">
        <v>696</v>
      </c>
      <c r="GK78" s="20" t="s">
        <v>696</v>
      </c>
      <c r="GM78" s="20" t="s">
        <v>696</v>
      </c>
      <c r="GR78" s="20">
        <v>1</v>
      </c>
      <c r="GS78" s="20" t="s">
        <v>1403</v>
      </c>
      <c r="GT78" s="20" t="s">
        <v>698</v>
      </c>
      <c r="GU78" s="20" t="s">
        <v>698</v>
      </c>
      <c r="HF78" s="20">
        <v>18000</v>
      </c>
      <c r="HG78" s="20">
        <v>3750</v>
      </c>
      <c r="HH78" s="20">
        <v>77000</v>
      </c>
      <c r="HI78" s="20">
        <v>308000</v>
      </c>
      <c r="HJ78" s="20">
        <v>90700</v>
      </c>
      <c r="HK78" s="20">
        <v>0</v>
      </c>
      <c r="HM78" s="20">
        <v>497450</v>
      </c>
      <c r="HN78" s="20">
        <v>0</v>
      </c>
      <c r="HO78" s="20">
        <v>0</v>
      </c>
      <c r="HP78" s="20">
        <v>0</v>
      </c>
      <c r="HQ78" s="20">
        <v>0</v>
      </c>
      <c r="HR78" s="20">
        <v>350</v>
      </c>
      <c r="HS78" s="20">
        <v>1000</v>
      </c>
      <c r="HT78" s="20" t="s">
        <v>787</v>
      </c>
      <c r="HV78" s="24">
        <v>45089</v>
      </c>
      <c r="HW78" s="20" t="s">
        <v>698</v>
      </c>
      <c r="HY78" s="20" t="s">
        <v>723</v>
      </c>
      <c r="HZ78" s="20" t="s">
        <v>698</v>
      </c>
      <c r="IC78" s="20">
        <v>36335</v>
      </c>
      <c r="ID78" s="20" t="s">
        <v>696</v>
      </c>
      <c r="IL78" s="20" t="s">
        <v>698</v>
      </c>
      <c r="IS78" s="20" t="s">
        <v>724</v>
      </c>
      <c r="IT78" s="20" t="s">
        <v>696</v>
      </c>
      <c r="IU78" s="20" t="s">
        <v>696</v>
      </c>
      <c r="IV78" s="20" t="s">
        <v>696</v>
      </c>
      <c r="IW78" s="20" t="s">
        <v>696</v>
      </c>
      <c r="IX78" s="20" t="s">
        <v>696</v>
      </c>
      <c r="IY78" s="20" t="s">
        <v>696</v>
      </c>
      <c r="IZ78" s="20" t="s">
        <v>696</v>
      </c>
      <c r="JA78" s="20" t="s">
        <v>696</v>
      </c>
      <c r="JB78" s="20" t="s">
        <v>696</v>
      </c>
      <c r="JC78" s="20" t="s">
        <v>698</v>
      </c>
      <c r="JD78" s="20" t="s">
        <v>725</v>
      </c>
      <c r="JE78" s="20" t="s">
        <v>726</v>
      </c>
      <c r="JR78" s="20" t="s">
        <v>698</v>
      </c>
      <c r="JS78" s="20" t="s">
        <v>698</v>
      </c>
      <c r="JX78" s="20" t="s">
        <v>833</v>
      </c>
      <c r="JY78" s="20" t="s">
        <v>834</v>
      </c>
      <c r="JZ78" s="20" t="s">
        <v>834</v>
      </c>
      <c r="LD78" s="20" t="s">
        <v>835</v>
      </c>
      <c r="LG78" s="20" t="s">
        <v>696</v>
      </c>
      <c r="LL78" s="20" t="s">
        <v>696</v>
      </c>
      <c r="LP78" s="20" t="s">
        <v>696</v>
      </c>
      <c r="LS78" s="20" t="s">
        <v>696</v>
      </c>
      <c r="LT78" s="20" t="s">
        <v>1404</v>
      </c>
      <c r="LU78" s="20" t="s">
        <v>696</v>
      </c>
      <c r="LV78" s="20" t="s">
        <v>698</v>
      </c>
      <c r="LW78" s="20" t="s">
        <v>696</v>
      </c>
      <c r="LX78" s="20" t="s">
        <v>696</v>
      </c>
      <c r="XL78" s="20" t="s">
        <v>730</v>
      </c>
      <c r="XM78" s="20" t="s">
        <v>731</v>
      </c>
      <c r="XN78" s="20" t="s">
        <v>732</v>
      </c>
      <c r="XO78" s="20" t="s">
        <v>733</v>
      </c>
      <c r="XQ78" s="24">
        <v>45368</v>
      </c>
      <c r="XU78" s="20" t="s">
        <v>730</v>
      </c>
      <c r="XV78" s="20" t="s">
        <v>733</v>
      </c>
      <c r="XW78" s="20" t="s">
        <v>1360</v>
      </c>
      <c r="XX78" s="20" t="s">
        <v>732</v>
      </c>
      <c r="XY78" s="20" t="s">
        <v>1405</v>
      </c>
    </row>
    <row r="79" spans="1:649" ht="13">
      <c r="A79" s="20">
        <v>434</v>
      </c>
      <c r="B79" s="21">
        <v>45295</v>
      </c>
      <c r="C79" s="20">
        <v>2023</v>
      </c>
      <c r="D79" s="20">
        <v>20240001</v>
      </c>
      <c r="E79" s="20">
        <v>39314</v>
      </c>
      <c r="F79" s="20" t="s">
        <v>825</v>
      </c>
      <c r="G79" s="20">
        <v>31888</v>
      </c>
      <c r="H79" s="20" t="s">
        <v>1126</v>
      </c>
      <c r="I79" s="20" t="s">
        <v>692</v>
      </c>
      <c r="J79" s="20" t="s">
        <v>693</v>
      </c>
      <c r="K79" s="20" t="s">
        <v>694</v>
      </c>
      <c r="L79" s="20">
        <v>77002</v>
      </c>
      <c r="M79" s="22">
        <v>45269.395833333336</v>
      </c>
      <c r="N79" s="20" t="s">
        <v>695</v>
      </c>
      <c r="O79" s="20" t="s">
        <v>696</v>
      </c>
      <c r="P79" s="20">
        <v>34.411090000000002</v>
      </c>
      <c r="Q79" s="20">
        <v>-100.282644</v>
      </c>
      <c r="R79" s="20" t="s">
        <v>697</v>
      </c>
      <c r="W79" s="20">
        <v>7</v>
      </c>
      <c r="Y79" s="20">
        <v>7</v>
      </c>
      <c r="Z79" s="20" t="s">
        <v>698</v>
      </c>
      <c r="AF79" s="20">
        <v>0</v>
      </c>
      <c r="AG79" s="20" t="s">
        <v>698</v>
      </c>
      <c r="AM79" s="20">
        <v>0</v>
      </c>
      <c r="AN79" s="20" t="s">
        <v>887</v>
      </c>
      <c r="AP79" s="20" t="s">
        <v>700</v>
      </c>
      <c r="AQ79" s="23">
        <v>45269.383333333331</v>
      </c>
      <c r="AR79" s="20" t="s">
        <v>1406</v>
      </c>
      <c r="AS79" s="20" t="s">
        <v>702</v>
      </c>
      <c r="AT79" s="20" t="s">
        <v>703</v>
      </c>
      <c r="AU79" s="20" t="s">
        <v>696</v>
      </c>
      <c r="AW79" s="23">
        <v>45269.395833333336</v>
      </c>
      <c r="AX79" s="23">
        <v>45269.746527777781</v>
      </c>
      <c r="AZ79" s="20" t="s">
        <v>698</v>
      </c>
      <c r="BC79" s="23">
        <v>45269.395833333336</v>
      </c>
      <c r="BD79" s="23">
        <v>45269.395833333336</v>
      </c>
      <c r="BF79" s="20" t="s">
        <v>754</v>
      </c>
      <c r="BH79" s="20" t="s">
        <v>698</v>
      </c>
      <c r="BV79" s="20" t="s">
        <v>696</v>
      </c>
      <c r="BW79" s="23">
        <v>45269.385416666664</v>
      </c>
      <c r="BX79" s="20" t="s">
        <v>698</v>
      </c>
      <c r="CA79" s="20">
        <v>0</v>
      </c>
      <c r="CB79" s="20" t="s">
        <v>1407</v>
      </c>
      <c r="CC79" s="20" t="s">
        <v>1408</v>
      </c>
      <c r="CD79" s="20" t="s">
        <v>694</v>
      </c>
      <c r="CE79" s="20">
        <v>79201</v>
      </c>
      <c r="CF79" s="20" t="s">
        <v>708</v>
      </c>
      <c r="CG79" s="20" t="s">
        <v>1409</v>
      </c>
      <c r="CH79" s="20" t="s">
        <v>784</v>
      </c>
      <c r="CI79" s="20" t="s">
        <v>1410</v>
      </c>
      <c r="CJ79" s="20" t="s">
        <v>698</v>
      </c>
      <c r="CK79" s="20" t="s">
        <v>712</v>
      </c>
      <c r="CL79" s="20" t="s">
        <v>713</v>
      </c>
      <c r="CM79" s="20" t="s">
        <v>758</v>
      </c>
      <c r="CP79" s="20" t="s">
        <v>698</v>
      </c>
      <c r="DM79" s="20" t="s">
        <v>743</v>
      </c>
      <c r="DN79" s="20" t="s">
        <v>892</v>
      </c>
      <c r="FK79" s="20" t="s">
        <v>728</v>
      </c>
      <c r="FL79" s="20" t="s">
        <v>728</v>
      </c>
      <c r="FM79" s="20" t="s">
        <v>719</v>
      </c>
      <c r="FO79" s="20" t="s">
        <v>893</v>
      </c>
      <c r="FY79" s="20" t="s">
        <v>698</v>
      </c>
      <c r="GC79" s="20" t="s">
        <v>696</v>
      </c>
      <c r="GD79" s="20" t="s">
        <v>698</v>
      </c>
      <c r="GE79" s="20" t="s">
        <v>696</v>
      </c>
      <c r="GH79" s="20" t="s">
        <v>696</v>
      </c>
      <c r="GK79" s="20" t="s">
        <v>698</v>
      </c>
      <c r="GT79" s="20" t="s">
        <v>698</v>
      </c>
      <c r="GU79" s="20" t="s">
        <v>698</v>
      </c>
      <c r="HF79" s="20">
        <v>0</v>
      </c>
      <c r="HG79" s="20">
        <v>400</v>
      </c>
      <c r="HH79" s="20">
        <v>400</v>
      </c>
      <c r="HI79" s="20">
        <v>2000</v>
      </c>
      <c r="HJ79" s="20">
        <v>1000</v>
      </c>
      <c r="HK79" s="20">
        <v>0</v>
      </c>
      <c r="HM79" s="20">
        <v>3800</v>
      </c>
      <c r="HN79" s="20">
        <v>0</v>
      </c>
      <c r="HO79" s="20">
        <v>0</v>
      </c>
      <c r="HP79" s="20">
        <v>0</v>
      </c>
      <c r="HQ79" s="20">
        <v>0</v>
      </c>
      <c r="HR79" s="20">
        <v>285</v>
      </c>
      <c r="HS79" s="20">
        <v>787</v>
      </c>
      <c r="HT79" s="20" t="s">
        <v>787</v>
      </c>
      <c r="HV79" s="24">
        <v>43340</v>
      </c>
      <c r="HW79" s="20" t="s">
        <v>971</v>
      </c>
      <c r="HY79" s="20" t="s">
        <v>723</v>
      </c>
      <c r="HZ79" s="20" t="s">
        <v>698</v>
      </c>
      <c r="IS79" s="20" t="s">
        <v>724</v>
      </c>
      <c r="IT79" s="20" t="s">
        <v>696</v>
      </c>
      <c r="IU79" s="20" t="s">
        <v>696</v>
      </c>
      <c r="IV79" s="20" t="s">
        <v>696</v>
      </c>
      <c r="IW79" s="20" t="s">
        <v>698</v>
      </c>
      <c r="IX79" s="20" t="s">
        <v>698</v>
      </c>
      <c r="IY79" s="20" t="s">
        <v>696</v>
      </c>
      <c r="IZ79" s="20" t="s">
        <v>696</v>
      </c>
      <c r="JA79" s="20" t="s">
        <v>696</v>
      </c>
      <c r="JB79" s="20" t="s">
        <v>698</v>
      </c>
      <c r="JC79" s="20" t="s">
        <v>698</v>
      </c>
      <c r="JD79" s="20" t="s">
        <v>1411</v>
      </c>
      <c r="JR79" s="20" t="s">
        <v>698</v>
      </c>
      <c r="JS79" s="20" t="s">
        <v>698</v>
      </c>
      <c r="JX79" s="20" t="s">
        <v>789</v>
      </c>
      <c r="JY79" s="20" t="s">
        <v>790</v>
      </c>
      <c r="QB79" s="20" t="s">
        <v>790</v>
      </c>
      <c r="QF79" s="20" t="s">
        <v>696</v>
      </c>
      <c r="QJ79" s="20" t="s">
        <v>696</v>
      </c>
      <c r="QZ79" s="20" t="s">
        <v>696</v>
      </c>
      <c r="XL79" s="20" t="s">
        <v>1389</v>
      </c>
      <c r="XM79" s="20" t="s">
        <v>1390</v>
      </c>
      <c r="XN79" s="20" t="s">
        <v>1391</v>
      </c>
      <c r="XO79" s="20" t="s">
        <v>1392</v>
      </c>
      <c r="XQ79" s="24">
        <v>45363</v>
      </c>
      <c r="XU79" s="20" t="s">
        <v>1393</v>
      </c>
      <c r="XV79" s="20" t="s">
        <v>1394</v>
      </c>
      <c r="XW79" s="20" t="s">
        <v>1412</v>
      </c>
      <c r="XX79" s="20" t="s">
        <v>1396</v>
      </c>
      <c r="XY79" s="20" t="s">
        <v>1413</v>
      </c>
    </row>
    <row r="80" spans="1:649" ht="13">
      <c r="A80" s="20">
        <v>441</v>
      </c>
      <c r="B80" s="21">
        <v>45281</v>
      </c>
      <c r="C80" s="20">
        <v>2023</v>
      </c>
      <c r="D80" s="20">
        <v>20230306</v>
      </c>
      <c r="E80" s="20">
        <v>40180</v>
      </c>
      <c r="F80" s="20" t="s">
        <v>825</v>
      </c>
      <c r="G80" s="20">
        <v>32099</v>
      </c>
      <c r="H80" s="20" t="s">
        <v>752</v>
      </c>
      <c r="I80" s="20" t="s">
        <v>692</v>
      </c>
      <c r="J80" s="20" t="s">
        <v>693</v>
      </c>
      <c r="K80" s="20" t="s">
        <v>694</v>
      </c>
      <c r="L80" s="20">
        <v>77002</v>
      </c>
      <c r="M80" s="22">
        <v>45261.625</v>
      </c>
      <c r="N80" s="20" t="s">
        <v>695</v>
      </c>
      <c r="O80" s="20" t="s">
        <v>698</v>
      </c>
      <c r="P80" s="20">
        <v>32.067560999999998</v>
      </c>
      <c r="Q80" s="20">
        <v>-96.478836999999999</v>
      </c>
      <c r="R80" s="20" t="s">
        <v>697</v>
      </c>
      <c r="W80" s="20">
        <v>0.7</v>
      </c>
      <c r="Y80" s="20">
        <v>0.7</v>
      </c>
      <c r="Z80" s="20" t="s">
        <v>698</v>
      </c>
      <c r="AF80" s="20">
        <v>0</v>
      </c>
      <c r="AG80" s="20" t="s">
        <v>698</v>
      </c>
      <c r="AM80" s="20">
        <v>0</v>
      </c>
      <c r="AN80" s="20" t="s">
        <v>699</v>
      </c>
      <c r="AP80" s="20" t="s">
        <v>700</v>
      </c>
      <c r="AQ80" s="23">
        <v>45261.625</v>
      </c>
      <c r="AR80" s="20" t="s">
        <v>907</v>
      </c>
      <c r="AS80" s="20" t="s">
        <v>702</v>
      </c>
      <c r="AT80" s="20" t="s">
        <v>703</v>
      </c>
      <c r="AU80" s="20" t="s">
        <v>698</v>
      </c>
      <c r="AV80" s="20" t="s">
        <v>1414</v>
      </c>
      <c r="AZ80" s="20" t="s">
        <v>698</v>
      </c>
      <c r="BC80" s="23">
        <v>45261.625</v>
      </c>
      <c r="BD80" s="23">
        <v>45261.625</v>
      </c>
      <c r="BF80" s="20" t="s">
        <v>754</v>
      </c>
      <c r="BH80" s="20" t="s">
        <v>698</v>
      </c>
      <c r="BV80" s="20" t="s">
        <v>696</v>
      </c>
      <c r="BW80" s="23">
        <v>45261.631944444445</v>
      </c>
      <c r="BX80" s="20" t="s">
        <v>698</v>
      </c>
      <c r="CA80" s="20">
        <v>0</v>
      </c>
      <c r="CB80" s="20" t="s">
        <v>1281</v>
      </c>
      <c r="CC80" s="20" t="s">
        <v>1415</v>
      </c>
      <c r="CD80" s="20" t="s">
        <v>694</v>
      </c>
      <c r="CE80" s="20">
        <v>75110</v>
      </c>
      <c r="CF80" s="20" t="s">
        <v>1296</v>
      </c>
      <c r="CG80" s="20" t="s">
        <v>1283</v>
      </c>
      <c r="CH80" s="20" t="s">
        <v>710</v>
      </c>
      <c r="CI80" s="20" t="s">
        <v>711</v>
      </c>
      <c r="CJ80" s="20" t="s">
        <v>698</v>
      </c>
      <c r="CK80" s="20" t="s">
        <v>712</v>
      </c>
      <c r="CL80" s="20" t="s">
        <v>910</v>
      </c>
      <c r="CP80" s="20" t="s">
        <v>698</v>
      </c>
      <c r="DM80" s="20" t="s">
        <v>743</v>
      </c>
      <c r="DN80" s="20" t="s">
        <v>911</v>
      </c>
      <c r="EW80" s="20" t="s">
        <v>1156</v>
      </c>
      <c r="EY80" s="20" t="s">
        <v>913</v>
      </c>
      <c r="FD80" s="20">
        <v>56</v>
      </c>
      <c r="FE80" s="20" t="s">
        <v>698</v>
      </c>
      <c r="FF80" s="20">
        <v>2019</v>
      </c>
      <c r="FH80" s="20">
        <v>2019</v>
      </c>
      <c r="FK80" s="20">
        <v>2019</v>
      </c>
      <c r="FL80" s="20">
        <v>2019</v>
      </c>
      <c r="FM80" s="20" t="s">
        <v>719</v>
      </c>
      <c r="FO80" s="20" t="s">
        <v>720</v>
      </c>
      <c r="FR80" s="20" t="s">
        <v>766</v>
      </c>
      <c r="FS80" s="20" t="s">
        <v>1416</v>
      </c>
      <c r="FY80" s="20" t="s">
        <v>698</v>
      </c>
      <c r="GC80" s="20" t="s">
        <v>696</v>
      </c>
      <c r="GD80" s="20" t="s">
        <v>698</v>
      </c>
      <c r="GE80" s="20" t="s">
        <v>696</v>
      </c>
      <c r="GH80" s="20" t="s">
        <v>696</v>
      </c>
      <c r="GK80" s="20" t="s">
        <v>698</v>
      </c>
      <c r="GT80" s="20" t="s">
        <v>696</v>
      </c>
      <c r="GU80" s="20" t="s">
        <v>696</v>
      </c>
      <c r="GZ80" s="20" t="s">
        <v>696</v>
      </c>
      <c r="HA80" s="20" t="s">
        <v>696</v>
      </c>
      <c r="HF80" s="20">
        <v>0</v>
      </c>
      <c r="HG80" s="20">
        <v>21</v>
      </c>
      <c r="HH80" s="20">
        <v>1500</v>
      </c>
      <c r="HI80" s="20">
        <v>1500</v>
      </c>
      <c r="HJ80" s="20">
        <v>5000</v>
      </c>
      <c r="HK80" s="20">
        <v>0</v>
      </c>
      <c r="HM80" s="20">
        <v>8021</v>
      </c>
      <c r="HN80" s="20">
        <v>0</v>
      </c>
      <c r="HO80" s="20">
        <v>0</v>
      </c>
      <c r="HP80" s="20">
        <v>0</v>
      </c>
      <c r="HQ80" s="20">
        <v>0</v>
      </c>
      <c r="HR80" s="20">
        <v>15</v>
      </c>
      <c r="HZ80" s="20" t="s">
        <v>698</v>
      </c>
      <c r="IS80" s="20" t="s">
        <v>724</v>
      </c>
      <c r="IT80" s="20" t="s">
        <v>696</v>
      </c>
      <c r="IU80" s="20" t="s">
        <v>696</v>
      </c>
      <c r="IV80" s="20" t="s">
        <v>696</v>
      </c>
      <c r="IW80" s="20" t="s">
        <v>698</v>
      </c>
      <c r="IX80" s="20" t="s">
        <v>698</v>
      </c>
      <c r="IY80" s="20" t="s">
        <v>698</v>
      </c>
      <c r="JD80" s="20" t="s">
        <v>725</v>
      </c>
      <c r="JE80" s="20" t="s">
        <v>726</v>
      </c>
      <c r="JR80" s="20" t="s">
        <v>698</v>
      </c>
      <c r="JS80" s="20" t="s">
        <v>698</v>
      </c>
      <c r="JX80" s="20" t="s">
        <v>789</v>
      </c>
      <c r="JY80" s="20" t="s">
        <v>964</v>
      </c>
      <c r="QB80" s="20" t="s">
        <v>964</v>
      </c>
      <c r="QU80" s="20" t="s">
        <v>1417</v>
      </c>
      <c r="RA80" s="20" t="s">
        <v>696</v>
      </c>
      <c r="RJ80" s="20" t="s">
        <v>696</v>
      </c>
      <c r="XL80" s="20" t="s">
        <v>730</v>
      </c>
      <c r="XM80" s="20" t="s">
        <v>731</v>
      </c>
      <c r="XN80" s="20" t="s">
        <v>732</v>
      </c>
      <c r="XO80" s="20" t="s">
        <v>733</v>
      </c>
      <c r="XQ80" s="24">
        <v>45595</v>
      </c>
      <c r="XU80" s="20" t="s">
        <v>730</v>
      </c>
      <c r="XV80" s="20" t="s">
        <v>733</v>
      </c>
      <c r="XW80" s="20" t="s">
        <v>731</v>
      </c>
      <c r="XX80" s="20" t="s">
        <v>732</v>
      </c>
      <c r="XY80" s="20" t="s">
        <v>1418</v>
      </c>
    </row>
    <row r="81" spans="1:649" ht="13">
      <c r="A81" s="20">
        <v>445</v>
      </c>
      <c r="B81" s="21">
        <v>45281</v>
      </c>
      <c r="C81" s="20">
        <v>2023</v>
      </c>
      <c r="D81" s="20">
        <v>20230305</v>
      </c>
      <c r="E81" s="20">
        <v>39419</v>
      </c>
      <c r="F81" s="20" t="s">
        <v>825</v>
      </c>
      <c r="G81" s="20">
        <v>32099</v>
      </c>
      <c r="H81" s="20" t="s">
        <v>752</v>
      </c>
      <c r="I81" s="20" t="s">
        <v>692</v>
      </c>
      <c r="J81" s="20" t="s">
        <v>693</v>
      </c>
      <c r="K81" s="20" t="s">
        <v>694</v>
      </c>
      <c r="L81" s="20">
        <v>77002</v>
      </c>
      <c r="M81" s="22">
        <v>45257.656944444447</v>
      </c>
      <c r="N81" s="20" t="s">
        <v>695</v>
      </c>
      <c r="O81" s="20" t="s">
        <v>698</v>
      </c>
      <c r="P81" s="20">
        <v>32.070661000000001</v>
      </c>
      <c r="Q81" s="20">
        <v>-96.468255999999997</v>
      </c>
      <c r="R81" s="20" t="s">
        <v>697</v>
      </c>
      <c r="W81" s="20">
        <v>120</v>
      </c>
      <c r="Y81" s="20">
        <v>120</v>
      </c>
      <c r="Z81" s="20" t="s">
        <v>698</v>
      </c>
      <c r="AF81" s="20">
        <v>0</v>
      </c>
      <c r="AG81" s="20" t="s">
        <v>698</v>
      </c>
      <c r="AM81" s="20">
        <v>0</v>
      </c>
      <c r="AN81" s="20" t="s">
        <v>699</v>
      </c>
      <c r="AP81" s="20" t="s">
        <v>1013</v>
      </c>
      <c r="AQ81" s="23">
        <v>45257.656944444447</v>
      </c>
      <c r="AR81" s="20" t="s">
        <v>736</v>
      </c>
      <c r="AS81" s="20" t="s">
        <v>702</v>
      </c>
      <c r="AT81" s="20" t="s">
        <v>703</v>
      </c>
      <c r="AU81" s="20" t="s">
        <v>698</v>
      </c>
      <c r="AV81" s="20" t="s">
        <v>1419</v>
      </c>
      <c r="AZ81" s="20" t="s">
        <v>696</v>
      </c>
      <c r="BA81" s="20" t="s">
        <v>753</v>
      </c>
      <c r="BB81" s="23">
        <v>45257.686805555553</v>
      </c>
      <c r="BC81" s="23">
        <v>45257.656944444447</v>
      </c>
      <c r="BD81" s="23">
        <v>45257.656944444447</v>
      </c>
      <c r="BE81" s="23">
        <v>45257.682638888888</v>
      </c>
      <c r="BF81" s="20">
        <v>1385262</v>
      </c>
      <c r="BG81" s="20">
        <v>1385412</v>
      </c>
      <c r="BH81" s="20" t="s">
        <v>698</v>
      </c>
      <c r="BV81" s="20" t="s">
        <v>696</v>
      </c>
      <c r="BW81" s="23">
        <v>45257.663888888892</v>
      </c>
      <c r="BX81" s="20" t="s">
        <v>698</v>
      </c>
      <c r="CA81" s="20">
        <v>0</v>
      </c>
      <c r="CB81" s="20" t="s">
        <v>1420</v>
      </c>
      <c r="CC81" s="20" t="s">
        <v>1421</v>
      </c>
      <c r="CD81" s="20" t="s">
        <v>694</v>
      </c>
      <c r="CE81" s="20">
        <v>75110</v>
      </c>
      <c r="CF81" s="20" t="s">
        <v>1296</v>
      </c>
      <c r="CG81" s="20" t="s">
        <v>1283</v>
      </c>
      <c r="CH81" s="20" t="s">
        <v>710</v>
      </c>
      <c r="CI81" s="20" t="s">
        <v>711</v>
      </c>
      <c r="CJ81" s="20" t="s">
        <v>698</v>
      </c>
      <c r="CK81" s="20" t="s">
        <v>712</v>
      </c>
      <c r="CL81" s="20" t="s">
        <v>741</v>
      </c>
      <c r="CM81" s="20" t="s">
        <v>742</v>
      </c>
      <c r="CO81" s="20">
        <v>84</v>
      </c>
      <c r="CP81" s="20" t="s">
        <v>698</v>
      </c>
      <c r="DM81" s="20" t="s">
        <v>743</v>
      </c>
      <c r="DN81" s="20" t="s">
        <v>744</v>
      </c>
      <c r="DO81" s="20" t="s">
        <v>745</v>
      </c>
      <c r="DP81" s="20" t="s">
        <v>698</v>
      </c>
      <c r="DQ81" s="20">
        <v>30</v>
      </c>
      <c r="DR81" s="20">
        <v>0.375</v>
      </c>
      <c r="DS81" s="20">
        <v>42000</v>
      </c>
      <c r="DT81" s="20" t="s">
        <v>1103</v>
      </c>
      <c r="DU81" s="20" t="s">
        <v>1422</v>
      </c>
      <c r="DW81" s="20" t="s">
        <v>728</v>
      </c>
      <c r="DX81" s="20" t="s">
        <v>748</v>
      </c>
      <c r="DZ81" s="20" t="s">
        <v>728</v>
      </c>
      <c r="FK81" s="20" t="s">
        <v>728</v>
      </c>
      <c r="FL81" s="20" t="s">
        <v>728</v>
      </c>
      <c r="FM81" s="20" t="s">
        <v>719</v>
      </c>
      <c r="FO81" s="20" t="s">
        <v>720</v>
      </c>
      <c r="FR81" s="20" t="s">
        <v>749</v>
      </c>
      <c r="FY81" s="20" t="s">
        <v>698</v>
      </c>
      <c r="GC81" s="20" t="s">
        <v>696</v>
      </c>
      <c r="GD81" s="20" t="s">
        <v>698</v>
      </c>
      <c r="GE81" s="20" t="s">
        <v>696</v>
      </c>
      <c r="GH81" s="20" t="s">
        <v>696</v>
      </c>
      <c r="GK81" s="20" t="s">
        <v>698</v>
      </c>
      <c r="GT81" s="20" t="s">
        <v>696</v>
      </c>
      <c r="GU81" s="20" t="s">
        <v>696</v>
      </c>
      <c r="GZ81" s="20" t="s">
        <v>696</v>
      </c>
      <c r="HA81" s="20" t="s">
        <v>696</v>
      </c>
      <c r="HF81" s="20">
        <v>0</v>
      </c>
      <c r="HG81" s="20">
        <v>8548</v>
      </c>
      <c r="HH81" s="20">
        <v>32000</v>
      </c>
      <c r="HI81" s="20">
        <v>15000</v>
      </c>
      <c r="HJ81" s="20">
        <v>74500</v>
      </c>
      <c r="HK81" s="20">
        <v>0</v>
      </c>
      <c r="HM81" s="20">
        <v>130048</v>
      </c>
      <c r="HN81" s="20">
        <v>0</v>
      </c>
      <c r="HO81" s="20">
        <v>0</v>
      </c>
      <c r="HP81" s="20">
        <v>0</v>
      </c>
      <c r="HQ81" s="20">
        <v>0</v>
      </c>
      <c r="HR81" s="20">
        <v>25</v>
      </c>
      <c r="HS81" s="20">
        <v>285</v>
      </c>
      <c r="HT81" s="20" t="s">
        <v>750</v>
      </c>
      <c r="HV81" s="24">
        <v>42005</v>
      </c>
      <c r="HW81" s="20" t="s">
        <v>698</v>
      </c>
      <c r="HY81" s="20" t="s">
        <v>723</v>
      </c>
      <c r="HZ81" s="20" t="s">
        <v>698</v>
      </c>
      <c r="IS81" s="20" t="s">
        <v>724</v>
      </c>
      <c r="IT81" s="20" t="s">
        <v>696</v>
      </c>
      <c r="IU81" s="20" t="s">
        <v>696</v>
      </c>
      <c r="IV81" s="20" t="s">
        <v>696</v>
      </c>
      <c r="IW81" s="20" t="s">
        <v>698</v>
      </c>
      <c r="IX81" s="20" t="s">
        <v>698</v>
      </c>
      <c r="IY81" s="20" t="s">
        <v>698</v>
      </c>
      <c r="JD81" s="20" t="s">
        <v>725</v>
      </c>
      <c r="JE81" s="20" t="s">
        <v>726</v>
      </c>
      <c r="JR81" s="20" t="s">
        <v>698</v>
      </c>
      <c r="JS81" s="20" t="s">
        <v>698</v>
      </c>
      <c r="JX81" s="20" t="s">
        <v>833</v>
      </c>
      <c r="JY81" s="20" t="s">
        <v>834</v>
      </c>
      <c r="JZ81" s="20" t="s">
        <v>834</v>
      </c>
      <c r="LD81" s="20" t="s">
        <v>835</v>
      </c>
      <c r="LG81" s="20" t="s">
        <v>696</v>
      </c>
      <c r="LL81" s="20" t="s">
        <v>696</v>
      </c>
      <c r="LP81" s="20" t="s">
        <v>696</v>
      </c>
      <c r="LR81" s="20" t="s">
        <v>696</v>
      </c>
      <c r="LU81" s="20" t="s">
        <v>698</v>
      </c>
      <c r="LV81" s="20" t="s">
        <v>698</v>
      </c>
      <c r="LW81" s="20" t="s">
        <v>838</v>
      </c>
      <c r="LX81" s="20" t="s">
        <v>838</v>
      </c>
      <c r="SC81" s="20" t="s">
        <v>698</v>
      </c>
      <c r="UO81" s="20" t="s">
        <v>698</v>
      </c>
      <c r="UR81" s="20" t="s">
        <v>698</v>
      </c>
      <c r="UZ81" s="20" t="s">
        <v>698</v>
      </c>
      <c r="XL81" s="20" t="s">
        <v>730</v>
      </c>
      <c r="XM81" s="20" t="s">
        <v>731</v>
      </c>
      <c r="XN81" s="20" t="s">
        <v>732</v>
      </c>
      <c r="XO81" s="20" t="s">
        <v>733</v>
      </c>
      <c r="XQ81" s="24">
        <v>45391</v>
      </c>
      <c r="XU81" s="20" t="s">
        <v>730</v>
      </c>
      <c r="XV81" s="20" t="s">
        <v>733</v>
      </c>
      <c r="XW81" s="20" t="s">
        <v>731</v>
      </c>
      <c r="XX81" s="20" t="s">
        <v>732</v>
      </c>
      <c r="XY81" s="20" t="s">
        <v>1423</v>
      </c>
    </row>
    <row r="82" spans="1:649" ht="13">
      <c r="A82" s="20">
        <v>447</v>
      </c>
      <c r="B82" s="21">
        <v>45279</v>
      </c>
      <c r="C82" s="20">
        <v>2023</v>
      </c>
      <c r="D82" s="20">
        <v>20230303</v>
      </c>
      <c r="E82" s="20">
        <v>38981</v>
      </c>
      <c r="F82" s="20" t="s">
        <v>885</v>
      </c>
      <c r="G82" s="20">
        <v>31888</v>
      </c>
      <c r="H82" s="20" t="s">
        <v>1126</v>
      </c>
      <c r="I82" s="20" t="s">
        <v>692</v>
      </c>
      <c r="J82" s="20" t="s">
        <v>693</v>
      </c>
      <c r="K82" s="20" t="s">
        <v>694</v>
      </c>
      <c r="L82" s="20">
        <v>77002</v>
      </c>
      <c r="M82" s="22">
        <v>45255.375</v>
      </c>
      <c r="N82" s="20" t="s">
        <v>695</v>
      </c>
      <c r="O82" s="20" t="s">
        <v>696</v>
      </c>
      <c r="P82" s="20">
        <v>32.974612800000003</v>
      </c>
      <c r="Q82" s="20">
        <v>-102.8499035</v>
      </c>
      <c r="R82" s="20" t="s">
        <v>697</v>
      </c>
      <c r="W82" s="20">
        <v>0.2</v>
      </c>
      <c r="Y82" s="20">
        <v>0.2</v>
      </c>
      <c r="Z82" s="20" t="s">
        <v>698</v>
      </c>
      <c r="AF82" s="20">
        <v>0</v>
      </c>
      <c r="AG82" s="20" t="s">
        <v>698</v>
      </c>
      <c r="AM82" s="20">
        <v>0</v>
      </c>
      <c r="AN82" s="20" t="s">
        <v>699</v>
      </c>
      <c r="AP82" s="20" t="s">
        <v>700</v>
      </c>
      <c r="AQ82" s="23">
        <v>45255.378472222219</v>
      </c>
      <c r="AR82" s="20" t="s">
        <v>701</v>
      </c>
      <c r="AS82" s="20" t="s">
        <v>702</v>
      </c>
      <c r="AT82" s="20" t="s">
        <v>703</v>
      </c>
      <c r="AU82" s="20" t="s">
        <v>696</v>
      </c>
      <c r="AW82" s="23">
        <v>45255.385416666664</v>
      </c>
      <c r="AX82" s="23">
        <v>45258.625</v>
      </c>
      <c r="AZ82" s="20" t="s">
        <v>698</v>
      </c>
      <c r="BC82" s="23">
        <v>45255.375</v>
      </c>
      <c r="BD82" s="23">
        <v>45255.378472222219</v>
      </c>
      <c r="BF82" s="20" t="s">
        <v>754</v>
      </c>
      <c r="BH82" s="20" t="s">
        <v>698</v>
      </c>
      <c r="BV82" s="20" t="s">
        <v>696</v>
      </c>
      <c r="BW82" s="23">
        <v>45255.416666666664</v>
      </c>
      <c r="BX82" s="20" t="s">
        <v>698</v>
      </c>
      <c r="CA82" s="20">
        <v>0</v>
      </c>
      <c r="CB82" s="20" t="s">
        <v>1424</v>
      </c>
      <c r="CC82" s="20" t="s">
        <v>1425</v>
      </c>
      <c r="CD82" s="20" t="s">
        <v>694</v>
      </c>
      <c r="CE82" s="20">
        <v>79323</v>
      </c>
      <c r="CF82" s="20" t="s">
        <v>708</v>
      </c>
      <c r="CG82" s="20" t="s">
        <v>1234</v>
      </c>
      <c r="CH82" s="20" t="s">
        <v>784</v>
      </c>
      <c r="CI82" s="20" t="s">
        <v>1426</v>
      </c>
      <c r="CJ82" s="20" t="s">
        <v>698</v>
      </c>
      <c r="CK82" s="20" t="s">
        <v>712</v>
      </c>
      <c r="CL82" s="20" t="s">
        <v>713</v>
      </c>
      <c r="CM82" s="20" t="s">
        <v>758</v>
      </c>
      <c r="CP82" s="20" t="s">
        <v>698</v>
      </c>
      <c r="DM82" s="20" t="s">
        <v>715</v>
      </c>
      <c r="DN82" s="20" t="s">
        <v>716</v>
      </c>
      <c r="EQ82" s="20" t="s">
        <v>1427</v>
      </c>
      <c r="ES82" s="20" t="s">
        <v>1188</v>
      </c>
      <c r="FK82" s="20" t="s">
        <v>728</v>
      </c>
      <c r="FL82" s="20" t="s">
        <v>728</v>
      </c>
      <c r="FM82" s="20" t="s">
        <v>719</v>
      </c>
      <c r="FO82" s="20" t="s">
        <v>720</v>
      </c>
      <c r="FR82" s="20" t="s">
        <v>721</v>
      </c>
      <c r="FY82" s="20" t="s">
        <v>698</v>
      </c>
      <c r="GC82" s="20" t="s">
        <v>696</v>
      </c>
      <c r="GD82" s="20" t="s">
        <v>698</v>
      </c>
      <c r="GE82" s="20" t="s">
        <v>696</v>
      </c>
      <c r="GH82" s="20" t="s">
        <v>696</v>
      </c>
      <c r="GK82" s="20" t="s">
        <v>698</v>
      </c>
      <c r="GT82" s="20" t="s">
        <v>696</v>
      </c>
      <c r="GU82" s="20" t="s">
        <v>696</v>
      </c>
      <c r="HB82" s="20" t="s">
        <v>696</v>
      </c>
      <c r="HC82" s="20" t="s">
        <v>696</v>
      </c>
      <c r="HF82" s="20">
        <v>0</v>
      </c>
      <c r="HG82" s="20">
        <v>20</v>
      </c>
      <c r="HH82" s="20">
        <v>100</v>
      </c>
      <c r="HI82" s="20">
        <v>5000</v>
      </c>
      <c r="HJ82" s="20">
        <v>1600</v>
      </c>
      <c r="HK82" s="20">
        <v>0</v>
      </c>
      <c r="HM82" s="20">
        <v>6720</v>
      </c>
      <c r="HN82" s="20">
        <v>0</v>
      </c>
      <c r="HO82" s="20">
        <v>0</v>
      </c>
      <c r="HP82" s="20">
        <v>0</v>
      </c>
      <c r="HQ82" s="20">
        <v>0</v>
      </c>
      <c r="HR82" s="20">
        <v>15</v>
      </c>
      <c r="HS82" s="20">
        <v>720</v>
      </c>
      <c r="HT82" s="20" t="s">
        <v>787</v>
      </c>
      <c r="HV82" s="24">
        <v>42607</v>
      </c>
      <c r="HW82" s="20" t="s">
        <v>698</v>
      </c>
      <c r="HY82" s="20" t="s">
        <v>723</v>
      </c>
      <c r="HZ82" s="20" t="s">
        <v>698</v>
      </c>
      <c r="IS82" s="20" t="s">
        <v>724</v>
      </c>
      <c r="IT82" s="20" t="s">
        <v>696</v>
      </c>
      <c r="IU82" s="20" t="s">
        <v>696</v>
      </c>
      <c r="IV82" s="20" t="s">
        <v>696</v>
      </c>
      <c r="IW82" s="20" t="s">
        <v>698</v>
      </c>
      <c r="IX82" s="20" t="s">
        <v>698</v>
      </c>
      <c r="IY82" s="20" t="s">
        <v>698</v>
      </c>
      <c r="JD82" s="20" t="s">
        <v>832</v>
      </c>
      <c r="JR82" s="20" t="s">
        <v>698</v>
      </c>
      <c r="JS82" s="20" t="s">
        <v>698</v>
      </c>
      <c r="JX82" s="20" t="s">
        <v>789</v>
      </c>
      <c r="JY82" s="20" t="s">
        <v>1251</v>
      </c>
      <c r="QB82" s="20" t="s">
        <v>1251</v>
      </c>
      <c r="QO82" s="20" t="s">
        <v>1252</v>
      </c>
      <c r="RJ82" s="20" t="s">
        <v>696</v>
      </c>
      <c r="XL82" s="20" t="s">
        <v>1389</v>
      </c>
      <c r="XM82" s="20" t="s">
        <v>1390</v>
      </c>
      <c r="XN82" s="20" t="s">
        <v>1391</v>
      </c>
      <c r="XO82" s="20" t="s">
        <v>1428</v>
      </c>
      <c r="XQ82" s="24">
        <v>45279</v>
      </c>
      <c r="XU82" s="20" t="s">
        <v>1393</v>
      </c>
      <c r="XV82" s="20" t="s">
        <v>1429</v>
      </c>
      <c r="XW82" s="20" t="s">
        <v>1395</v>
      </c>
      <c r="XX82" s="20" t="s">
        <v>1396</v>
      </c>
      <c r="XY82" s="20" t="s">
        <v>1430</v>
      </c>
    </row>
    <row r="83" spans="1:649" ht="13">
      <c r="A83" s="20">
        <v>468</v>
      </c>
      <c r="B83" s="21">
        <v>45251</v>
      </c>
      <c r="C83" s="20">
        <v>2023</v>
      </c>
      <c r="D83" s="20">
        <v>20230281</v>
      </c>
      <c r="E83" s="20">
        <v>39319</v>
      </c>
      <c r="F83" s="20" t="s">
        <v>825</v>
      </c>
      <c r="G83" s="20">
        <v>31888</v>
      </c>
      <c r="H83" s="20" t="s">
        <v>1126</v>
      </c>
      <c r="I83" s="20" t="s">
        <v>692</v>
      </c>
      <c r="J83" s="20" t="s">
        <v>693</v>
      </c>
      <c r="K83" s="20" t="s">
        <v>694</v>
      </c>
      <c r="L83" s="20">
        <v>77002</v>
      </c>
      <c r="M83" s="22">
        <v>45224.461805555555</v>
      </c>
      <c r="N83" s="20" t="s">
        <v>695</v>
      </c>
      <c r="O83" s="20" t="s">
        <v>698</v>
      </c>
      <c r="P83" s="20">
        <v>32.004506999999997</v>
      </c>
      <c r="Q83" s="20">
        <v>-102.03968</v>
      </c>
      <c r="R83" s="20" t="s">
        <v>697</v>
      </c>
      <c r="W83" s="20">
        <v>36</v>
      </c>
      <c r="Y83" s="20">
        <v>36</v>
      </c>
      <c r="Z83" s="20" t="s">
        <v>698</v>
      </c>
      <c r="AF83" s="20">
        <v>0</v>
      </c>
      <c r="AG83" s="20" t="s">
        <v>698</v>
      </c>
      <c r="AM83" s="20">
        <v>0</v>
      </c>
      <c r="AN83" s="20" t="s">
        <v>699</v>
      </c>
      <c r="AP83" s="20" t="s">
        <v>700</v>
      </c>
      <c r="AQ83" s="23">
        <v>45224.449305555558</v>
      </c>
      <c r="AR83" s="20" t="s">
        <v>736</v>
      </c>
      <c r="AS83" s="20" t="s">
        <v>702</v>
      </c>
      <c r="AT83" s="20" t="s">
        <v>703</v>
      </c>
      <c r="AU83" s="20" t="s">
        <v>696</v>
      </c>
      <c r="AW83" s="23">
        <v>45224.454861111109</v>
      </c>
      <c r="AX83" s="23">
        <v>45224.738888888889</v>
      </c>
      <c r="AZ83" s="20" t="s">
        <v>698</v>
      </c>
      <c r="BC83" s="23">
        <v>45224.45208333333</v>
      </c>
      <c r="BD83" s="23">
        <v>45224.461805555555</v>
      </c>
      <c r="BE83" s="23">
        <v>45224.5</v>
      </c>
      <c r="BF83" s="20">
        <v>1382630</v>
      </c>
      <c r="BG83" s="20">
        <v>1382782</v>
      </c>
      <c r="BH83" s="20" t="s">
        <v>698</v>
      </c>
      <c r="BV83" s="20" t="s">
        <v>696</v>
      </c>
      <c r="BW83" s="23">
        <v>45224.456944444442</v>
      </c>
      <c r="BX83" s="20" t="s">
        <v>698</v>
      </c>
      <c r="CA83" s="20">
        <v>0</v>
      </c>
      <c r="CB83" s="20" t="s">
        <v>1431</v>
      </c>
      <c r="CC83" s="20" t="s">
        <v>1432</v>
      </c>
      <c r="CD83" s="20" t="s">
        <v>694</v>
      </c>
      <c r="CE83" s="20">
        <v>79706</v>
      </c>
      <c r="CF83" s="20" t="s">
        <v>708</v>
      </c>
      <c r="CG83" s="20" t="s">
        <v>757</v>
      </c>
      <c r="CH83" s="20" t="s">
        <v>784</v>
      </c>
      <c r="CI83" s="20" t="s">
        <v>1433</v>
      </c>
      <c r="CJ83" s="20" t="s">
        <v>698</v>
      </c>
      <c r="CK83" s="20" t="s">
        <v>712</v>
      </c>
      <c r="CL83" s="20" t="s">
        <v>741</v>
      </c>
      <c r="CM83" s="20" t="s">
        <v>878</v>
      </c>
      <c r="CO83" s="20" t="s">
        <v>728</v>
      </c>
      <c r="CP83" s="20" t="s">
        <v>698</v>
      </c>
      <c r="DM83" s="20" t="s">
        <v>715</v>
      </c>
      <c r="DN83" s="20" t="s">
        <v>892</v>
      </c>
      <c r="FK83" s="20">
        <v>2020</v>
      </c>
      <c r="FL83" s="20" t="s">
        <v>728</v>
      </c>
      <c r="FM83" s="20" t="s">
        <v>719</v>
      </c>
      <c r="FO83" s="20" t="s">
        <v>893</v>
      </c>
      <c r="FY83" s="20" t="s">
        <v>698</v>
      </c>
      <c r="GC83" s="20" t="s">
        <v>696</v>
      </c>
      <c r="GD83" s="20" t="s">
        <v>698</v>
      </c>
      <c r="GE83" s="20" t="s">
        <v>696</v>
      </c>
      <c r="GH83" s="20" t="s">
        <v>696</v>
      </c>
      <c r="GK83" s="20" t="s">
        <v>698</v>
      </c>
      <c r="GT83" s="20" t="s">
        <v>698</v>
      </c>
      <c r="GU83" s="20" t="s">
        <v>698</v>
      </c>
      <c r="HF83" s="20">
        <v>0</v>
      </c>
      <c r="HG83" s="20">
        <v>546</v>
      </c>
      <c r="HH83" s="20">
        <v>0</v>
      </c>
      <c r="HI83" s="20">
        <v>3000</v>
      </c>
      <c r="HJ83" s="20">
        <v>31000</v>
      </c>
      <c r="HK83" s="20">
        <v>0</v>
      </c>
      <c r="HM83" s="20">
        <v>34546</v>
      </c>
      <c r="HN83" s="20">
        <v>0</v>
      </c>
      <c r="HO83" s="20">
        <v>0</v>
      </c>
      <c r="HP83" s="20">
        <v>0</v>
      </c>
      <c r="HQ83" s="20">
        <v>0</v>
      </c>
      <c r="HR83" s="20">
        <v>309</v>
      </c>
      <c r="HS83" s="20">
        <v>1480</v>
      </c>
      <c r="HT83" s="20" t="s">
        <v>787</v>
      </c>
      <c r="HV83" s="24">
        <v>44125</v>
      </c>
      <c r="HW83" s="20" t="s">
        <v>698</v>
      </c>
      <c r="HY83" s="20" t="s">
        <v>723</v>
      </c>
      <c r="HZ83" s="20" t="s">
        <v>698</v>
      </c>
      <c r="IS83" s="20" t="s">
        <v>724</v>
      </c>
      <c r="IT83" s="20" t="s">
        <v>698</v>
      </c>
      <c r="IY83" s="20" t="s">
        <v>698</v>
      </c>
      <c r="JD83" s="20" t="s">
        <v>832</v>
      </c>
      <c r="JR83" s="20" t="s">
        <v>698</v>
      </c>
      <c r="JS83" s="20" t="s">
        <v>698</v>
      </c>
      <c r="JX83" s="20" t="s">
        <v>894</v>
      </c>
      <c r="JY83" s="20" t="s">
        <v>895</v>
      </c>
      <c r="RM83" s="20" t="s">
        <v>895</v>
      </c>
      <c r="RN83" s="20" t="s">
        <v>766</v>
      </c>
      <c r="RO83" s="20" t="s">
        <v>1434</v>
      </c>
      <c r="RT83" s="20" t="s">
        <v>696</v>
      </c>
      <c r="RU83" s="20" t="s">
        <v>1435</v>
      </c>
      <c r="RV83" s="20" t="s">
        <v>1436</v>
      </c>
      <c r="RW83" s="20" t="s">
        <v>698</v>
      </c>
      <c r="XL83" s="20" t="s">
        <v>1389</v>
      </c>
      <c r="XM83" s="20" t="s">
        <v>1390</v>
      </c>
      <c r="XN83" s="20" t="s">
        <v>1391</v>
      </c>
      <c r="XO83" s="20" t="s">
        <v>1392</v>
      </c>
      <c r="XQ83" s="24">
        <v>45364</v>
      </c>
      <c r="XU83" s="20" t="s">
        <v>1393</v>
      </c>
      <c r="XV83" s="20" t="s">
        <v>1394</v>
      </c>
      <c r="XW83" s="20" t="s">
        <v>1395</v>
      </c>
      <c r="XX83" s="20" t="s">
        <v>1396</v>
      </c>
      <c r="XY83" s="20" t="s">
        <v>1437</v>
      </c>
    </row>
    <row r="84" spans="1:649" ht="13">
      <c r="A84" s="20">
        <v>478</v>
      </c>
      <c r="B84" s="21">
        <v>45244</v>
      </c>
      <c r="C84" s="20">
        <v>2023</v>
      </c>
      <c r="D84" s="20">
        <v>20230272</v>
      </c>
      <c r="E84" s="20">
        <v>38797</v>
      </c>
      <c r="F84" s="20" t="s">
        <v>885</v>
      </c>
      <c r="G84" s="20">
        <v>39706</v>
      </c>
      <c r="H84" s="20" t="s">
        <v>817</v>
      </c>
      <c r="I84" s="20" t="s">
        <v>692</v>
      </c>
      <c r="J84" s="20" t="s">
        <v>693</v>
      </c>
      <c r="K84" s="20" t="s">
        <v>694</v>
      </c>
      <c r="L84" s="20">
        <v>77002</v>
      </c>
      <c r="M84" s="22">
        <v>45214.208333333336</v>
      </c>
      <c r="N84" s="20" t="s">
        <v>695</v>
      </c>
      <c r="O84" s="20" t="s">
        <v>696</v>
      </c>
      <c r="P84" s="20">
        <v>29.995038000000001</v>
      </c>
      <c r="Q84" s="20">
        <v>-93.992931999999996</v>
      </c>
      <c r="R84" s="20" t="s">
        <v>697</v>
      </c>
      <c r="W84" s="20">
        <v>0.5</v>
      </c>
      <c r="Y84" s="20">
        <v>0.5</v>
      </c>
      <c r="Z84" s="20" t="s">
        <v>698</v>
      </c>
      <c r="AF84" s="20">
        <v>0</v>
      </c>
      <c r="AG84" s="20" t="s">
        <v>698</v>
      </c>
      <c r="AM84" s="20">
        <v>0</v>
      </c>
      <c r="AN84" s="20" t="s">
        <v>1438</v>
      </c>
      <c r="AP84" s="20" t="s">
        <v>700</v>
      </c>
      <c r="AQ84" s="23">
        <v>45214.208333333336</v>
      </c>
      <c r="AR84" s="20" t="s">
        <v>736</v>
      </c>
      <c r="AS84" s="20" t="s">
        <v>702</v>
      </c>
      <c r="AT84" s="20" t="s">
        <v>703</v>
      </c>
      <c r="AU84" s="20" t="s">
        <v>698</v>
      </c>
      <c r="AV84" s="20" t="s">
        <v>1439</v>
      </c>
      <c r="AZ84" s="20" t="s">
        <v>698</v>
      </c>
      <c r="BC84" s="23">
        <v>45214.208333333336</v>
      </c>
      <c r="BD84" s="23">
        <v>45214.208333333336</v>
      </c>
      <c r="BF84" s="20" t="s">
        <v>754</v>
      </c>
      <c r="BH84" s="20" t="s">
        <v>698</v>
      </c>
      <c r="BV84" s="20" t="s">
        <v>696</v>
      </c>
      <c r="BW84" s="23">
        <v>45214.215277777781</v>
      </c>
      <c r="BX84" s="20" t="s">
        <v>698</v>
      </c>
      <c r="CA84" s="20">
        <v>0</v>
      </c>
      <c r="CB84" s="20" t="s">
        <v>818</v>
      </c>
      <c r="CC84" s="20" t="s">
        <v>1440</v>
      </c>
      <c r="CD84" s="20" t="s">
        <v>694</v>
      </c>
      <c r="CE84" s="20">
        <v>77627</v>
      </c>
      <c r="CF84" s="20" t="s">
        <v>820</v>
      </c>
      <c r="CG84" s="20" t="s">
        <v>821</v>
      </c>
      <c r="CH84" s="20" t="s">
        <v>710</v>
      </c>
      <c r="CI84" s="20" t="s">
        <v>711</v>
      </c>
      <c r="CJ84" s="20" t="s">
        <v>698</v>
      </c>
      <c r="CK84" s="20" t="s">
        <v>712</v>
      </c>
      <c r="CL84" s="20" t="s">
        <v>713</v>
      </c>
      <c r="CM84" s="20" t="s">
        <v>758</v>
      </c>
      <c r="CP84" s="20" t="s">
        <v>698</v>
      </c>
      <c r="DM84" s="20" t="s">
        <v>743</v>
      </c>
      <c r="DN84" s="20" t="s">
        <v>744</v>
      </c>
      <c r="DO84" s="20" t="s">
        <v>745</v>
      </c>
      <c r="DP84" s="20" t="s">
        <v>698</v>
      </c>
      <c r="DQ84" s="20">
        <v>30</v>
      </c>
      <c r="DR84" s="20">
        <v>0.375</v>
      </c>
      <c r="DS84" s="20">
        <v>52000</v>
      </c>
      <c r="DT84" s="20" t="s">
        <v>1198</v>
      </c>
      <c r="DU84" s="20" t="s">
        <v>926</v>
      </c>
      <c r="DW84" s="20" t="s">
        <v>728</v>
      </c>
      <c r="DX84" s="20" t="s">
        <v>1441</v>
      </c>
      <c r="DZ84" s="20" t="s">
        <v>698</v>
      </c>
      <c r="FK84" s="20" t="s">
        <v>728</v>
      </c>
      <c r="FL84" s="20" t="s">
        <v>728</v>
      </c>
      <c r="FM84" s="20" t="s">
        <v>719</v>
      </c>
      <c r="FO84" s="20" t="s">
        <v>720</v>
      </c>
      <c r="FR84" s="20" t="s">
        <v>749</v>
      </c>
      <c r="FY84" s="20" t="s">
        <v>698</v>
      </c>
      <c r="GC84" s="20" t="s">
        <v>696</v>
      </c>
      <c r="GD84" s="20" t="s">
        <v>698</v>
      </c>
      <c r="GE84" s="20" t="s">
        <v>696</v>
      </c>
      <c r="GH84" s="20" t="s">
        <v>696</v>
      </c>
      <c r="GK84" s="20" t="s">
        <v>698</v>
      </c>
      <c r="GT84" s="20" t="s">
        <v>696</v>
      </c>
      <c r="GU84" s="20" t="s">
        <v>696</v>
      </c>
      <c r="GX84" s="20" t="s">
        <v>696</v>
      </c>
      <c r="GY84" s="20" t="s">
        <v>696</v>
      </c>
      <c r="HF84" s="20">
        <v>0</v>
      </c>
      <c r="HG84" s="20">
        <v>50</v>
      </c>
      <c r="HH84" s="20">
        <v>15000</v>
      </c>
      <c r="HI84" s="20">
        <v>500</v>
      </c>
      <c r="HJ84" s="20">
        <v>500</v>
      </c>
      <c r="HK84" s="20">
        <v>0</v>
      </c>
      <c r="HM84" s="20">
        <v>16050</v>
      </c>
      <c r="HN84" s="20">
        <v>0</v>
      </c>
      <c r="HO84" s="20">
        <v>0</v>
      </c>
      <c r="HP84" s="20">
        <v>0</v>
      </c>
      <c r="HQ84" s="20">
        <v>0</v>
      </c>
      <c r="HR84" s="20">
        <v>80</v>
      </c>
      <c r="HS84" s="20">
        <v>275</v>
      </c>
      <c r="HT84" s="20" t="s">
        <v>943</v>
      </c>
      <c r="HV84" s="24">
        <v>40179</v>
      </c>
      <c r="HW84" s="20" t="s">
        <v>698</v>
      </c>
      <c r="HY84" s="20" t="s">
        <v>723</v>
      </c>
      <c r="HZ84" s="20" t="s">
        <v>698</v>
      </c>
      <c r="IS84" s="20" t="s">
        <v>724</v>
      </c>
      <c r="IT84" s="20" t="s">
        <v>696</v>
      </c>
      <c r="IU84" s="20" t="s">
        <v>696</v>
      </c>
      <c r="IV84" s="20" t="s">
        <v>696</v>
      </c>
      <c r="IW84" s="20" t="s">
        <v>698</v>
      </c>
      <c r="IX84" s="20" t="s">
        <v>698</v>
      </c>
      <c r="IY84" s="20" t="s">
        <v>698</v>
      </c>
      <c r="JD84" s="20" t="s">
        <v>725</v>
      </c>
      <c r="JE84" s="20" t="s">
        <v>726</v>
      </c>
      <c r="JR84" s="20" t="s">
        <v>698</v>
      </c>
      <c r="JS84" s="20" t="s">
        <v>698</v>
      </c>
      <c r="JX84" s="20" t="s">
        <v>833</v>
      </c>
      <c r="JY84" s="20" t="s">
        <v>834</v>
      </c>
      <c r="JZ84" s="20" t="s">
        <v>834</v>
      </c>
      <c r="LD84" s="20" t="s">
        <v>1442</v>
      </c>
      <c r="LG84" s="20" t="s">
        <v>696</v>
      </c>
      <c r="LL84" s="20" t="s">
        <v>696</v>
      </c>
      <c r="LP84" s="20" t="s">
        <v>696</v>
      </c>
      <c r="LU84" s="20" t="s">
        <v>698</v>
      </c>
      <c r="LV84" s="20" t="s">
        <v>698</v>
      </c>
      <c r="LW84" s="20" t="s">
        <v>838</v>
      </c>
      <c r="LX84" s="20" t="s">
        <v>838</v>
      </c>
      <c r="SC84" s="20" t="s">
        <v>698</v>
      </c>
      <c r="UO84" s="20" t="s">
        <v>698</v>
      </c>
      <c r="UR84" s="20" t="s">
        <v>698</v>
      </c>
      <c r="UZ84" s="20" t="s">
        <v>696</v>
      </c>
      <c r="VC84" s="20">
        <v>2022</v>
      </c>
      <c r="VJ84" s="20" t="s">
        <v>696</v>
      </c>
      <c r="XL84" s="20" t="s">
        <v>730</v>
      </c>
      <c r="XM84" s="20" t="s">
        <v>731</v>
      </c>
      <c r="XN84" s="20" t="s">
        <v>732</v>
      </c>
      <c r="XO84" s="20" t="s">
        <v>733</v>
      </c>
      <c r="XQ84" s="24">
        <v>45244</v>
      </c>
      <c r="XU84" s="20" t="s">
        <v>730</v>
      </c>
      <c r="XV84" s="20" t="s">
        <v>733</v>
      </c>
      <c r="XW84" s="20" t="s">
        <v>731</v>
      </c>
      <c r="XX84" s="20" t="s">
        <v>732</v>
      </c>
      <c r="XY84" s="20" t="s">
        <v>1443</v>
      </c>
    </row>
    <row r="85" spans="1:649" ht="13">
      <c r="A85" s="20">
        <v>497</v>
      </c>
      <c r="B85" s="21">
        <v>45222</v>
      </c>
      <c r="C85" s="20">
        <v>2023</v>
      </c>
      <c r="D85" s="20">
        <v>20230245</v>
      </c>
      <c r="E85" s="20">
        <v>38841</v>
      </c>
      <c r="F85" s="20" t="s">
        <v>825</v>
      </c>
      <c r="G85" s="20">
        <v>31888</v>
      </c>
      <c r="H85" s="20" t="s">
        <v>1126</v>
      </c>
      <c r="I85" s="20" t="s">
        <v>692</v>
      </c>
      <c r="J85" s="20" t="s">
        <v>693</v>
      </c>
      <c r="K85" s="20" t="s">
        <v>694</v>
      </c>
      <c r="L85" s="20">
        <v>77002</v>
      </c>
      <c r="M85" s="22">
        <v>45194.433333333334</v>
      </c>
      <c r="N85" s="20" t="s">
        <v>695</v>
      </c>
      <c r="O85" s="20" t="s">
        <v>696</v>
      </c>
      <c r="P85" s="20">
        <v>35.657572000000002</v>
      </c>
      <c r="Q85" s="20">
        <v>-97.582892000000001</v>
      </c>
      <c r="R85" s="20" t="s">
        <v>697</v>
      </c>
      <c r="W85" s="20">
        <v>1684</v>
      </c>
      <c r="Y85" s="20">
        <v>1684</v>
      </c>
      <c r="Z85" s="20" t="s">
        <v>698</v>
      </c>
      <c r="AF85" s="20">
        <v>0</v>
      </c>
      <c r="AG85" s="20" t="s">
        <v>698</v>
      </c>
      <c r="AM85" s="20">
        <v>0</v>
      </c>
      <c r="AN85" s="20" t="s">
        <v>1444</v>
      </c>
      <c r="AQ85" s="23">
        <v>45194.433333333334</v>
      </c>
      <c r="AR85" s="20" t="s">
        <v>776</v>
      </c>
      <c r="AS85" s="20" t="s">
        <v>702</v>
      </c>
      <c r="AT85" s="20" t="s">
        <v>703</v>
      </c>
      <c r="AU85" s="20" t="s">
        <v>696</v>
      </c>
      <c r="AW85" s="23">
        <v>45194.433333333334</v>
      </c>
      <c r="AX85" s="23">
        <v>45195.300694444442</v>
      </c>
      <c r="AZ85" s="20" t="s">
        <v>698</v>
      </c>
      <c r="BC85" s="23">
        <v>45194.447222222225</v>
      </c>
      <c r="BD85" s="23">
        <v>45194.465277777781</v>
      </c>
      <c r="BE85" s="23">
        <v>45194.512499999997</v>
      </c>
      <c r="BF85" s="20">
        <v>1380056</v>
      </c>
      <c r="BG85" s="20">
        <v>1380263</v>
      </c>
      <c r="BH85" s="20" t="s">
        <v>698</v>
      </c>
      <c r="BN85" s="20" t="s">
        <v>849</v>
      </c>
      <c r="BO85" s="20" t="s">
        <v>1445</v>
      </c>
      <c r="BR85" s="20" t="s">
        <v>777</v>
      </c>
      <c r="BT85" s="23">
        <v>45194.459027777775</v>
      </c>
      <c r="BU85" s="20" t="s">
        <v>798</v>
      </c>
      <c r="BV85" s="20" t="s">
        <v>696</v>
      </c>
      <c r="BW85" s="23">
        <v>45194.447222222225</v>
      </c>
      <c r="BX85" s="20" t="s">
        <v>696</v>
      </c>
      <c r="BY85" s="23">
        <v>45194.458333333336</v>
      </c>
      <c r="BZ85" s="23">
        <v>45194.493055555555</v>
      </c>
      <c r="CA85" s="20">
        <v>0</v>
      </c>
      <c r="CB85" s="20" t="s">
        <v>1446</v>
      </c>
      <c r="CC85" s="20" t="s">
        <v>1447</v>
      </c>
      <c r="CD85" s="20" t="s">
        <v>739</v>
      </c>
      <c r="CE85" s="20">
        <v>73012</v>
      </c>
      <c r="CF85" s="20" t="s">
        <v>1448</v>
      </c>
      <c r="CG85" s="20" t="s">
        <v>1449</v>
      </c>
      <c r="CH85" s="20" t="s">
        <v>784</v>
      </c>
      <c r="CI85" s="20" t="s">
        <v>1450</v>
      </c>
      <c r="CJ85" s="20" t="s">
        <v>698</v>
      </c>
      <c r="CK85" s="20" t="s">
        <v>785</v>
      </c>
      <c r="CL85" s="20" t="s">
        <v>741</v>
      </c>
      <c r="CM85" s="20" t="s">
        <v>742</v>
      </c>
      <c r="CO85" s="20">
        <v>30</v>
      </c>
      <c r="CP85" s="20" t="s">
        <v>698</v>
      </c>
      <c r="DM85" s="20" t="s">
        <v>743</v>
      </c>
      <c r="DN85" s="20" t="s">
        <v>744</v>
      </c>
      <c r="DO85" s="20" t="s">
        <v>745</v>
      </c>
      <c r="DP85" s="20" t="s">
        <v>698</v>
      </c>
      <c r="DQ85" s="20">
        <v>16</v>
      </c>
      <c r="DR85" s="20">
        <v>0.25</v>
      </c>
      <c r="DS85" s="20">
        <v>35000</v>
      </c>
      <c r="DT85" s="20" t="s">
        <v>1451</v>
      </c>
      <c r="DU85" s="20" t="s">
        <v>747</v>
      </c>
      <c r="DW85" s="20" t="s">
        <v>728</v>
      </c>
      <c r="DX85" s="20" t="s">
        <v>766</v>
      </c>
      <c r="DY85" s="20" t="s">
        <v>1452</v>
      </c>
      <c r="DZ85" s="20" t="s">
        <v>696</v>
      </c>
      <c r="FK85" s="20">
        <v>1943</v>
      </c>
      <c r="FL85" s="20" t="s">
        <v>728</v>
      </c>
      <c r="FM85" s="20" t="s">
        <v>719</v>
      </c>
      <c r="FO85" s="20" t="s">
        <v>1061</v>
      </c>
      <c r="FP85" s="20">
        <v>3.5</v>
      </c>
      <c r="FQ85" s="20">
        <v>2.5</v>
      </c>
      <c r="FY85" s="20" t="s">
        <v>698</v>
      </c>
      <c r="GC85" s="20" t="s">
        <v>696</v>
      </c>
      <c r="GD85" s="20" t="s">
        <v>698</v>
      </c>
      <c r="GE85" s="20" t="s">
        <v>696</v>
      </c>
      <c r="GH85" s="20" t="s">
        <v>696</v>
      </c>
      <c r="GK85" s="20" t="s">
        <v>698</v>
      </c>
      <c r="GT85" s="20" t="s">
        <v>696</v>
      </c>
      <c r="GU85" s="20" t="s">
        <v>696</v>
      </c>
      <c r="GZ85" s="20" t="s">
        <v>696</v>
      </c>
      <c r="HA85" s="20" t="s">
        <v>696</v>
      </c>
      <c r="HF85" s="20">
        <v>1000</v>
      </c>
      <c r="HG85" s="20">
        <v>9000</v>
      </c>
      <c r="HH85" s="20">
        <v>250000</v>
      </c>
      <c r="HI85" s="20">
        <v>240000</v>
      </c>
      <c r="HJ85" s="20">
        <v>600000</v>
      </c>
      <c r="HK85" s="20">
        <v>0</v>
      </c>
      <c r="HM85" s="20">
        <v>1100000</v>
      </c>
      <c r="HN85" s="20">
        <v>0</v>
      </c>
      <c r="HO85" s="20">
        <v>0</v>
      </c>
      <c r="HP85" s="20">
        <v>0</v>
      </c>
      <c r="HQ85" s="20">
        <v>0</v>
      </c>
      <c r="HR85" s="20">
        <v>70</v>
      </c>
      <c r="HS85" s="20">
        <v>787</v>
      </c>
      <c r="HT85" s="20" t="s">
        <v>943</v>
      </c>
      <c r="HV85" s="24">
        <v>42668</v>
      </c>
      <c r="HW85" s="20" t="s">
        <v>971</v>
      </c>
      <c r="HY85" s="20" t="s">
        <v>723</v>
      </c>
      <c r="HZ85" s="20" t="s">
        <v>698</v>
      </c>
      <c r="ID85" s="20" t="s">
        <v>696</v>
      </c>
      <c r="IL85" s="20" t="s">
        <v>698</v>
      </c>
      <c r="IS85" s="20" t="s">
        <v>724</v>
      </c>
      <c r="IT85" s="20" t="s">
        <v>696</v>
      </c>
      <c r="IU85" s="20" t="s">
        <v>696</v>
      </c>
      <c r="IV85" s="20" t="s">
        <v>696</v>
      </c>
      <c r="IW85" s="20" t="s">
        <v>698</v>
      </c>
      <c r="IX85" s="20" t="s">
        <v>698</v>
      </c>
      <c r="IY85" s="20" t="s">
        <v>696</v>
      </c>
      <c r="IZ85" s="20" t="s">
        <v>696</v>
      </c>
      <c r="JA85" s="20" t="s">
        <v>696</v>
      </c>
      <c r="JB85" s="20" t="s">
        <v>698</v>
      </c>
      <c r="JC85" s="20" t="s">
        <v>698</v>
      </c>
      <c r="JD85" s="20" t="s">
        <v>725</v>
      </c>
      <c r="JE85" s="20" t="s">
        <v>1453</v>
      </c>
      <c r="JR85" s="20" t="s">
        <v>698</v>
      </c>
      <c r="JS85" s="20" t="s">
        <v>698</v>
      </c>
      <c r="JX85" s="20" t="s">
        <v>990</v>
      </c>
      <c r="JY85" s="20" t="s">
        <v>1454</v>
      </c>
      <c r="MK85" s="20" t="s">
        <v>1454</v>
      </c>
      <c r="ML85" s="20" t="s">
        <v>696</v>
      </c>
      <c r="MM85" s="20" t="s">
        <v>696</v>
      </c>
      <c r="MQ85" s="20" t="s">
        <v>698</v>
      </c>
      <c r="MV85" s="20" t="s">
        <v>696</v>
      </c>
      <c r="MY85" s="20" t="s">
        <v>696</v>
      </c>
      <c r="MZ85" s="20" t="s">
        <v>992</v>
      </c>
      <c r="NG85" s="20" t="s">
        <v>698</v>
      </c>
      <c r="NH85" s="20" t="s">
        <v>698</v>
      </c>
      <c r="NI85" s="20" t="s">
        <v>1455</v>
      </c>
      <c r="NK85" s="20" t="s">
        <v>1456</v>
      </c>
      <c r="NL85" s="20" t="s">
        <v>1457</v>
      </c>
      <c r="NM85" s="20" t="s">
        <v>1458</v>
      </c>
      <c r="NN85" s="20" t="s">
        <v>696</v>
      </c>
      <c r="NO85" s="26">
        <v>23092500000000</v>
      </c>
      <c r="NQ85" s="20" t="s">
        <v>696</v>
      </c>
      <c r="NR85" s="20" t="s">
        <v>1459</v>
      </c>
      <c r="NS85" s="20" t="s">
        <v>696</v>
      </c>
      <c r="NT85" s="20" t="s">
        <v>696</v>
      </c>
      <c r="NU85" s="20">
        <v>14</v>
      </c>
      <c r="NV85" s="20" t="s">
        <v>995</v>
      </c>
      <c r="NW85" s="20" t="s">
        <v>1460</v>
      </c>
      <c r="XL85" s="20" t="s">
        <v>1389</v>
      </c>
      <c r="XM85" s="20" t="s">
        <v>1390</v>
      </c>
      <c r="XN85" s="20" t="s">
        <v>1391</v>
      </c>
      <c r="XO85" s="20" t="s">
        <v>1428</v>
      </c>
      <c r="XQ85" s="24">
        <v>45251</v>
      </c>
      <c r="XU85" s="20" t="s">
        <v>1393</v>
      </c>
      <c r="XV85" s="20" t="s">
        <v>1461</v>
      </c>
      <c r="XW85" s="20" t="s">
        <v>1395</v>
      </c>
      <c r="XX85" s="20" t="s">
        <v>1396</v>
      </c>
      <c r="XY85" s="20" t="s">
        <v>1462</v>
      </c>
    </row>
    <row r="86" spans="1:649" ht="13">
      <c r="A86" s="20">
        <v>513</v>
      </c>
      <c r="B86" s="21">
        <v>45204</v>
      </c>
      <c r="C86" s="20">
        <v>2023</v>
      </c>
      <c r="D86" s="20">
        <v>20230234</v>
      </c>
      <c r="E86" s="20">
        <v>38624</v>
      </c>
      <c r="F86" s="20" t="s">
        <v>885</v>
      </c>
      <c r="G86" s="20">
        <v>39596</v>
      </c>
      <c r="H86" s="20" t="s">
        <v>796</v>
      </c>
      <c r="I86" s="20" t="s">
        <v>692</v>
      </c>
      <c r="J86" s="20" t="s">
        <v>693</v>
      </c>
      <c r="K86" s="20" t="s">
        <v>694</v>
      </c>
      <c r="L86" s="20">
        <v>77002</v>
      </c>
      <c r="M86" s="22">
        <v>45175.291666666664</v>
      </c>
      <c r="N86" s="20" t="s">
        <v>695</v>
      </c>
      <c r="O86" s="20" t="s">
        <v>696</v>
      </c>
      <c r="P86" s="20">
        <v>32.299830999999998</v>
      </c>
      <c r="Q86" s="20">
        <v>-97.840641000000005</v>
      </c>
      <c r="R86" s="20" t="s">
        <v>697</v>
      </c>
      <c r="W86" s="20">
        <v>5</v>
      </c>
      <c r="Y86" s="20">
        <v>5</v>
      </c>
      <c r="Z86" s="20" t="s">
        <v>698</v>
      </c>
      <c r="AF86" s="20">
        <v>0</v>
      </c>
      <c r="AG86" s="20" t="s">
        <v>698</v>
      </c>
      <c r="AM86" s="20">
        <v>0</v>
      </c>
      <c r="AN86" s="20" t="s">
        <v>699</v>
      </c>
      <c r="AP86" s="20" t="s">
        <v>700</v>
      </c>
      <c r="AQ86" s="23">
        <v>45175.291666666664</v>
      </c>
      <c r="AR86" s="20" t="s">
        <v>701</v>
      </c>
      <c r="AS86" s="20" t="s">
        <v>702</v>
      </c>
      <c r="AT86" s="20" t="s">
        <v>703</v>
      </c>
      <c r="AU86" s="20" t="s">
        <v>698</v>
      </c>
      <c r="AV86" s="20" t="s">
        <v>1463</v>
      </c>
      <c r="AZ86" s="20" t="s">
        <v>698</v>
      </c>
      <c r="BC86" s="23">
        <v>45175.291666666664</v>
      </c>
      <c r="BD86" s="23">
        <v>45175.291666666664</v>
      </c>
      <c r="BF86" s="20" t="s">
        <v>754</v>
      </c>
      <c r="BH86" s="20" t="s">
        <v>698</v>
      </c>
      <c r="BV86" s="20" t="s">
        <v>696</v>
      </c>
      <c r="BW86" s="23">
        <v>45175.333333333336</v>
      </c>
      <c r="BX86" s="20" t="s">
        <v>698</v>
      </c>
      <c r="CA86" s="20">
        <v>0</v>
      </c>
      <c r="CB86" s="20" t="s">
        <v>1464</v>
      </c>
      <c r="CC86" s="20" t="s">
        <v>1465</v>
      </c>
      <c r="CD86" s="20" t="s">
        <v>694</v>
      </c>
      <c r="CE86" s="20">
        <v>76476</v>
      </c>
      <c r="CF86" s="20" t="s">
        <v>708</v>
      </c>
      <c r="CG86" s="20" t="s">
        <v>1466</v>
      </c>
      <c r="CH86" s="20" t="s">
        <v>710</v>
      </c>
      <c r="CI86" s="20">
        <v>190.1</v>
      </c>
      <c r="CJ86" s="20" t="s">
        <v>698</v>
      </c>
      <c r="CK86" s="20" t="s">
        <v>712</v>
      </c>
      <c r="CL86" s="20" t="s">
        <v>741</v>
      </c>
      <c r="CM86" s="20" t="s">
        <v>742</v>
      </c>
      <c r="CO86" s="20">
        <v>48</v>
      </c>
      <c r="CP86" s="20" t="s">
        <v>698</v>
      </c>
      <c r="DM86" s="20" t="s">
        <v>743</v>
      </c>
      <c r="DN86" s="20" t="s">
        <v>892</v>
      </c>
      <c r="FK86" s="20">
        <v>2019</v>
      </c>
      <c r="FL86" s="20">
        <v>2019</v>
      </c>
      <c r="FM86" s="20" t="s">
        <v>719</v>
      </c>
      <c r="FO86" s="20" t="s">
        <v>720</v>
      </c>
      <c r="FR86" s="20" t="s">
        <v>749</v>
      </c>
      <c r="FY86" s="20" t="s">
        <v>698</v>
      </c>
      <c r="GC86" s="20" t="s">
        <v>696</v>
      </c>
      <c r="GD86" s="20" t="s">
        <v>698</v>
      </c>
      <c r="GE86" s="20" t="s">
        <v>696</v>
      </c>
      <c r="GH86" s="20" t="s">
        <v>696</v>
      </c>
      <c r="GK86" s="20" t="s">
        <v>698</v>
      </c>
      <c r="GT86" s="20" t="s">
        <v>696</v>
      </c>
      <c r="GU86" s="20" t="s">
        <v>696</v>
      </c>
      <c r="HB86" s="20" t="s">
        <v>696</v>
      </c>
      <c r="HC86" s="20" t="s">
        <v>696</v>
      </c>
      <c r="HF86" s="20">
        <v>0</v>
      </c>
      <c r="HG86" s="20">
        <v>0</v>
      </c>
      <c r="HH86" s="20">
        <v>3000</v>
      </c>
      <c r="HI86" s="20">
        <v>10000</v>
      </c>
      <c r="HJ86" s="20">
        <v>4000</v>
      </c>
      <c r="HK86" s="20">
        <v>0</v>
      </c>
      <c r="HM86" s="20">
        <v>17000</v>
      </c>
      <c r="HN86" s="20">
        <v>0</v>
      </c>
      <c r="HO86" s="20">
        <v>0</v>
      </c>
      <c r="HP86" s="20">
        <v>0</v>
      </c>
      <c r="HQ86" s="20">
        <v>0</v>
      </c>
      <c r="HR86" s="20">
        <v>550</v>
      </c>
      <c r="HS86" s="20">
        <v>1480</v>
      </c>
      <c r="HT86" s="20" t="s">
        <v>750</v>
      </c>
      <c r="HV86" s="24">
        <v>43682</v>
      </c>
      <c r="HW86" s="20" t="s">
        <v>698</v>
      </c>
      <c r="HY86" s="20" t="s">
        <v>723</v>
      </c>
      <c r="HZ86" s="20" t="s">
        <v>698</v>
      </c>
      <c r="IS86" s="20" t="s">
        <v>724</v>
      </c>
      <c r="IT86" s="20" t="s">
        <v>696</v>
      </c>
      <c r="IU86" s="20" t="s">
        <v>696</v>
      </c>
      <c r="IV86" s="20" t="s">
        <v>696</v>
      </c>
      <c r="IW86" s="20" t="s">
        <v>698</v>
      </c>
      <c r="IX86" s="20" t="s">
        <v>698</v>
      </c>
      <c r="IY86" s="20" t="s">
        <v>696</v>
      </c>
      <c r="IZ86" s="20" t="s">
        <v>696</v>
      </c>
      <c r="JA86" s="20" t="s">
        <v>696</v>
      </c>
      <c r="JB86" s="20" t="s">
        <v>698</v>
      </c>
      <c r="JC86" s="20" t="s">
        <v>698</v>
      </c>
      <c r="JD86" s="20" t="s">
        <v>725</v>
      </c>
      <c r="JE86" s="20" t="s">
        <v>726</v>
      </c>
      <c r="JR86" s="20" t="s">
        <v>698</v>
      </c>
      <c r="JS86" s="20" t="s">
        <v>698</v>
      </c>
      <c r="JX86" s="20" t="s">
        <v>833</v>
      </c>
      <c r="JY86" s="20" t="s">
        <v>834</v>
      </c>
      <c r="JZ86" s="20" t="s">
        <v>834</v>
      </c>
      <c r="LD86" s="20" t="s">
        <v>1442</v>
      </c>
      <c r="LG86" s="20" t="s">
        <v>696</v>
      </c>
      <c r="LL86" s="20" t="s">
        <v>696</v>
      </c>
      <c r="LP86" s="20" t="s">
        <v>696</v>
      </c>
      <c r="LU86" s="20" t="s">
        <v>698</v>
      </c>
      <c r="LV86" s="20" t="s">
        <v>698</v>
      </c>
      <c r="LW86" s="20" t="s">
        <v>838</v>
      </c>
      <c r="LX86" s="20" t="s">
        <v>838</v>
      </c>
      <c r="XL86" s="20" t="s">
        <v>730</v>
      </c>
      <c r="XM86" s="20" t="s">
        <v>731</v>
      </c>
      <c r="XN86" s="20" t="s">
        <v>732</v>
      </c>
      <c r="XO86" s="20" t="s">
        <v>733</v>
      </c>
      <c r="XQ86" s="24">
        <v>45204</v>
      </c>
      <c r="XU86" s="20" t="s">
        <v>730</v>
      </c>
      <c r="XV86" s="20" t="s">
        <v>733</v>
      </c>
      <c r="XW86" s="20" t="s">
        <v>731</v>
      </c>
      <c r="XX86" s="20" t="s">
        <v>732</v>
      </c>
      <c r="XY86" s="20" t="s">
        <v>1467</v>
      </c>
    </row>
    <row r="87" spans="1:649" ht="13">
      <c r="A87" s="20">
        <v>516</v>
      </c>
      <c r="B87" s="21">
        <v>45196</v>
      </c>
      <c r="C87" s="20">
        <v>2023</v>
      </c>
      <c r="D87" s="20">
        <v>20230229</v>
      </c>
      <c r="E87" s="20">
        <v>39416</v>
      </c>
      <c r="F87" s="20" t="s">
        <v>825</v>
      </c>
      <c r="G87" s="20">
        <v>32683</v>
      </c>
      <c r="H87" s="20" t="s">
        <v>1206</v>
      </c>
      <c r="I87" s="20" t="s">
        <v>692</v>
      </c>
      <c r="J87" s="20" t="s">
        <v>693</v>
      </c>
      <c r="K87" s="20" t="s">
        <v>694</v>
      </c>
      <c r="L87" s="20">
        <v>77002</v>
      </c>
      <c r="M87" s="22">
        <v>45167.503472222219</v>
      </c>
      <c r="N87" s="20" t="s">
        <v>843</v>
      </c>
      <c r="O87" s="20" t="s">
        <v>696</v>
      </c>
      <c r="P87" s="20">
        <v>41.578719999999997</v>
      </c>
      <c r="Q87" s="20">
        <v>-83.444460000000007</v>
      </c>
      <c r="R87" s="20" t="s">
        <v>844</v>
      </c>
      <c r="S87" s="20" t="s">
        <v>936</v>
      </c>
      <c r="W87" s="20">
        <v>4</v>
      </c>
      <c r="Y87" s="20">
        <v>4</v>
      </c>
      <c r="Z87" s="20" t="s">
        <v>698</v>
      </c>
      <c r="AF87" s="20">
        <v>0</v>
      </c>
      <c r="AG87" s="20" t="s">
        <v>698</v>
      </c>
      <c r="AM87" s="20">
        <v>0</v>
      </c>
      <c r="AN87" s="20" t="s">
        <v>775</v>
      </c>
      <c r="AQ87" s="23">
        <v>45167.503472222219</v>
      </c>
      <c r="AR87" s="20" t="s">
        <v>776</v>
      </c>
      <c r="AS87" s="20" t="s">
        <v>702</v>
      </c>
      <c r="AT87" s="20" t="s">
        <v>703</v>
      </c>
      <c r="AU87" s="20" t="s">
        <v>696</v>
      </c>
      <c r="AW87" s="23">
        <v>45167.51666666667</v>
      </c>
      <c r="AX87" s="23">
        <v>45168.884722222225</v>
      </c>
      <c r="AZ87" s="20" t="s">
        <v>696</v>
      </c>
      <c r="BA87" s="20" t="s">
        <v>753</v>
      </c>
      <c r="BB87" s="23">
        <v>45167.657638888886</v>
      </c>
      <c r="BC87" s="23">
        <v>45167.527777777781</v>
      </c>
      <c r="BD87" s="23">
        <v>45167.635416666664</v>
      </c>
      <c r="BE87" s="23">
        <v>45167.663888888892</v>
      </c>
      <c r="BF87" s="20">
        <v>1377623</v>
      </c>
      <c r="BG87" s="20" t="s">
        <v>1468</v>
      </c>
      <c r="BH87" s="20" t="s">
        <v>698</v>
      </c>
      <c r="BN87" s="20" t="s">
        <v>777</v>
      </c>
      <c r="BP87" s="23">
        <v>45167.520833333336</v>
      </c>
      <c r="BQ87" s="20" t="s">
        <v>798</v>
      </c>
      <c r="BR87" s="20" t="s">
        <v>777</v>
      </c>
      <c r="BT87" s="23">
        <v>45167.534722222219</v>
      </c>
      <c r="BU87" s="20" t="s">
        <v>779</v>
      </c>
      <c r="BV87" s="20" t="s">
        <v>696</v>
      </c>
      <c r="BW87" s="23">
        <v>45167.520833333336</v>
      </c>
      <c r="BX87" s="20" t="s">
        <v>696</v>
      </c>
      <c r="BY87" s="23">
        <v>45167.552083333336</v>
      </c>
      <c r="BZ87" s="23">
        <v>45167.583333333336</v>
      </c>
      <c r="CA87" s="20">
        <v>0</v>
      </c>
      <c r="CB87" s="20" t="s">
        <v>1469</v>
      </c>
      <c r="CC87" s="20" t="s">
        <v>1470</v>
      </c>
      <c r="CD87" s="20" t="s">
        <v>1075</v>
      </c>
      <c r="CE87" s="20">
        <v>43619</v>
      </c>
      <c r="CF87" s="20" t="s">
        <v>1471</v>
      </c>
      <c r="CG87" s="20" t="s">
        <v>1472</v>
      </c>
      <c r="CH87" s="20" t="s">
        <v>710</v>
      </c>
      <c r="CI87" s="20">
        <v>35202.699999999997</v>
      </c>
      <c r="CJ87" s="20" t="s">
        <v>698</v>
      </c>
      <c r="CK87" s="20" t="s">
        <v>785</v>
      </c>
      <c r="CL87" s="20" t="s">
        <v>741</v>
      </c>
      <c r="CM87" s="20" t="s">
        <v>742</v>
      </c>
      <c r="CO87" s="20">
        <v>60</v>
      </c>
      <c r="CP87" s="20" t="s">
        <v>698</v>
      </c>
      <c r="DM87" s="20" t="s">
        <v>743</v>
      </c>
      <c r="DN87" s="20" t="s">
        <v>744</v>
      </c>
      <c r="DO87" s="20" t="s">
        <v>745</v>
      </c>
      <c r="DP87" s="20" t="s">
        <v>698</v>
      </c>
      <c r="DQ87" s="20">
        <v>10</v>
      </c>
      <c r="DR87" s="20">
        <v>0.25</v>
      </c>
      <c r="DS87" s="20">
        <v>46000</v>
      </c>
      <c r="DT87" s="20" t="s">
        <v>1473</v>
      </c>
      <c r="DU87" s="20" t="s">
        <v>926</v>
      </c>
      <c r="DW87" s="20" t="s">
        <v>1059</v>
      </c>
      <c r="DX87" s="20" t="s">
        <v>805</v>
      </c>
      <c r="DZ87" s="20" t="s">
        <v>696</v>
      </c>
      <c r="FK87" s="20">
        <v>1955</v>
      </c>
      <c r="FL87" s="20">
        <v>1955</v>
      </c>
      <c r="FM87" s="20" t="s">
        <v>719</v>
      </c>
      <c r="FO87" s="20" t="s">
        <v>720</v>
      </c>
      <c r="FR87" s="20" t="s">
        <v>749</v>
      </c>
      <c r="FY87" s="20" t="s">
        <v>696</v>
      </c>
      <c r="FZ87" s="20" t="s">
        <v>696</v>
      </c>
      <c r="GC87" s="20" t="s">
        <v>696</v>
      </c>
      <c r="GD87" s="20" t="s">
        <v>696</v>
      </c>
      <c r="GE87" s="20" t="s">
        <v>696</v>
      </c>
      <c r="GF87" s="20" t="s">
        <v>696</v>
      </c>
      <c r="GH87" s="20" t="s">
        <v>696</v>
      </c>
      <c r="GK87" s="20" t="s">
        <v>696</v>
      </c>
      <c r="GM87" s="20" t="s">
        <v>696</v>
      </c>
      <c r="GR87" s="20">
        <v>0.12</v>
      </c>
      <c r="GS87" s="20" t="s">
        <v>1474</v>
      </c>
      <c r="GT87" s="20" t="s">
        <v>696</v>
      </c>
      <c r="GU87" s="20" t="s">
        <v>698</v>
      </c>
      <c r="HF87" s="20">
        <v>20000</v>
      </c>
      <c r="HG87" s="20">
        <v>470</v>
      </c>
      <c r="HH87" s="20">
        <v>26000</v>
      </c>
      <c r="HI87" s="20">
        <v>78230</v>
      </c>
      <c r="HJ87" s="20">
        <v>289170</v>
      </c>
      <c r="HK87" s="20">
        <v>0</v>
      </c>
      <c r="HM87" s="20">
        <v>413870</v>
      </c>
      <c r="HN87" s="20">
        <v>0</v>
      </c>
      <c r="HO87" s="20">
        <v>0</v>
      </c>
      <c r="HP87" s="20">
        <v>0</v>
      </c>
      <c r="HQ87" s="20">
        <v>0</v>
      </c>
      <c r="HR87" s="20">
        <v>540</v>
      </c>
      <c r="HS87" s="20">
        <v>1200</v>
      </c>
      <c r="HT87" s="20" t="s">
        <v>787</v>
      </c>
      <c r="HV87" s="24">
        <v>25457</v>
      </c>
      <c r="HW87" s="20" t="s">
        <v>698</v>
      </c>
      <c r="HY87" s="20" t="s">
        <v>723</v>
      </c>
      <c r="HZ87" s="20" t="s">
        <v>698</v>
      </c>
      <c r="IC87" s="20">
        <v>44352</v>
      </c>
      <c r="ID87" s="20" t="s">
        <v>696</v>
      </c>
      <c r="IL87" s="20" t="s">
        <v>698</v>
      </c>
      <c r="IS87" s="20" t="s">
        <v>724</v>
      </c>
      <c r="IT87" s="20" t="s">
        <v>696</v>
      </c>
      <c r="IU87" s="20" t="s">
        <v>696</v>
      </c>
      <c r="IV87" s="20" t="s">
        <v>696</v>
      </c>
      <c r="IW87" s="20" t="s">
        <v>698</v>
      </c>
      <c r="IX87" s="20" t="s">
        <v>698</v>
      </c>
      <c r="IY87" s="20" t="s">
        <v>696</v>
      </c>
      <c r="IZ87" s="20" t="s">
        <v>696</v>
      </c>
      <c r="JA87" s="20" t="s">
        <v>696</v>
      </c>
      <c r="JB87" s="20" t="s">
        <v>698</v>
      </c>
      <c r="JC87" s="20" t="s">
        <v>698</v>
      </c>
      <c r="JD87" s="20" t="s">
        <v>725</v>
      </c>
      <c r="JE87" s="20" t="s">
        <v>726</v>
      </c>
      <c r="JR87" s="20" t="s">
        <v>698</v>
      </c>
      <c r="JS87" s="20" t="s">
        <v>698</v>
      </c>
      <c r="JX87" s="20" t="s">
        <v>833</v>
      </c>
      <c r="JY87" s="20" t="s">
        <v>860</v>
      </c>
      <c r="JZ87" s="20" t="s">
        <v>860</v>
      </c>
      <c r="KA87" s="20" t="s">
        <v>835</v>
      </c>
      <c r="KC87" s="20" t="s">
        <v>696</v>
      </c>
      <c r="KM87" s="20" t="s">
        <v>696</v>
      </c>
      <c r="KP87" s="20" t="s">
        <v>696</v>
      </c>
      <c r="KQ87" s="20" t="s">
        <v>696</v>
      </c>
      <c r="KR87" s="20">
        <v>1955</v>
      </c>
      <c r="KS87" s="20" t="s">
        <v>698</v>
      </c>
      <c r="KT87" s="20" t="s">
        <v>696</v>
      </c>
      <c r="KU87" s="20" t="s">
        <v>696</v>
      </c>
      <c r="KV87" s="20" t="s">
        <v>696</v>
      </c>
      <c r="KX87" s="20">
        <v>2021</v>
      </c>
      <c r="KY87" s="20">
        <v>2021</v>
      </c>
      <c r="LC87" s="20" t="s">
        <v>696</v>
      </c>
      <c r="SC87" s="20" t="s">
        <v>696</v>
      </c>
      <c r="SD87" s="20" t="s">
        <v>696</v>
      </c>
      <c r="SF87" s="20" t="s">
        <v>696</v>
      </c>
      <c r="SG87" s="20" t="s">
        <v>696</v>
      </c>
      <c r="SK87" s="20">
        <v>2022</v>
      </c>
      <c r="SL87" s="20" t="s">
        <v>863</v>
      </c>
      <c r="SM87" s="20" t="s">
        <v>864</v>
      </c>
      <c r="SO87" s="20" t="s">
        <v>865</v>
      </c>
      <c r="SQ87" s="20">
        <v>2017</v>
      </c>
      <c r="SR87" s="20" t="s">
        <v>863</v>
      </c>
      <c r="SS87" s="20" t="s">
        <v>864</v>
      </c>
      <c r="SU87" s="20" t="s">
        <v>865</v>
      </c>
      <c r="TE87" s="20">
        <v>2012</v>
      </c>
      <c r="TF87" s="20" t="s">
        <v>863</v>
      </c>
      <c r="TG87" s="20" t="s">
        <v>768</v>
      </c>
      <c r="TK87" s="20">
        <v>2012</v>
      </c>
      <c r="TL87" s="20" t="s">
        <v>863</v>
      </c>
      <c r="TM87" s="20" t="s">
        <v>768</v>
      </c>
      <c r="TQ87" s="20">
        <v>2022</v>
      </c>
      <c r="TR87" s="20" t="s">
        <v>863</v>
      </c>
      <c r="TS87" s="20" t="s">
        <v>865</v>
      </c>
      <c r="TU87" s="20" t="s">
        <v>934</v>
      </c>
      <c r="TV87" s="20">
        <v>2017</v>
      </c>
      <c r="TW87" s="20" t="s">
        <v>863</v>
      </c>
      <c r="TX87" s="20" t="s">
        <v>865</v>
      </c>
      <c r="TZ87" s="20" t="s">
        <v>934</v>
      </c>
      <c r="UO87" s="20" t="s">
        <v>696</v>
      </c>
      <c r="UP87" s="20">
        <v>1969</v>
      </c>
      <c r="UQ87" s="20">
        <v>1774</v>
      </c>
      <c r="UR87" s="20" t="s">
        <v>698</v>
      </c>
      <c r="UZ87" s="20" t="s">
        <v>698</v>
      </c>
      <c r="WS87" s="20" t="s">
        <v>696</v>
      </c>
      <c r="XL87" s="20" t="s">
        <v>730</v>
      </c>
      <c r="XM87" s="20" t="s">
        <v>731</v>
      </c>
      <c r="XN87" s="20" t="s">
        <v>732</v>
      </c>
      <c r="XO87" s="20" t="s">
        <v>733</v>
      </c>
      <c r="XQ87" s="24">
        <v>45391</v>
      </c>
      <c r="XU87" s="20" t="s">
        <v>730</v>
      </c>
      <c r="XV87" s="20" t="s">
        <v>733</v>
      </c>
      <c r="XW87" s="20" t="s">
        <v>731</v>
      </c>
      <c r="XX87" s="20" t="s">
        <v>732</v>
      </c>
      <c r="XY87" s="20" t="s">
        <v>1475</v>
      </c>
    </row>
    <row r="88" spans="1:649" ht="13">
      <c r="A88" s="20">
        <v>530</v>
      </c>
      <c r="B88" s="21">
        <v>45184</v>
      </c>
      <c r="C88" s="20">
        <v>2023</v>
      </c>
      <c r="D88" s="20">
        <v>20230215</v>
      </c>
      <c r="E88" s="20">
        <v>38553</v>
      </c>
      <c r="F88" s="20" t="s">
        <v>885</v>
      </c>
      <c r="G88" s="20">
        <v>32099</v>
      </c>
      <c r="H88" s="20" t="s">
        <v>752</v>
      </c>
      <c r="I88" s="20" t="s">
        <v>692</v>
      </c>
      <c r="J88" s="20" t="s">
        <v>693</v>
      </c>
      <c r="K88" s="20" t="s">
        <v>694</v>
      </c>
      <c r="L88" s="20">
        <v>77002</v>
      </c>
      <c r="M88" s="22">
        <v>45156.686805555553</v>
      </c>
      <c r="N88" s="20" t="s">
        <v>695</v>
      </c>
      <c r="O88" s="20" t="s">
        <v>696</v>
      </c>
      <c r="P88" s="20">
        <v>27.669892919999999</v>
      </c>
      <c r="Q88" s="20">
        <v>-97.714097769999995</v>
      </c>
      <c r="R88" s="20" t="s">
        <v>773</v>
      </c>
      <c r="S88" s="20" t="s">
        <v>1098</v>
      </c>
      <c r="W88" s="20">
        <v>1615.2</v>
      </c>
      <c r="X88" s="20">
        <v>1928.8</v>
      </c>
      <c r="Y88" s="20">
        <v>0</v>
      </c>
      <c r="Z88" s="20" t="s">
        <v>698</v>
      </c>
      <c r="AF88" s="20">
        <v>0</v>
      </c>
      <c r="AG88" s="20" t="s">
        <v>698</v>
      </c>
      <c r="AM88" s="20">
        <v>0</v>
      </c>
      <c r="AN88" s="20" t="s">
        <v>797</v>
      </c>
      <c r="AQ88" s="23">
        <v>45156.73333333333</v>
      </c>
      <c r="AR88" s="20" t="s">
        <v>776</v>
      </c>
      <c r="AS88" s="20" t="s">
        <v>702</v>
      </c>
      <c r="AT88" s="20" t="s">
        <v>703</v>
      </c>
      <c r="AU88" s="20" t="s">
        <v>696</v>
      </c>
      <c r="AW88" s="23">
        <v>45156.710416666669</v>
      </c>
      <c r="AX88" s="23">
        <v>45158.383333333331</v>
      </c>
      <c r="AZ88" s="20" t="s">
        <v>696</v>
      </c>
      <c r="BA88" s="20" t="s">
        <v>1239</v>
      </c>
      <c r="BB88" s="23">
        <v>45156.709027777775</v>
      </c>
      <c r="BC88" s="23">
        <v>45156.731944444444</v>
      </c>
      <c r="BD88" s="23">
        <v>45156.73333333333</v>
      </c>
      <c r="BE88" s="23">
        <v>45156.748611111114</v>
      </c>
      <c r="BF88" s="20">
        <v>1376623</v>
      </c>
      <c r="BG88" s="20">
        <v>1376739</v>
      </c>
      <c r="BH88" s="20" t="s">
        <v>698</v>
      </c>
      <c r="BN88" s="20" t="s">
        <v>777</v>
      </c>
      <c r="BP88" s="23">
        <v>45156.710416666669</v>
      </c>
      <c r="BQ88" s="20" t="s">
        <v>798</v>
      </c>
      <c r="BR88" s="20" t="s">
        <v>777</v>
      </c>
      <c r="BT88" s="23">
        <v>45156.710416666669</v>
      </c>
      <c r="BU88" s="20" t="s">
        <v>798</v>
      </c>
      <c r="CA88" s="20">
        <v>0</v>
      </c>
      <c r="CB88" s="20" t="s">
        <v>1476</v>
      </c>
      <c r="CC88" s="20" t="s">
        <v>1476</v>
      </c>
      <c r="CD88" s="20" t="s">
        <v>694</v>
      </c>
      <c r="CE88" s="20">
        <v>78351</v>
      </c>
      <c r="CF88" s="20" t="s">
        <v>1477</v>
      </c>
      <c r="CG88" s="20" t="s">
        <v>1478</v>
      </c>
      <c r="CH88" s="20" t="s">
        <v>784</v>
      </c>
      <c r="CI88" s="20" t="s">
        <v>1479</v>
      </c>
      <c r="CJ88" s="20" t="s">
        <v>698</v>
      </c>
      <c r="CK88" s="20" t="s">
        <v>785</v>
      </c>
      <c r="CL88" s="20" t="s">
        <v>741</v>
      </c>
      <c r="CM88" s="20" t="s">
        <v>742</v>
      </c>
      <c r="CO88" s="20">
        <v>26</v>
      </c>
      <c r="CP88" s="20" t="s">
        <v>698</v>
      </c>
      <c r="DM88" s="20" t="s">
        <v>715</v>
      </c>
      <c r="DN88" s="20" t="s">
        <v>744</v>
      </c>
      <c r="DO88" s="20" t="s">
        <v>745</v>
      </c>
      <c r="DP88" s="20" t="s">
        <v>698</v>
      </c>
      <c r="DQ88" s="20">
        <v>8</v>
      </c>
      <c r="DR88" s="20">
        <v>0.20300000000000001</v>
      </c>
      <c r="DS88" s="20">
        <v>46000</v>
      </c>
      <c r="DT88" s="20" t="s">
        <v>1103</v>
      </c>
      <c r="DU88" s="20" t="s">
        <v>804</v>
      </c>
      <c r="DW88" s="20" t="s">
        <v>728</v>
      </c>
      <c r="DX88" s="20" t="s">
        <v>805</v>
      </c>
      <c r="DZ88" s="20" t="s">
        <v>696</v>
      </c>
      <c r="FK88" s="20">
        <v>1959</v>
      </c>
      <c r="FL88" s="20" t="s">
        <v>728</v>
      </c>
      <c r="FM88" s="20" t="s">
        <v>719</v>
      </c>
      <c r="FO88" s="20" t="s">
        <v>1061</v>
      </c>
      <c r="FP88" s="20">
        <v>2.5</v>
      </c>
      <c r="FQ88" s="20">
        <v>2.4</v>
      </c>
      <c r="FY88" s="20" t="s">
        <v>698</v>
      </c>
      <c r="GC88" s="20" t="s">
        <v>698</v>
      </c>
      <c r="GD88" s="20" t="s">
        <v>698</v>
      </c>
      <c r="GE88" s="20" t="s">
        <v>698</v>
      </c>
      <c r="GK88" s="20" t="s">
        <v>698</v>
      </c>
      <c r="GT88" s="20" t="s">
        <v>698</v>
      </c>
      <c r="GU88" s="20" t="s">
        <v>698</v>
      </c>
      <c r="HF88" s="20">
        <v>0</v>
      </c>
      <c r="HG88" s="20">
        <v>153457</v>
      </c>
      <c r="HH88" s="20">
        <v>132000</v>
      </c>
      <c r="HI88" s="20">
        <v>9360</v>
      </c>
      <c r="HJ88" s="20">
        <v>0</v>
      </c>
      <c r="HK88" s="20">
        <v>0</v>
      </c>
      <c r="HM88" s="20">
        <v>294817</v>
      </c>
      <c r="HN88" s="20">
        <v>0</v>
      </c>
      <c r="HO88" s="20">
        <v>0</v>
      </c>
      <c r="HP88" s="20">
        <v>0</v>
      </c>
      <c r="HQ88" s="20">
        <v>0</v>
      </c>
      <c r="HR88" s="20">
        <v>313</v>
      </c>
      <c r="HS88" s="20">
        <v>650</v>
      </c>
      <c r="HT88" s="20" t="s">
        <v>766</v>
      </c>
      <c r="HU88" s="20" t="s">
        <v>1480</v>
      </c>
      <c r="HV88" s="24">
        <v>42082</v>
      </c>
      <c r="HW88" s="20" t="s">
        <v>698</v>
      </c>
      <c r="HY88" s="20" t="s">
        <v>723</v>
      </c>
      <c r="HZ88" s="20" t="s">
        <v>698</v>
      </c>
      <c r="IC88" s="20">
        <v>28070</v>
      </c>
      <c r="ID88" s="20" t="s">
        <v>696</v>
      </c>
      <c r="IL88" s="20" t="s">
        <v>698</v>
      </c>
      <c r="IS88" s="20" t="s">
        <v>724</v>
      </c>
      <c r="IT88" s="20" t="s">
        <v>696</v>
      </c>
      <c r="IU88" s="20" t="s">
        <v>696</v>
      </c>
      <c r="IV88" s="20" t="s">
        <v>696</v>
      </c>
      <c r="IW88" s="20" t="s">
        <v>696</v>
      </c>
      <c r="IX88" s="20" t="s">
        <v>696</v>
      </c>
      <c r="IY88" s="20" t="s">
        <v>698</v>
      </c>
      <c r="JD88" s="20" t="s">
        <v>725</v>
      </c>
      <c r="JE88" s="20" t="s">
        <v>1481</v>
      </c>
      <c r="JR88" s="20" t="s">
        <v>698</v>
      </c>
      <c r="JS88" s="20" t="s">
        <v>698</v>
      </c>
      <c r="JX88" s="20" t="s">
        <v>990</v>
      </c>
      <c r="JY88" s="20" t="s">
        <v>1454</v>
      </c>
      <c r="MK88" s="20" t="s">
        <v>1454</v>
      </c>
      <c r="ML88" s="20" t="s">
        <v>698</v>
      </c>
      <c r="MQ88" s="20" t="s">
        <v>728</v>
      </c>
      <c r="MV88" s="20" t="s">
        <v>698</v>
      </c>
      <c r="MY88" s="20" t="s">
        <v>696</v>
      </c>
      <c r="MZ88" s="20" t="s">
        <v>992</v>
      </c>
      <c r="NA88" s="20" t="s">
        <v>696</v>
      </c>
      <c r="NG88" s="20" t="s">
        <v>698</v>
      </c>
      <c r="NH88" s="20" t="s">
        <v>698</v>
      </c>
      <c r="NI88" s="20" t="s">
        <v>1482</v>
      </c>
      <c r="NJ88" s="20">
        <v>22</v>
      </c>
      <c r="NK88" s="20" t="s">
        <v>1483</v>
      </c>
      <c r="NL88" s="20" t="s">
        <v>1484</v>
      </c>
      <c r="NM88" s="20" t="s">
        <v>1485</v>
      </c>
      <c r="NN88" s="20" t="s">
        <v>698</v>
      </c>
      <c r="NR88" s="20" t="s">
        <v>994</v>
      </c>
      <c r="NS88" s="20" t="s">
        <v>698</v>
      </c>
      <c r="NT88" s="20" t="s">
        <v>696</v>
      </c>
      <c r="NU88" s="20">
        <v>40</v>
      </c>
      <c r="NV88" s="20" t="s">
        <v>995</v>
      </c>
      <c r="NW88" s="20" t="s">
        <v>996</v>
      </c>
      <c r="XL88" s="20" t="s">
        <v>1486</v>
      </c>
      <c r="XM88" s="20" t="s">
        <v>1487</v>
      </c>
      <c r="XN88" s="20" t="s">
        <v>1488</v>
      </c>
      <c r="XO88" s="20" t="s">
        <v>1489</v>
      </c>
      <c r="XQ88" s="24">
        <v>45184</v>
      </c>
      <c r="XU88" s="20" t="s">
        <v>1490</v>
      </c>
      <c r="XV88" s="20" t="s">
        <v>1491</v>
      </c>
      <c r="XW88" s="20" t="s">
        <v>1360</v>
      </c>
      <c r="XX88" s="20" t="s">
        <v>1492</v>
      </c>
      <c r="XY88" s="20" t="s">
        <v>1493</v>
      </c>
    </row>
    <row r="89" spans="1:649" ht="13">
      <c r="A89" s="20">
        <v>535</v>
      </c>
      <c r="B89" s="21">
        <v>45182</v>
      </c>
      <c r="C89" s="20">
        <v>2023</v>
      </c>
      <c r="D89" s="20">
        <v>20230210</v>
      </c>
      <c r="E89" s="20">
        <v>38728</v>
      </c>
      <c r="F89" s="20" t="s">
        <v>825</v>
      </c>
      <c r="G89" s="20">
        <v>18718</v>
      </c>
      <c r="H89" s="20" t="s">
        <v>918</v>
      </c>
      <c r="I89" s="20" t="s">
        <v>692</v>
      </c>
      <c r="J89" s="20" t="s">
        <v>693</v>
      </c>
      <c r="K89" s="20" t="s">
        <v>694</v>
      </c>
      <c r="L89" s="20">
        <v>77002</v>
      </c>
      <c r="M89" s="22">
        <v>45153.385416666664</v>
      </c>
      <c r="N89" s="20" t="s">
        <v>695</v>
      </c>
      <c r="O89" s="20" t="s">
        <v>696</v>
      </c>
      <c r="P89" s="20">
        <v>31.375914999999999</v>
      </c>
      <c r="Q89" s="20">
        <v>-94.030011000000002</v>
      </c>
      <c r="R89" s="20" t="s">
        <v>844</v>
      </c>
      <c r="S89" s="20" t="s">
        <v>845</v>
      </c>
      <c r="W89" s="20">
        <v>10</v>
      </c>
      <c r="Y89" s="20">
        <v>10</v>
      </c>
      <c r="Z89" s="20" t="s">
        <v>698</v>
      </c>
      <c r="AF89" s="20">
        <v>0</v>
      </c>
      <c r="AG89" s="20" t="s">
        <v>698</v>
      </c>
      <c r="AM89" s="20">
        <v>0</v>
      </c>
      <c r="AN89" s="20" t="s">
        <v>699</v>
      </c>
      <c r="AP89" s="20" t="s">
        <v>700</v>
      </c>
      <c r="AQ89" s="23">
        <v>45153.385416666664</v>
      </c>
      <c r="AR89" s="20" t="s">
        <v>776</v>
      </c>
      <c r="AS89" s="20" t="s">
        <v>702</v>
      </c>
      <c r="AT89" s="20" t="s">
        <v>703</v>
      </c>
      <c r="AU89" s="20" t="s">
        <v>696</v>
      </c>
      <c r="AW89" s="23">
        <v>45153.394444444442</v>
      </c>
      <c r="AX89" s="23">
        <v>45156.041666666664</v>
      </c>
      <c r="AZ89" s="20" t="s">
        <v>696</v>
      </c>
      <c r="BA89" s="20" t="s">
        <v>753</v>
      </c>
      <c r="BB89" s="23">
        <v>45153.555555555555</v>
      </c>
      <c r="BC89" s="23">
        <v>45153.385416666664</v>
      </c>
      <c r="BD89" s="23">
        <v>45153.673611111109</v>
      </c>
      <c r="BE89" s="23">
        <v>45153.557638888888</v>
      </c>
      <c r="BF89" s="20">
        <v>1376263</v>
      </c>
      <c r="BG89" s="20">
        <v>1376387</v>
      </c>
      <c r="BH89" s="20" t="s">
        <v>698</v>
      </c>
      <c r="BN89" s="20" t="s">
        <v>777</v>
      </c>
      <c r="BP89" s="23">
        <v>45153.394444444442</v>
      </c>
      <c r="BQ89" s="20" t="s">
        <v>798</v>
      </c>
      <c r="BR89" s="20" t="s">
        <v>777</v>
      </c>
      <c r="BT89" s="23">
        <v>45153.394444444442</v>
      </c>
      <c r="BU89" s="20" t="s">
        <v>798</v>
      </c>
      <c r="BV89" s="20" t="s">
        <v>696</v>
      </c>
      <c r="BW89" s="23">
        <v>45153.385416666664</v>
      </c>
      <c r="BX89" s="20" t="s">
        <v>698</v>
      </c>
      <c r="CA89" s="20">
        <v>0</v>
      </c>
      <c r="CB89" s="20" t="s">
        <v>1494</v>
      </c>
      <c r="CC89" s="20" t="s">
        <v>1495</v>
      </c>
      <c r="CD89" s="20" t="s">
        <v>694</v>
      </c>
      <c r="CE89" s="20">
        <v>75930</v>
      </c>
      <c r="CF89" s="20" t="s">
        <v>1496</v>
      </c>
      <c r="CG89" s="20" t="s">
        <v>1497</v>
      </c>
      <c r="CH89" s="20" t="s">
        <v>784</v>
      </c>
      <c r="CI89" s="20">
        <v>93.613</v>
      </c>
      <c r="CJ89" s="20" t="s">
        <v>698</v>
      </c>
      <c r="CK89" s="20" t="s">
        <v>785</v>
      </c>
      <c r="CL89" s="20" t="s">
        <v>741</v>
      </c>
      <c r="CM89" s="20" t="s">
        <v>742</v>
      </c>
      <c r="CO89" s="20">
        <v>20</v>
      </c>
      <c r="CP89" s="20" t="s">
        <v>698</v>
      </c>
      <c r="DM89" s="20" t="s">
        <v>715</v>
      </c>
      <c r="DN89" s="20" t="s">
        <v>1141</v>
      </c>
      <c r="EA89" s="20" t="s">
        <v>1498</v>
      </c>
      <c r="FK89" s="20" t="s">
        <v>728</v>
      </c>
      <c r="FL89" s="20" t="s">
        <v>728</v>
      </c>
      <c r="FM89" s="20" t="s">
        <v>719</v>
      </c>
      <c r="FO89" s="20" t="s">
        <v>720</v>
      </c>
      <c r="FR89" s="20" t="s">
        <v>749</v>
      </c>
      <c r="FY89" s="20" t="s">
        <v>698</v>
      </c>
      <c r="GC89" s="20" t="s">
        <v>696</v>
      </c>
      <c r="GD89" s="20" t="s">
        <v>698</v>
      </c>
      <c r="GE89" s="20" t="s">
        <v>696</v>
      </c>
      <c r="GF89" s="20" t="s">
        <v>696</v>
      </c>
      <c r="GH89" s="20" t="s">
        <v>696</v>
      </c>
      <c r="GK89" s="20" t="s">
        <v>696</v>
      </c>
      <c r="GM89" s="20" t="s">
        <v>696</v>
      </c>
      <c r="GR89" s="20">
        <v>2</v>
      </c>
      <c r="GS89" s="20" t="s">
        <v>1499</v>
      </c>
      <c r="GT89" s="20" t="s">
        <v>698</v>
      </c>
      <c r="GU89" s="20" t="s">
        <v>698</v>
      </c>
      <c r="HF89" s="20">
        <v>0</v>
      </c>
      <c r="HG89" s="20">
        <v>336</v>
      </c>
      <c r="HH89" s="20">
        <v>104892</v>
      </c>
      <c r="HI89" s="20">
        <v>85000</v>
      </c>
      <c r="HJ89" s="20">
        <v>191692</v>
      </c>
      <c r="HK89" s="20">
        <v>0</v>
      </c>
      <c r="HM89" s="20">
        <v>381920</v>
      </c>
      <c r="HN89" s="20">
        <v>0</v>
      </c>
      <c r="HO89" s="20">
        <v>0</v>
      </c>
      <c r="HP89" s="20">
        <v>0</v>
      </c>
      <c r="HQ89" s="20">
        <v>0</v>
      </c>
      <c r="HR89" s="20">
        <v>583</v>
      </c>
      <c r="HS89" s="20">
        <v>730</v>
      </c>
      <c r="HT89" s="20" t="s">
        <v>787</v>
      </c>
      <c r="HV89" s="24">
        <v>44770</v>
      </c>
      <c r="HW89" s="20" t="s">
        <v>698</v>
      </c>
      <c r="HY89" s="20" t="s">
        <v>723</v>
      </c>
      <c r="HZ89" s="20" t="s">
        <v>698</v>
      </c>
      <c r="IC89" s="20">
        <v>101587</v>
      </c>
      <c r="ID89" s="20" t="s">
        <v>696</v>
      </c>
      <c r="IL89" s="20" t="s">
        <v>698</v>
      </c>
      <c r="IS89" s="20" t="s">
        <v>724</v>
      </c>
      <c r="IT89" s="20" t="s">
        <v>696</v>
      </c>
      <c r="IU89" s="20" t="s">
        <v>696</v>
      </c>
      <c r="IV89" s="20" t="s">
        <v>696</v>
      </c>
      <c r="IW89" s="20" t="s">
        <v>698</v>
      </c>
      <c r="IX89" s="20" t="s">
        <v>698</v>
      </c>
      <c r="IY89" s="20" t="s">
        <v>696</v>
      </c>
      <c r="IZ89" s="20" t="s">
        <v>696</v>
      </c>
      <c r="JA89" s="20" t="s">
        <v>696</v>
      </c>
      <c r="JB89" s="20" t="s">
        <v>698</v>
      </c>
      <c r="JC89" s="20" t="s">
        <v>698</v>
      </c>
      <c r="JD89" s="20" t="s">
        <v>725</v>
      </c>
      <c r="JE89" s="20" t="s">
        <v>726</v>
      </c>
      <c r="JR89" s="20" t="s">
        <v>698</v>
      </c>
      <c r="JS89" s="20" t="s">
        <v>698</v>
      </c>
      <c r="JX89" s="20" t="s">
        <v>929</v>
      </c>
      <c r="JY89" s="20" t="s">
        <v>1500</v>
      </c>
      <c r="PB89" s="20" t="s">
        <v>696</v>
      </c>
      <c r="PD89" s="20" t="s">
        <v>696</v>
      </c>
      <c r="PE89" s="20" t="s">
        <v>1501</v>
      </c>
      <c r="PG89" s="20" t="s">
        <v>1500</v>
      </c>
      <c r="PL89" s="20" t="s">
        <v>696</v>
      </c>
      <c r="PM89" s="20" t="s">
        <v>1502</v>
      </c>
      <c r="QA89" s="20" t="s">
        <v>696</v>
      </c>
      <c r="SC89" s="20" t="s">
        <v>696</v>
      </c>
      <c r="SD89" s="20" t="s">
        <v>696</v>
      </c>
      <c r="SG89" s="20" t="s">
        <v>696</v>
      </c>
      <c r="SK89" s="20">
        <v>2020</v>
      </c>
      <c r="SL89" s="20" t="s">
        <v>863</v>
      </c>
      <c r="SM89" s="20" t="s">
        <v>864</v>
      </c>
      <c r="SO89" s="20" t="s">
        <v>865</v>
      </c>
      <c r="SQ89" s="20">
        <v>2015</v>
      </c>
      <c r="SR89" s="20" t="s">
        <v>863</v>
      </c>
      <c r="SS89" s="20" t="s">
        <v>864</v>
      </c>
      <c r="SU89" s="20" t="s">
        <v>865</v>
      </c>
      <c r="TQ89" s="20">
        <v>2020</v>
      </c>
      <c r="TR89" s="20" t="s">
        <v>863</v>
      </c>
      <c r="TS89" s="20" t="s">
        <v>865</v>
      </c>
      <c r="TU89" s="20" t="s">
        <v>866</v>
      </c>
      <c r="TV89" s="20">
        <v>2015</v>
      </c>
      <c r="TW89" s="20" t="s">
        <v>863</v>
      </c>
      <c r="TX89" s="20" t="s">
        <v>865</v>
      </c>
      <c r="TZ89" s="20" t="s">
        <v>866</v>
      </c>
      <c r="UO89" s="20" t="s">
        <v>696</v>
      </c>
      <c r="UP89" s="20">
        <v>2022</v>
      </c>
      <c r="UQ89" s="20">
        <v>945</v>
      </c>
      <c r="UR89" s="20" t="s">
        <v>698</v>
      </c>
      <c r="UZ89" s="20" t="s">
        <v>698</v>
      </c>
      <c r="XL89" s="20" t="s">
        <v>730</v>
      </c>
      <c r="XM89" s="20" t="s">
        <v>731</v>
      </c>
      <c r="XN89" s="20" t="s">
        <v>732</v>
      </c>
      <c r="XO89" s="20" t="s">
        <v>733</v>
      </c>
      <c r="XQ89" s="24">
        <v>45231</v>
      </c>
      <c r="XU89" s="20" t="s">
        <v>730</v>
      </c>
      <c r="XV89" s="20" t="s">
        <v>733</v>
      </c>
      <c r="XW89" s="20" t="s">
        <v>731</v>
      </c>
      <c r="XX89" s="20" t="s">
        <v>732</v>
      </c>
      <c r="XY89" s="20" t="s">
        <v>1503</v>
      </c>
    </row>
    <row r="90" spans="1:649" ht="13">
      <c r="A90" s="20">
        <v>551</v>
      </c>
      <c r="B90" s="21">
        <v>45166</v>
      </c>
      <c r="C90" s="20">
        <v>2023</v>
      </c>
      <c r="D90" s="20">
        <v>20230196</v>
      </c>
      <c r="E90" s="20">
        <v>38671</v>
      </c>
      <c r="F90" s="20" t="s">
        <v>825</v>
      </c>
      <c r="G90" s="20">
        <v>31888</v>
      </c>
      <c r="H90" s="20" t="s">
        <v>1126</v>
      </c>
      <c r="I90" s="20" t="s">
        <v>692</v>
      </c>
      <c r="J90" s="20" t="s">
        <v>693</v>
      </c>
      <c r="K90" s="20" t="s">
        <v>694</v>
      </c>
      <c r="L90" s="20">
        <v>77002</v>
      </c>
      <c r="M90" s="22">
        <v>45138.473611111112</v>
      </c>
      <c r="N90" s="20" t="s">
        <v>695</v>
      </c>
      <c r="O90" s="20" t="s">
        <v>696</v>
      </c>
      <c r="P90" s="20">
        <v>32.268079</v>
      </c>
      <c r="Q90" s="20">
        <v>-101.405006</v>
      </c>
      <c r="R90" s="20" t="s">
        <v>697</v>
      </c>
      <c r="W90" s="20">
        <v>3</v>
      </c>
      <c r="Y90" s="20">
        <v>3</v>
      </c>
      <c r="Z90" s="20" t="s">
        <v>698</v>
      </c>
      <c r="AF90" s="20">
        <v>0</v>
      </c>
      <c r="AG90" s="20" t="s">
        <v>698</v>
      </c>
      <c r="AM90" s="20">
        <v>0</v>
      </c>
      <c r="AN90" s="20" t="s">
        <v>766</v>
      </c>
      <c r="AO90" s="20" t="s">
        <v>950</v>
      </c>
      <c r="AQ90" s="23">
        <v>45138.552083333336</v>
      </c>
      <c r="AR90" s="20" t="s">
        <v>776</v>
      </c>
      <c r="AS90" s="20" t="s">
        <v>702</v>
      </c>
      <c r="AT90" s="20" t="s">
        <v>1200</v>
      </c>
      <c r="AZ90" s="20" t="s">
        <v>698</v>
      </c>
      <c r="BC90" s="23">
        <v>45138.549305555556</v>
      </c>
      <c r="BD90" s="23">
        <v>45138.552083333336</v>
      </c>
      <c r="BF90" s="20" t="s">
        <v>754</v>
      </c>
      <c r="BH90" s="20" t="s">
        <v>698</v>
      </c>
      <c r="BN90" s="20" t="s">
        <v>777</v>
      </c>
      <c r="BP90" s="23">
        <v>45138.572916666664</v>
      </c>
      <c r="BQ90" s="20" t="s">
        <v>798</v>
      </c>
      <c r="BR90" s="20" t="s">
        <v>777</v>
      </c>
      <c r="BT90" s="23">
        <v>45138.572916666664</v>
      </c>
      <c r="BU90" s="20" t="s">
        <v>798</v>
      </c>
      <c r="BV90" s="20" t="s">
        <v>696</v>
      </c>
      <c r="BW90" s="23">
        <v>45138.473611111112</v>
      </c>
      <c r="BX90" s="20" t="s">
        <v>698</v>
      </c>
      <c r="CA90" s="20">
        <v>0</v>
      </c>
      <c r="CB90" s="20" t="s">
        <v>1504</v>
      </c>
      <c r="CC90" s="20" t="s">
        <v>1505</v>
      </c>
      <c r="CD90" s="20" t="s">
        <v>694</v>
      </c>
      <c r="CE90" s="20">
        <v>79720</v>
      </c>
      <c r="CF90" s="20" t="s">
        <v>708</v>
      </c>
      <c r="CG90" s="20" t="s">
        <v>1506</v>
      </c>
      <c r="CH90" s="20" t="s">
        <v>784</v>
      </c>
      <c r="CI90" s="20" t="s">
        <v>1507</v>
      </c>
      <c r="CJ90" s="20" t="s">
        <v>698</v>
      </c>
      <c r="CK90" s="20" t="s">
        <v>712</v>
      </c>
      <c r="CL90" s="20" t="s">
        <v>713</v>
      </c>
      <c r="CM90" s="20" t="s">
        <v>758</v>
      </c>
      <c r="CP90" s="20" t="s">
        <v>698</v>
      </c>
      <c r="DM90" s="20" t="s">
        <v>715</v>
      </c>
      <c r="DN90" s="20" t="s">
        <v>1278</v>
      </c>
      <c r="FK90" s="20">
        <v>2006</v>
      </c>
      <c r="FL90" s="20">
        <v>2006</v>
      </c>
      <c r="FM90" s="20" t="s">
        <v>719</v>
      </c>
      <c r="FO90" s="20" t="s">
        <v>720</v>
      </c>
      <c r="FR90" s="20" t="s">
        <v>749</v>
      </c>
      <c r="FY90" s="20" t="s">
        <v>698</v>
      </c>
      <c r="GC90" s="20" t="s">
        <v>696</v>
      </c>
      <c r="GD90" s="20" t="s">
        <v>698</v>
      </c>
      <c r="GE90" s="20" t="s">
        <v>696</v>
      </c>
      <c r="GH90" s="20" t="s">
        <v>696</v>
      </c>
      <c r="GK90" s="20" t="s">
        <v>698</v>
      </c>
      <c r="GT90" s="20" t="s">
        <v>696</v>
      </c>
      <c r="GU90" s="20" t="s">
        <v>698</v>
      </c>
      <c r="HF90" s="20">
        <v>0</v>
      </c>
      <c r="HG90" s="20">
        <v>210</v>
      </c>
      <c r="HH90" s="20">
        <v>23100</v>
      </c>
      <c r="HI90" s="20">
        <v>3000</v>
      </c>
      <c r="HJ90" s="20">
        <v>6000</v>
      </c>
      <c r="HK90" s="20">
        <v>0</v>
      </c>
      <c r="HM90" s="20">
        <v>32310</v>
      </c>
      <c r="HN90" s="20">
        <v>0</v>
      </c>
      <c r="HO90" s="20">
        <v>0</v>
      </c>
      <c r="HP90" s="20">
        <v>0</v>
      </c>
      <c r="HQ90" s="20">
        <v>0</v>
      </c>
      <c r="HR90" s="20">
        <v>35</v>
      </c>
      <c r="HS90" s="20">
        <v>1350</v>
      </c>
      <c r="HT90" s="20" t="s">
        <v>750</v>
      </c>
      <c r="HV90" s="24">
        <v>42907</v>
      </c>
      <c r="HW90" s="20" t="s">
        <v>698</v>
      </c>
      <c r="HY90" s="20" t="s">
        <v>723</v>
      </c>
      <c r="HZ90" s="20" t="s">
        <v>698</v>
      </c>
      <c r="IC90" s="20">
        <v>10</v>
      </c>
      <c r="ID90" s="20" t="s">
        <v>696</v>
      </c>
      <c r="IL90" s="20" t="s">
        <v>698</v>
      </c>
      <c r="IS90" s="20" t="s">
        <v>724</v>
      </c>
      <c r="IT90" s="20" t="s">
        <v>696</v>
      </c>
      <c r="IU90" s="20" t="s">
        <v>696</v>
      </c>
      <c r="IV90" s="20" t="s">
        <v>696</v>
      </c>
      <c r="IW90" s="20" t="s">
        <v>698</v>
      </c>
      <c r="IX90" s="20" t="s">
        <v>698</v>
      </c>
      <c r="IY90" s="20" t="s">
        <v>696</v>
      </c>
      <c r="IZ90" s="20" t="s">
        <v>696</v>
      </c>
      <c r="JA90" s="20" t="s">
        <v>696</v>
      </c>
      <c r="JB90" s="20" t="s">
        <v>698</v>
      </c>
      <c r="JC90" s="20" t="s">
        <v>698</v>
      </c>
      <c r="JD90" s="20" t="s">
        <v>725</v>
      </c>
      <c r="JE90" s="20" t="s">
        <v>1508</v>
      </c>
      <c r="JR90" s="20" t="s">
        <v>698</v>
      </c>
      <c r="JS90" s="20" t="s">
        <v>698</v>
      </c>
      <c r="JX90" s="20" t="s">
        <v>833</v>
      </c>
      <c r="JY90" s="20" t="s">
        <v>834</v>
      </c>
      <c r="JZ90" s="20" t="s">
        <v>834</v>
      </c>
      <c r="LD90" s="20" t="s">
        <v>835</v>
      </c>
      <c r="LI90" s="20" t="s">
        <v>696</v>
      </c>
      <c r="LL90" s="20" t="s">
        <v>696</v>
      </c>
      <c r="LP90" s="20" t="s">
        <v>696</v>
      </c>
      <c r="LU90" s="20" t="s">
        <v>696</v>
      </c>
      <c r="LV90" s="20" t="s">
        <v>698</v>
      </c>
      <c r="LW90" s="20" t="s">
        <v>696</v>
      </c>
      <c r="LX90" s="20" t="s">
        <v>696</v>
      </c>
      <c r="XL90" s="20" t="s">
        <v>1509</v>
      </c>
      <c r="XM90" s="20" t="s">
        <v>1390</v>
      </c>
      <c r="XN90" s="20" t="s">
        <v>1391</v>
      </c>
      <c r="XO90" s="20" t="s">
        <v>1428</v>
      </c>
      <c r="XQ90" s="24">
        <v>45216</v>
      </c>
      <c r="XU90" s="20" t="s">
        <v>1393</v>
      </c>
      <c r="XV90" s="20" t="s">
        <v>1394</v>
      </c>
      <c r="XW90" s="20" t="s">
        <v>1395</v>
      </c>
      <c r="XX90" s="20" t="s">
        <v>1396</v>
      </c>
      <c r="XY90" s="20" t="s">
        <v>1510</v>
      </c>
    </row>
    <row r="91" spans="1:649" ht="13">
      <c r="A91" s="20">
        <v>552</v>
      </c>
      <c r="B91" s="21">
        <v>45168</v>
      </c>
      <c r="C91" s="20">
        <v>2023</v>
      </c>
      <c r="D91" s="20">
        <v>20230198</v>
      </c>
      <c r="E91" s="20">
        <v>38478</v>
      </c>
      <c r="F91" s="20" t="s">
        <v>885</v>
      </c>
      <c r="G91" s="20">
        <v>31476</v>
      </c>
      <c r="H91" s="20" t="s">
        <v>735</v>
      </c>
      <c r="I91" s="20" t="s">
        <v>692</v>
      </c>
      <c r="J91" s="20" t="s">
        <v>693</v>
      </c>
      <c r="K91" s="20" t="s">
        <v>694</v>
      </c>
      <c r="L91" s="20">
        <v>77002</v>
      </c>
      <c r="M91" s="22">
        <v>45138.333333333336</v>
      </c>
      <c r="N91" s="20" t="s">
        <v>695</v>
      </c>
      <c r="O91" s="20" t="s">
        <v>696</v>
      </c>
      <c r="P91" s="20">
        <v>38.093463999999997</v>
      </c>
      <c r="Q91" s="20">
        <v>-98.581717999999995</v>
      </c>
      <c r="R91" s="20" t="s">
        <v>697</v>
      </c>
      <c r="W91" s="20">
        <v>23</v>
      </c>
      <c r="Y91" s="20">
        <v>20</v>
      </c>
      <c r="Z91" s="20" t="s">
        <v>698</v>
      </c>
      <c r="AF91" s="20">
        <v>0</v>
      </c>
      <c r="AG91" s="20" t="s">
        <v>698</v>
      </c>
      <c r="AM91" s="20">
        <v>0</v>
      </c>
      <c r="AN91" s="20" t="s">
        <v>699</v>
      </c>
      <c r="AP91" s="20" t="s">
        <v>700</v>
      </c>
      <c r="AQ91" s="23">
        <v>45138.333333333336</v>
      </c>
      <c r="AR91" s="20" t="s">
        <v>701</v>
      </c>
      <c r="AS91" s="20" t="s">
        <v>702</v>
      </c>
      <c r="AT91" s="20" t="s">
        <v>703</v>
      </c>
      <c r="AU91" s="20" t="s">
        <v>696</v>
      </c>
      <c r="AW91" s="23">
        <v>45138.347222222219</v>
      </c>
      <c r="AX91" s="23">
        <v>45142.708333333336</v>
      </c>
      <c r="AZ91" s="20" t="s">
        <v>696</v>
      </c>
      <c r="BA91" s="20" t="s">
        <v>753</v>
      </c>
      <c r="BB91" s="23">
        <v>45138.359722222223</v>
      </c>
      <c r="BC91" s="23">
        <v>45138.34375</v>
      </c>
      <c r="BD91" s="23">
        <v>45138.333333333336</v>
      </c>
      <c r="BF91" s="20" t="s">
        <v>754</v>
      </c>
      <c r="BH91" s="20" t="s">
        <v>698</v>
      </c>
      <c r="BV91" s="20" t="s">
        <v>696</v>
      </c>
      <c r="BW91" s="23">
        <v>45138.341666666667</v>
      </c>
      <c r="BX91" s="20" t="s">
        <v>698</v>
      </c>
      <c r="CA91" s="20">
        <v>0</v>
      </c>
      <c r="CB91" s="20" t="s">
        <v>1511</v>
      </c>
      <c r="CC91" s="20" t="s">
        <v>1512</v>
      </c>
      <c r="CD91" s="20" t="s">
        <v>1513</v>
      </c>
      <c r="CE91" s="20">
        <v>67578</v>
      </c>
      <c r="CF91" s="20" t="s">
        <v>708</v>
      </c>
      <c r="CG91" s="20" t="s">
        <v>1514</v>
      </c>
      <c r="CH91" s="20" t="s">
        <v>710</v>
      </c>
      <c r="CI91" s="20" t="s">
        <v>711</v>
      </c>
      <c r="CJ91" s="20" t="s">
        <v>698</v>
      </c>
      <c r="CK91" s="20" t="s">
        <v>712</v>
      </c>
      <c r="CL91" s="20" t="s">
        <v>741</v>
      </c>
      <c r="CM91" s="20" t="s">
        <v>742</v>
      </c>
      <c r="CO91" s="20">
        <v>36</v>
      </c>
      <c r="CP91" s="20" t="s">
        <v>698</v>
      </c>
      <c r="DM91" s="20" t="s">
        <v>743</v>
      </c>
      <c r="DN91" s="20" t="s">
        <v>744</v>
      </c>
      <c r="DO91" s="20" t="s">
        <v>745</v>
      </c>
      <c r="DP91" s="20" t="s">
        <v>698</v>
      </c>
      <c r="DQ91" s="20">
        <v>12</v>
      </c>
      <c r="DR91" s="20">
        <v>0.375</v>
      </c>
      <c r="DS91" s="20">
        <v>42000</v>
      </c>
      <c r="DT91" s="20" t="s">
        <v>1103</v>
      </c>
      <c r="DU91" s="20" t="s">
        <v>926</v>
      </c>
      <c r="DW91" s="20" t="s">
        <v>1515</v>
      </c>
      <c r="DX91" s="20" t="s">
        <v>748</v>
      </c>
      <c r="DZ91" s="20" t="s">
        <v>698</v>
      </c>
      <c r="FK91" s="20">
        <v>2011</v>
      </c>
      <c r="FL91" s="20">
        <v>2004</v>
      </c>
      <c r="FM91" s="20" t="s">
        <v>719</v>
      </c>
      <c r="FO91" s="20" t="s">
        <v>720</v>
      </c>
      <c r="FR91" s="20" t="s">
        <v>749</v>
      </c>
      <c r="FY91" s="20" t="s">
        <v>698</v>
      </c>
      <c r="GC91" s="20" t="s">
        <v>696</v>
      </c>
      <c r="GD91" s="20" t="s">
        <v>698</v>
      </c>
      <c r="GE91" s="20" t="s">
        <v>696</v>
      </c>
      <c r="GH91" s="20" t="s">
        <v>696</v>
      </c>
      <c r="GK91" s="20" t="s">
        <v>698</v>
      </c>
      <c r="GT91" s="20" t="s">
        <v>698</v>
      </c>
      <c r="GU91" s="20" t="s">
        <v>698</v>
      </c>
      <c r="HF91" s="20">
        <v>0</v>
      </c>
      <c r="HG91" s="20">
        <v>231</v>
      </c>
      <c r="HH91" s="20">
        <v>12600</v>
      </c>
      <c r="HI91" s="20">
        <v>27900</v>
      </c>
      <c r="HJ91" s="20">
        <v>8700</v>
      </c>
      <c r="HK91" s="20">
        <v>0</v>
      </c>
      <c r="HM91" s="20">
        <v>49431</v>
      </c>
      <c r="HN91" s="20">
        <v>0</v>
      </c>
      <c r="HO91" s="20">
        <v>0</v>
      </c>
      <c r="HP91" s="20">
        <v>0</v>
      </c>
      <c r="HQ91" s="20">
        <v>0</v>
      </c>
      <c r="HR91" s="20">
        <v>12</v>
      </c>
      <c r="HS91" s="20">
        <v>1480</v>
      </c>
      <c r="HT91" s="20" t="s">
        <v>787</v>
      </c>
      <c r="HV91" s="24">
        <v>40651</v>
      </c>
      <c r="HW91" s="20" t="s">
        <v>698</v>
      </c>
      <c r="HY91" s="20" t="s">
        <v>723</v>
      </c>
      <c r="HZ91" s="20" t="s">
        <v>698</v>
      </c>
      <c r="IS91" s="20" t="s">
        <v>724</v>
      </c>
      <c r="IT91" s="20" t="s">
        <v>696</v>
      </c>
      <c r="IU91" s="20" t="s">
        <v>696</v>
      </c>
      <c r="IV91" s="20" t="s">
        <v>696</v>
      </c>
      <c r="IW91" s="20" t="s">
        <v>698</v>
      </c>
      <c r="IX91" s="20" t="s">
        <v>698</v>
      </c>
      <c r="IY91" s="20" t="s">
        <v>698</v>
      </c>
      <c r="JD91" s="20" t="s">
        <v>725</v>
      </c>
      <c r="JE91" s="20" t="s">
        <v>726</v>
      </c>
      <c r="JR91" s="20" t="s">
        <v>698</v>
      </c>
      <c r="JS91" s="20" t="s">
        <v>698</v>
      </c>
      <c r="JX91" s="20" t="s">
        <v>833</v>
      </c>
      <c r="JY91" s="20" t="s">
        <v>834</v>
      </c>
      <c r="JZ91" s="20" t="s">
        <v>834</v>
      </c>
      <c r="LD91" s="20" t="s">
        <v>835</v>
      </c>
      <c r="LH91" s="20" t="s">
        <v>696</v>
      </c>
      <c r="LL91" s="20" t="s">
        <v>696</v>
      </c>
      <c r="LP91" s="20" t="s">
        <v>696</v>
      </c>
      <c r="LU91" s="20" t="s">
        <v>696</v>
      </c>
      <c r="LV91" s="20" t="s">
        <v>698</v>
      </c>
      <c r="LW91" s="20" t="s">
        <v>838</v>
      </c>
      <c r="LX91" s="20" t="s">
        <v>696</v>
      </c>
      <c r="SC91" s="20" t="s">
        <v>698</v>
      </c>
      <c r="UO91" s="20" t="s">
        <v>698</v>
      </c>
      <c r="UR91" s="20" t="s">
        <v>698</v>
      </c>
      <c r="UZ91" s="20" t="s">
        <v>698</v>
      </c>
      <c r="XL91" s="20" t="s">
        <v>730</v>
      </c>
      <c r="XM91" s="20" t="s">
        <v>1360</v>
      </c>
      <c r="XN91" s="20" t="s">
        <v>732</v>
      </c>
      <c r="XO91" s="20" t="s">
        <v>733</v>
      </c>
      <c r="XQ91" s="24">
        <v>45168</v>
      </c>
      <c r="XU91" s="20" t="s">
        <v>730</v>
      </c>
      <c r="XV91" s="20" t="s">
        <v>733</v>
      </c>
      <c r="XW91" s="20" t="s">
        <v>1360</v>
      </c>
      <c r="XX91" s="20" t="s">
        <v>732</v>
      </c>
      <c r="XY91" s="20" t="s">
        <v>1516</v>
      </c>
    </row>
    <row r="92" spans="1:649" ht="13">
      <c r="A92" s="20">
        <v>560</v>
      </c>
      <c r="B92" s="21">
        <v>45148</v>
      </c>
      <c r="C92" s="20">
        <v>2023</v>
      </c>
      <c r="D92" s="20">
        <v>20230185</v>
      </c>
      <c r="E92" s="20">
        <v>38378</v>
      </c>
      <c r="F92" s="20" t="s">
        <v>885</v>
      </c>
      <c r="G92" s="20">
        <v>12470</v>
      </c>
      <c r="H92" s="20" t="s">
        <v>1070</v>
      </c>
      <c r="I92" s="20" t="s">
        <v>692</v>
      </c>
      <c r="J92" s="20" t="s">
        <v>693</v>
      </c>
      <c r="K92" s="20" t="s">
        <v>694</v>
      </c>
      <c r="L92" s="20">
        <v>77002</v>
      </c>
      <c r="M92" s="22">
        <v>45121.486805555556</v>
      </c>
      <c r="N92" s="20" t="s">
        <v>843</v>
      </c>
      <c r="O92" s="20" t="s">
        <v>696</v>
      </c>
      <c r="P92" s="20">
        <v>41.623702999999999</v>
      </c>
      <c r="Q92" s="20">
        <v>-83.486666</v>
      </c>
      <c r="R92" s="20" t="s">
        <v>697</v>
      </c>
      <c r="W92" s="20">
        <v>28</v>
      </c>
      <c r="Y92" s="20">
        <v>28</v>
      </c>
      <c r="Z92" s="20" t="s">
        <v>698</v>
      </c>
      <c r="AF92" s="20">
        <v>0</v>
      </c>
      <c r="AG92" s="20" t="s">
        <v>698</v>
      </c>
      <c r="AM92" s="20">
        <v>0</v>
      </c>
      <c r="AN92" s="20" t="s">
        <v>699</v>
      </c>
      <c r="AP92" s="20" t="s">
        <v>700</v>
      </c>
      <c r="AQ92" s="23">
        <v>45121.486805555556</v>
      </c>
      <c r="AR92" s="20" t="s">
        <v>701</v>
      </c>
      <c r="AS92" s="20" t="s">
        <v>702</v>
      </c>
      <c r="AT92" s="20" t="s">
        <v>703</v>
      </c>
      <c r="AU92" s="20" t="s">
        <v>696</v>
      </c>
      <c r="AW92" s="23">
        <v>45121.486805555556</v>
      </c>
      <c r="AX92" s="23">
        <v>45124.576388888891</v>
      </c>
      <c r="AZ92" s="20" t="s">
        <v>696</v>
      </c>
      <c r="BA92" s="20" t="s">
        <v>753</v>
      </c>
      <c r="BB92" s="23">
        <v>45123.361805555556</v>
      </c>
      <c r="BC92" s="23">
        <v>45121.486805555556</v>
      </c>
      <c r="BD92" s="23">
        <v>45121.540972222225</v>
      </c>
      <c r="BE92" s="23">
        <v>45121.563194444447</v>
      </c>
      <c r="BF92" s="20">
        <v>1373062</v>
      </c>
      <c r="BG92" s="20">
        <v>1373202</v>
      </c>
      <c r="BH92" s="20" t="s">
        <v>698</v>
      </c>
      <c r="BV92" s="20" t="s">
        <v>696</v>
      </c>
      <c r="BW92" s="23">
        <v>45121.492361111108</v>
      </c>
      <c r="BX92" s="20" t="s">
        <v>696</v>
      </c>
      <c r="BY92" s="23">
        <v>45121.5</v>
      </c>
      <c r="BZ92" s="23">
        <v>45121.568749999999</v>
      </c>
      <c r="CA92" s="20">
        <v>0</v>
      </c>
      <c r="CB92" s="20" t="s">
        <v>1517</v>
      </c>
      <c r="CC92" s="20" t="s">
        <v>1518</v>
      </c>
      <c r="CD92" s="20" t="s">
        <v>1075</v>
      </c>
      <c r="CE92" s="20">
        <v>43616</v>
      </c>
      <c r="CF92" s="20" t="s">
        <v>1519</v>
      </c>
      <c r="CG92" s="20" t="s">
        <v>1520</v>
      </c>
      <c r="CH92" s="20" t="s">
        <v>784</v>
      </c>
      <c r="CI92" s="20">
        <v>76</v>
      </c>
      <c r="CJ92" s="20" t="s">
        <v>698</v>
      </c>
      <c r="CK92" s="20" t="s">
        <v>712</v>
      </c>
      <c r="CL92" s="20" t="s">
        <v>741</v>
      </c>
      <c r="CM92" s="20" t="s">
        <v>742</v>
      </c>
      <c r="CO92" s="20">
        <v>24</v>
      </c>
      <c r="CP92" s="20" t="s">
        <v>698</v>
      </c>
      <c r="DM92" s="20" t="s">
        <v>743</v>
      </c>
      <c r="DN92" s="20" t="s">
        <v>822</v>
      </c>
      <c r="FK92" s="20" t="s">
        <v>728</v>
      </c>
      <c r="FL92" s="20" t="s">
        <v>728</v>
      </c>
      <c r="FM92" s="20" t="s">
        <v>719</v>
      </c>
      <c r="FO92" s="20" t="s">
        <v>720</v>
      </c>
      <c r="FR92" s="20" t="s">
        <v>749</v>
      </c>
      <c r="FY92" s="20" t="s">
        <v>698</v>
      </c>
      <c r="GC92" s="20" t="s">
        <v>696</v>
      </c>
      <c r="GD92" s="20" t="s">
        <v>698</v>
      </c>
      <c r="GE92" s="20" t="s">
        <v>696</v>
      </c>
      <c r="GH92" s="20" t="s">
        <v>696</v>
      </c>
      <c r="GK92" s="20" t="s">
        <v>698</v>
      </c>
      <c r="GT92" s="20" t="s">
        <v>696</v>
      </c>
      <c r="GU92" s="20" t="s">
        <v>696</v>
      </c>
      <c r="GX92" s="20" t="s">
        <v>696</v>
      </c>
      <c r="GY92" s="20" t="s">
        <v>696</v>
      </c>
      <c r="HF92" s="20">
        <v>0</v>
      </c>
      <c r="HG92" s="20">
        <v>2100</v>
      </c>
      <c r="HH92" s="20">
        <v>70000</v>
      </c>
      <c r="HI92" s="20">
        <v>130000</v>
      </c>
      <c r="HJ92" s="20">
        <v>55000</v>
      </c>
      <c r="HK92" s="20">
        <v>0</v>
      </c>
      <c r="HM92" s="20">
        <v>257100</v>
      </c>
      <c r="HN92" s="20">
        <v>0</v>
      </c>
      <c r="HO92" s="20">
        <v>0</v>
      </c>
      <c r="HP92" s="20">
        <v>0</v>
      </c>
      <c r="HQ92" s="20">
        <v>0</v>
      </c>
      <c r="HR92" s="20">
        <v>87</v>
      </c>
      <c r="HS92" s="20">
        <v>960</v>
      </c>
      <c r="HT92" s="20" t="s">
        <v>787</v>
      </c>
      <c r="HV92" s="24">
        <v>25298</v>
      </c>
      <c r="HW92" s="20" t="s">
        <v>698</v>
      </c>
      <c r="HY92" s="20" t="s">
        <v>723</v>
      </c>
      <c r="HZ92" s="20" t="s">
        <v>698</v>
      </c>
      <c r="IS92" s="20" t="s">
        <v>724</v>
      </c>
      <c r="IT92" s="20" t="s">
        <v>696</v>
      </c>
      <c r="IU92" s="20" t="s">
        <v>696</v>
      </c>
      <c r="IV92" s="20" t="s">
        <v>696</v>
      </c>
      <c r="IW92" s="20" t="s">
        <v>698</v>
      </c>
      <c r="IX92" s="20" t="s">
        <v>698</v>
      </c>
      <c r="IY92" s="20" t="s">
        <v>696</v>
      </c>
      <c r="IZ92" s="20" t="s">
        <v>696</v>
      </c>
      <c r="JA92" s="20" t="s">
        <v>696</v>
      </c>
      <c r="JB92" s="20" t="s">
        <v>698</v>
      </c>
      <c r="JC92" s="20" t="s">
        <v>698</v>
      </c>
      <c r="JD92" s="20" t="s">
        <v>725</v>
      </c>
      <c r="JE92" s="20" t="s">
        <v>726</v>
      </c>
      <c r="JR92" s="20" t="s">
        <v>698</v>
      </c>
      <c r="JS92" s="20" t="s">
        <v>698</v>
      </c>
      <c r="JX92" s="20" t="s">
        <v>833</v>
      </c>
      <c r="JY92" s="20" t="s">
        <v>834</v>
      </c>
      <c r="JZ92" s="20" t="s">
        <v>834</v>
      </c>
      <c r="LD92" s="20" t="s">
        <v>835</v>
      </c>
      <c r="LG92" s="20" t="s">
        <v>696</v>
      </c>
      <c r="LL92" s="20" t="s">
        <v>696</v>
      </c>
      <c r="LN92" s="20" t="s">
        <v>696</v>
      </c>
      <c r="LO92" s="20" t="s">
        <v>1521</v>
      </c>
      <c r="LP92" s="20" t="s">
        <v>696</v>
      </c>
      <c r="LQ92" s="20" t="s">
        <v>696</v>
      </c>
      <c r="LU92" s="20" t="s">
        <v>698</v>
      </c>
      <c r="LV92" s="20" t="s">
        <v>698</v>
      </c>
      <c r="LW92" s="20" t="s">
        <v>838</v>
      </c>
      <c r="LX92" s="20" t="s">
        <v>838</v>
      </c>
      <c r="XL92" s="20" t="s">
        <v>730</v>
      </c>
      <c r="XM92" s="20" t="s">
        <v>1360</v>
      </c>
      <c r="XN92" s="20" t="s">
        <v>732</v>
      </c>
      <c r="XO92" s="20" t="s">
        <v>733</v>
      </c>
      <c r="XQ92" s="24">
        <v>45148</v>
      </c>
      <c r="XU92" s="20" t="s">
        <v>730</v>
      </c>
      <c r="XV92" s="20" t="s">
        <v>733</v>
      </c>
      <c r="XW92" s="20" t="s">
        <v>1360</v>
      </c>
      <c r="XX92" s="20" t="s">
        <v>732</v>
      </c>
      <c r="XY92" s="20" t="s">
        <v>1522</v>
      </c>
    </row>
    <row r="93" spans="1:649" ht="13">
      <c r="A93" s="20">
        <v>562</v>
      </c>
      <c r="B93" s="21">
        <v>45148</v>
      </c>
      <c r="C93" s="20">
        <v>2023</v>
      </c>
      <c r="D93" s="20">
        <v>20230184</v>
      </c>
      <c r="E93" s="20">
        <v>38970</v>
      </c>
      <c r="F93" s="20" t="s">
        <v>825</v>
      </c>
      <c r="G93" s="20">
        <v>31863</v>
      </c>
      <c r="H93" s="20" t="s">
        <v>1523</v>
      </c>
      <c r="I93" s="20" t="s">
        <v>692</v>
      </c>
      <c r="J93" s="20" t="s">
        <v>693</v>
      </c>
      <c r="K93" s="20" t="s">
        <v>694</v>
      </c>
      <c r="L93" s="20">
        <v>77002</v>
      </c>
      <c r="M93" s="22">
        <v>45120.625</v>
      </c>
      <c r="N93" s="20" t="s">
        <v>695</v>
      </c>
      <c r="O93" s="20" t="s">
        <v>696</v>
      </c>
      <c r="P93" s="20">
        <v>29.707738939999999</v>
      </c>
      <c r="Q93" s="20">
        <v>-95.223543120000002</v>
      </c>
      <c r="R93" s="20" t="s">
        <v>697</v>
      </c>
      <c r="W93" s="20">
        <v>20</v>
      </c>
      <c r="Y93" s="20">
        <v>16</v>
      </c>
      <c r="Z93" s="20" t="s">
        <v>698</v>
      </c>
      <c r="AF93" s="20">
        <v>0</v>
      </c>
      <c r="AG93" s="20" t="s">
        <v>698</v>
      </c>
      <c r="AM93" s="20">
        <v>0</v>
      </c>
      <c r="AN93" s="20" t="s">
        <v>699</v>
      </c>
      <c r="AP93" s="20" t="s">
        <v>700</v>
      </c>
      <c r="AQ93" s="23">
        <v>45120.625</v>
      </c>
      <c r="AR93" s="20" t="s">
        <v>776</v>
      </c>
      <c r="AS93" s="20" t="s">
        <v>702</v>
      </c>
      <c r="AT93" s="20" t="s">
        <v>1341</v>
      </c>
      <c r="AZ93" s="20" t="s">
        <v>698</v>
      </c>
      <c r="BC93" s="23">
        <v>45120.625</v>
      </c>
      <c r="BD93" s="23">
        <v>45121.1875</v>
      </c>
      <c r="BE93" s="23">
        <v>45121.211805555555</v>
      </c>
      <c r="BF93" s="20">
        <v>1373031</v>
      </c>
      <c r="BG93" s="20">
        <v>1373187</v>
      </c>
      <c r="BH93" s="20" t="s">
        <v>698</v>
      </c>
      <c r="BN93" s="20" t="s">
        <v>777</v>
      </c>
      <c r="BP93" s="23">
        <v>45120.635416666664</v>
      </c>
      <c r="BQ93" s="20" t="s">
        <v>798</v>
      </c>
      <c r="BR93" s="20" t="s">
        <v>777</v>
      </c>
      <c r="BT93" s="23">
        <v>45120.635416666664</v>
      </c>
      <c r="BU93" s="20" t="s">
        <v>798</v>
      </c>
      <c r="BV93" s="20" t="s">
        <v>696</v>
      </c>
      <c r="BW93" s="23">
        <v>45120.645833333336</v>
      </c>
      <c r="BX93" s="20" t="s">
        <v>696</v>
      </c>
      <c r="BY93" s="23">
        <v>45121.375</v>
      </c>
      <c r="BZ93" s="23">
        <v>45121.40625</v>
      </c>
      <c r="CA93" s="20">
        <v>0</v>
      </c>
      <c r="CB93" s="20" t="s">
        <v>1524</v>
      </c>
      <c r="CC93" s="20" t="s">
        <v>1525</v>
      </c>
      <c r="CD93" s="20" t="s">
        <v>694</v>
      </c>
      <c r="CE93" s="20">
        <v>77506</v>
      </c>
      <c r="CF93" s="20" t="s">
        <v>1526</v>
      </c>
      <c r="CG93" s="20" t="s">
        <v>1056</v>
      </c>
      <c r="CH93" s="20" t="s">
        <v>710</v>
      </c>
      <c r="CI93" s="20" t="s">
        <v>711</v>
      </c>
      <c r="CJ93" s="20" t="s">
        <v>698</v>
      </c>
      <c r="CK93" s="20" t="s">
        <v>891</v>
      </c>
      <c r="CL93" s="20" t="s">
        <v>741</v>
      </c>
      <c r="CM93" s="20" t="s">
        <v>742</v>
      </c>
      <c r="CO93" s="20">
        <v>72</v>
      </c>
      <c r="CP93" s="20" t="s">
        <v>698</v>
      </c>
      <c r="DM93" s="20" t="s">
        <v>715</v>
      </c>
      <c r="DN93" s="20" t="s">
        <v>744</v>
      </c>
      <c r="DO93" s="20" t="s">
        <v>745</v>
      </c>
      <c r="DP93" s="20" t="s">
        <v>698</v>
      </c>
      <c r="DQ93" s="20">
        <v>24</v>
      </c>
      <c r="DR93" s="20">
        <v>0.312</v>
      </c>
      <c r="DS93" s="20">
        <v>52000</v>
      </c>
      <c r="DT93" s="20" t="s">
        <v>1451</v>
      </c>
      <c r="DU93" s="20" t="s">
        <v>747</v>
      </c>
      <c r="DW93" s="20" t="s">
        <v>728</v>
      </c>
      <c r="DX93" s="20" t="s">
        <v>748</v>
      </c>
      <c r="DZ93" s="20" t="s">
        <v>728</v>
      </c>
      <c r="FK93" s="20">
        <v>1995</v>
      </c>
      <c r="FL93" s="20" t="s">
        <v>728</v>
      </c>
      <c r="FM93" s="20" t="s">
        <v>719</v>
      </c>
      <c r="FO93" s="20" t="s">
        <v>720</v>
      </c>
      <c r="FR93" s="20" t="s">
        <v>749</v>
      </c>
      <c r="FY93" s="20" t="s">
        <v>698</v>
      </c>
      <c r="GC93" s="20" t="s">
        <v>696</v>
      </c>
      <c r="GD93" s="20" t="s">
        <v>698</v>
      </c>
      <c r="GE93" s="20" t="s">
        <v>696</v>
      </c>
      <c r="GH93" s="20" t="s">
        <v>696</v>
      </c>
      <c r="GK93" s="20" t="s">
        <v>698</v>
      </c>
      <c r="GT93" s="20" t="s">
        <v>696</v>
      </c>
      <c r="GU93" s="20" t="s">
        <v>696</v>
      </c>
      <c r="GX93" s="20" t="s">
        <v>696</v>
      </c>
      <c r="GY93" s="20" t="s">
        <v>696</v>
      </c>
      <c r="HF93" s="20">
        <v>11500</v>
      </c>
      <c r="HG93" s="20">
        <v>1500</v>
      </c>
      <c r="HH93" s="20">
        <v>175000</v>
      </c>
      <c r="HI93" s="20">
        <v>273000</v>
      </c>
      <c r="HJ93" s="20">
        <v>201000</v>
      </c>
      <c r="HK93" s="20">
        <v>0</v>
      </c>
      <c r="HM93" s="20">
        <v>662000</v>
      </c>
      <c r="HN93" s="20">
        <v>0</v>
      </c>
      <c r="HO93" s="20">
        <v>0</v>
      </c>
      <c r="HP93" s="20">
        <v>0</v>
      </c>
      <c r="HQ93" s="20">
        <v>0</v>
      </c>
      <c r="HR93" s="20">
        <v>0</v>
      </c>
      <c r="HS93" s="20">
        <v>1440</v>
      </c>
      <c r="HT93" s="20" t="s">
        <v>787</v>
      </c>
      <c r="HV93" s="24">
        <v>35011</v>
      </c>
      <c r="HW93" s="20" t="s">
        <v>971</v>
      </c>
      <c r="HY93" s="20" t="s">
        <v>723</v>
      </c>
      <c r="HZ93" s="20" t="s">
        <v>698</v>
      </c>
      <c r="IC93" s="20">
        <v>810</v>
      </c>
      <c r="ID93" s="20" t="s">
        <v>696</v>
      </c>
      <c r="IL93" s="20" t="s">
        <v>698</v>
      </c>
      <c r="IS93" s="20" t="s">
        <v>724</v>
      </c>
      <c r="IT93" s="20" t="s">
        <v>696</v>
      </c>
      <c r="IU93" s="20" t="s">
        <v>696</v>
      </c>
      <c r="IV93" s="20" t="s">
        <v>696</v>
      </c>
      <c r="IW93" s="20" t="s">
        <v>698</v>
      </c>
      <c r="IX93" s="20" t="s">
        <v>698</v>
      </c>
      <c r="IY93" s="20" t="s">
        <v>696</v>
      </c>
      <c r="IZ93" s="20" t="s">
        <v>696</v>
      </c>
      <c r="JA93" s="20" t="s">
        <v>696</v>
      </c>
      <c r="JB93" s="20" t="s">
        <v>698</v>
      </c>
      <c r="JC93" s="20" t="s">
        <v>698</v>
      </c>
      <c r="JD93" s="20" t="s">
        <v>725</v>
      </c>
      <c r="JE93" s="20" t="s">
        <v>726</v>
      </c>
      <c r="JR93" s="20" t="s">
        <v>698</v>
      </c>
      <c r="JS93" s="20" t="s">
        <v>698</v>
      </c>
      <c r="JX93" s="20" t="s">
        <v>833</v>
      </c>
      <c r="JY93" s="20" t="s">
        <v>834</v>
      </c>
      <c r="JZ93" s="20" t="s">
        <v>834</v>
      </c>
      <c r="LD93" s="20" t="s">
        <v>835</v>
      </c>
      <c r="LG93" s="20" t="s">
        <v>696</v>
      </c>
      <c r="LH93" s="20" t="s">
        <v>696</v>
      </c>
      <c r="LN93" s="20" t="s">
        <v>696</v>
      </c>
      <c r="LO93" s="20" t="s">
        <v>1527</v>
      </c>
      <c r="LR93" s="20" t="s">
        <v>696</v>
      </c>
      <c r="LU93" s="20" t="s">
        <v>698</v>
      </c>
      <c r="LV93" s="20" t="s">
        <v>698</v>
      </c>
      <c r="LW93" s="20" t="s">
        <v>698</v>
      </c>
      <c r="LX93" s="20" t="s">
        <v>698</v>
      </c>
      <c r="SC93" s="20" t="s">
        <v>696</v>
      </c>
      <c r="SD93" s="20" t="s">
        <v>696</v>
      </c>
      <c r="SG93" s="20" t="s">
        <v>696</v>
      </c>
      <c r="SK93" s="20">
        <v>2020</v>
      </c>
      <c r="SL93" s="20" t="s">
        <v>863</v>
      </c>
      <c r="SM93" s="20" t="s">
        <v>864</v>
      </c>
      <c r="SO93" s="20" t="s">
        <v>865</v>
      </c>
      <c r="SQ93" s="20">
        <v>2015</v>
      </c>
      <c r="SR93" s="20" t="s">
        <v>863</v>
      </c>
      <c r="SS93" s="20" t="s">
        <v>864</v>
      </c>
      <c r="SU93" s="20" t="s">
        <v>865</v>
      </c>
      <c r="TQ93" s="20">
        <v>2020</v>
      </c>
      <c r="TR93" s="20" t="s">
        <v>863</v>
      </c>
      <c r="TS93" s="20" t="s">
        <v>865</v>
      </c>
      <c r="TU93" s="20" t="s">
        <v>866</v>
      </c>
      <c r="TV93" s="20">
        <v>2015</v>
      </c>
      <c r="TW93" s="20" t="s">
        <v>863</v>
      </c>
      <c r="TX93" s="20" t="s">
        <v>865</v>
      </c>
      <c r="TZ93" s="20" t="s">
        <v>866</v>
      </c>
      <c r="UO93" s="20" t="s">
        <v>698</v>
      </c>
      <c r="UR93" s="20" t="s">
        <v>698</v>
      </c>
      <c r="UZ93" s="20" t="s">
        <v>698</v>
      </c>
      <c r="XL93" s="20" t="s">
        <v>730</v>
      </c>
      <c r="XM93" s="20" t="s">
        <v>731</v>
      </c>
      <c r="XN93" s="20" t="s">
        <v>732</v>
      </c>
      <c r="XO93" s="20" t="s">
        <v>733</v>
      </c>
      <c r="XQ93" s="24">
        <v>45275</v>
      </c>
      <c r="XU93" s="20" t="s">
        <v>730</v>
      </c>
      <c r="XV93" s="20" t="s">
        <v>733</v>
      </c>
      <c r="XW93" s="20" t="s">
        <v>731</v>
      </c>
      <c r="XX93" s="20" t="s">
        <v>732</v>
      </c>
      <c r="XY93" s="20" t="s">
        <v>1528</v>
      </c>
    </row>
    <row r="94" spans="1:649" ht="13">
      <c r="A94" s="20">
        <v>566</v>
      </c>
      <c r="B94" s="21">
        <v>45147</v>
      </c>
      <c r="C94" s="20">
        <v>2023</v>
      </c>
      <c r="D94" s="20">
        <v>20230182</v>
      </c>
      <c r="E94" s="20">
        <v>38376</v>
      </c>
      <c r="F94" s="20" t="s">
        <v>825</v>
      </c>
      <c r="G94" s="20">
        <v>12470</v>
      </c>
      <c r="H94" s="20" t="s">
        <v>1070</v>
      </c>
      <c r="I94" s="20" t="s">
        <v>692</v>
      </c>
      <c r="J94" s="20" t="s">
        <v>693</v>
      </c>
      <c r="K94" s="20" t="s">
        <v>694</v>
      </c>
      <c r="L94" s="20">
        <v>77002</v>
      </c>
      <c r="M94" s="22">
        <v>45118.179166666669</v>
      </c>
      <c r="N94" s="20" t="s">
        <v>695</v>
      </c>
      <c r="O94" s="20" t="s">
        <v>696</v>
      </c>
      <c r="P94" s="20">
        <v>32.483611000000003</v>
      </c>
      <c r="Q94" s="20">
        <v>-94.830278000000007</v>
      </c>
      <c r="R94" s="20" t="s">
        <v>697</v>
      </c>
      <c r="W94" s="20">
        <v>0.1</v>
      </c>
      <c r="Y94" s="20">
        <v>0.1</v>
      </c>
      <c r="Z94" s="20" t="s">
        <v>698</v>
      </c>
      <c r="AF94" s="20">
        <v>0</v>
      </c>
      <c r="AG94" s="20" t="s">
        <v>698</v>
      </c>
      <c r="AM94" s="20">
        <v>0</v>
      </c>
      <c r="AN94" s="20" t="s">
        <v>797</v>
      </c>
      <c r="AQ94" s="23">
        <v>45118.179166666669</v>
      </c>
      <c r="AR94" s="20" t="s">
        <v>701</v>
      </c>
      <c r="AS94" s="20" t="s">
        <v>702</v>
      </c>
      <c r="AT94" s="20" t="s">
        <v>703</v>
      </c>
      <c r="AU94" s="20" t="s">
        <v>696</v>
      </c>
      <c r="AW94" s="23">
        <v>45118.179166666669</v>
      </c>
      <c r="AX94" s="23">
        <v>45118.625</v>
      </c>
      <c r="AZ94" s="20" t="s">
        <v>698</v>
      </c>
      <c r="BC94" s="23">
        <v>45118.204861111109</v>
      </c>
      <c r="BD94" s="23">
        <v>45118.204861111109</v>
      </c>
      <c r="BE94" s="23">
        <v>45118.236111111109</v>
      </c>
      <c r="BF94" s="20">
        <v>1372721</v>
      </c>
      <c r="BG94" s="20">
        <v>1375789</v>
      </c>
      <c r="BH94" s="20" t="s">
        <v>696</v>
      </c>
      <c r="BI94" s="23">
        <v>45118.179166666669</v>
      </c>
      <c r="BJ94" s="20" t="s">
        <v>766</v>
      </c>
      <c r="BK94" s="20" t="s">
        <v>1529</v>
      </c>
      <c r="BL94" s="20">
        <v>0.01</v>
      </c>
      <c r="BM94" s="20" t="s">
        <v>698</v>
      </c>
      <c r="BV94" s="20" t="s">
        <v>696</v>
      </c>
      <c r="BW94" s="23">
        <v>45118.180555555555</v>
      </c>
      <c r="BX94" s="20" t="s">
        <v>698</v>
      </c>
      <c r="CA94" s="20">
        <v>0</v>
      </c>
      <c r="CB94" s="20" t="s">
        <v>1530</v>
      </c>
      <c r="CC94" s="20" t="s">
        <v>1531</v>
      </c>
      <c r="CD94" s="20" t="s">
        <v>694</v>
      </c>
      <c r="CE94" s="20">
        <v>75604</v>
      </c>
      <c r="CF94" s="20" t="s">
        <v>1122</v>
      </c>
      <c r="CG94" s="20" t="s">
        <v>1123</v>
      </c>
      <c r="CH94" s="20" t="s">
        <v>784</v>
      </c>
      <c r="CI94" s="20" t="s">
        <v>711</v>
      </c>
      <c r="CJ94" s="20" t="s">
        <v>698</v>
      </c>
      <c r="CK94" s="20" t="s">
        <v>712</v>
      </c>
      <c r="CL94" s="20" t="s">
        <v>713</v>
      </c>
      <c r="CM94" s="20" t="s">
        <v>714</v>
      </c>
      <c r="CP94" s="20" t="s">
        <v>698</v>
      </c>
      <c r="DM94" s="20" t="s">
        <v>743</v>
      </c>
      <c r="DN94" s="20" t="s">
        <v>716</v>
      </c>
      <c r="EQ94" s="20" t="s">
        <v>717</v>
      </c>
      <c r="ES94" s="20" t="s">
        <v>1188</v>
      </c>
      <c r="FK94" s="20" t="s">
        <v>728</v>
      </c>
      <c r="FL94" s="20" t="s">
        <v>728</v>
      </c>
      <c r="FM94" s="20" t="s">
        <v>962</v>
      </c>
      <c r="FN94" s="20" t="s">
        <v>1532</v>
      </c>
      <c r="FO94" s="20" t="s">
        <v>720</v>
      </c>
      <c r="FR94" s="20" t="s">
        <v>721</v>
      </c>
      <c r="FY94" s="20" t="s">
        <v>698</v>
      </c>
      <c r="GC94" s="20" t="s">
        <v>698</v>
      </c>
      <c r="GD94" s="20" t="s">
        <v>698</v>
      </c>
      <c r="GE94" s="20" t="s">
        <v>698</v>
      </c>
      <c r="GK94" s="20" t="s">
        <v>698</v>
      </c>
      <c r="GT94" s="20" t="s">
        <v>698</v>
      </c>
      <c r="GU94" s="20" t="s">
        <v>698</v>
      </c>
      <c r="HF94" s="20">
        <v>0</v>
      </c>
      <c r="HG94" s="20">
        <v>4</v>
      </c>
      <c r="HH94" s="20">
        <v>171935</v>
      </c>
      <c r="HI94" s="20">
        <v>4765</v>
      </c>
      <c r="HJ94" s="20">
        <v>0</v>
      </c>
      <c r="HK94" s="20">
        <v>0</v>
      </c>
      <c r="HM94" s="20">
        <v>176704</v>
      </c>
      <c r="HN94" s="20">
        <v>0</v>
      </c>
      <c r="HO94" s="20">
        <v>0</v>
      </c>
      <c r="HP94" s="20">
        <v>0</v>
      </c>
      <c r="HQ94" s="20">
        <v>0</v>
      </c>
      <c r="HR94" s="20">
        <v>558</v>
      </c>
      <c r="HS94" s="20">
        <v>936</v>
      </c>
      <c r="HT94" s="20" t="s">
        <v>943</v>
      </c>
      <c r="HV94" s="24">
        <v>44319</v>
      </c>
      <c r="HW94" s="20" t="s">
        <v>698</v>
      </c>
      <c r="HY94" s="20" t="s">
        <v>723</v>
      </c>
      <c r="HZ94" s="20" t="s">
        <v>698</v>
      </c>
      <c r="IS94" s="20" t="s">
        <v>724</v>
      </c>
      <c r="IT94" s="20" t="s">
        <v>696</v>
      </c>
      <c r="IU94" s="20" t="s">
        <v>696</v>
      </c>
      <c r="IV94" s="20" t="s">
        <v>696</v>
      </c>
      <c r="IW94" s="20" t="s">
        <v>696</v>
      </c>
      <c r="IX94" s="20" t="s">
        <v>696</v>
      </c>
      <c r="IY94" s="20" t="s">
        <v>696</v>
      </c>
      <c r="IZ94" s="20" t="s">
        <v>696</v>
      </c>
      <c r="JA94" s="20" t="s">
        <v>696</v>
      </c>
      <c r="JB94" s="20" t="s">
        <v>698</v>
      </c>
      <c r="JC94" s="20" t="s">
        <v>698</v>
      </c>
      <c r="JD94" s="20" t="s">
        <v>859</v>
      </c>
      <c r="JI94" s="20" t="s">
        <v>696</v>
      </c>
      <c r="JJ94" s="20" t="s">
        <v>696</v>
      </c>
      <c r="JR94" s="20" t="s">
        <v>698</v>
      </c>
      <c r="JS94" s="20" t="s">
        <v>698</v>
      </c>
      <c r="JX94" s="20" t="s">
        <v>789</v>
      </c>
      <c r="JY94" s="20" t="s">
        <v>1251</v>
      </c>
      <c r="QB94" s="20" t="s">
        <v>1251</v>
      </c>
      <c r="QO94" s="20" t="s">
        <v>1252</v>
      </c>
      <c r="QV94" s="20" t="s">
        <v>696</v>
      </c>
      <c r="RH94" s="20" t="s">
        <v>696</v>
      </c>
      <c r="WW94" s="20" t="s">
        <v>696</v>
      </c>
      <c r="XL94" s="20" t="s">
        <v>730</v>
      </c>
      <c r="XM94" s="20" t="s">
        <v>1360</v>
      </c>
      <c r="XN94" s="20" t="s">
        <v>732</v>
      </c>
      <c r="XO94" s="20" t="s">
        <v>733</v>
      </c>
      <c r="XQ94" s="24">
        <v>45148</v>
      </c>
      <c r="XU94" s="20" t="s">
        <v>730</v>
      </c>
      <c r="XV94" s="20" t="s">
        <v>733</v>
      </c>
      <c r="XW94" s="20" t="s">
        <v>1360</v>
      </c>
      <c r="XX94" s="20" t="s">
        <v>732</v>
      </c>
      <c r="XY94" s="20" t="s">
        <v>1533</v>
      </c>
    </row>
    <row r="95" spans="1:649" ht="13">
      <c r="A95" s="20">
        <v>572</v>
      </c>
      <c r="B95" s="21">
        <v>45142</v>
      </c>
      <c r="C95" s="20">
        <v>2023</v>
      </c>
      <c r="D95" s="20">
        <v>20230178</v>
      </c>
      <c r="E95" s="20">
        <v>39337</v>
      </c>
      <c r="F95" s="20" t="s">
        <v>825</v>
      </c>
      <c r="G95" s="20">
        <v>12470</v>
      </c>
      <c r="H95" s="20" t="s">
        <v>1070</v>
      </c>
      <c r="I95" s="20" t="s">
        <v>692</v>
      </c>
      <c r="J95" s="20" t="s">
        <v>693</v>
      </c>
      <c r="K95" s="20" t="s">
        <v>694</v>
      </c>
      <c r="L95" s="20">
        <v>77002</v>
      </c>
      <c r="M95" s="22">
        <v>45112.679166666669</v>
      </c>
      <c r="N95" s="20" t="s">
        <v>843</v>
      </c>
      <c r="O95" s="20" t="s">
        <v>696</v>
      </c>
      <c r="P95" s="20">
        <v>41.299190000000003</v>
      </c>
      <c r="Q95" s="20">
        <v>-83.616190000000003</v>
      </c>
      <c r="R95" s="20" t="s">
        <v>697</v>
      </c>
      <c r="W95" s="20">
        <v>2</v>
      </c>
      <c r="Y95" s="20">
        <v>2</v>
      </c>
      <c r="Z95" s="20" t="s">
        <v>698</v>
      </c>
      <c r="AF95" s="20">
        <v>0</v>
      </c>
      <c r="AG95" s="20" t="s">
        <v>698</v>
      </c>
      <c r="AM95" s="20">
        <v>0</v>
      </c>
      <c r="AN95" s="20" t="s">
        <v>797</v>
      </c>
      <c r="AQ95" s="23">
        <v>45112.679166666669</v>
      </c>
      <c r="AR95" s="20" t="s">
        <v>776</v>
      </c>
      <c r="AS95" s="20" t="s">
        <v>702</v>
      </c>
      <c r="AT95" s="20" t="s">
        <v>703</v>
      </c>
      <c r="AU95" s="20" t="s">
        <v>696</v>
      </c>
      <c r="AW95" s="23">
        <v>45112.684027777781</v>
      </c>
      <c r="AX95" s="23">
        <v>45114.5</v>
      </c>
      <c r="AZ95" s="20" t="s">
        <v>696</v>
      </c>
      <c r="BA95" s="20" t="s">
        <v>753</v>
      </c>
      <c r="BB95" s="23">
        <v>45112.963888888888</v>
      </c>
      <c r="BC95" s="23">
        <v>45112.916666666664</v>
      </c>
      <c r="BD95" s="23">
        <v>45112.916666666664</v>
      </c>
      <c r="BE95" s="23">
        <v>45112.947916666664</v>
      </c>
      <c r="BF95" s="20">
        <v>1372213</v>
      </c>
      <c r="BG95" s="20">
        <v>1372326</v>
      </c>
      <c r="BH95" s="20" t="s">
        <v>698</v>
      </c>
      <c r="BN95" s="20" t="s">
        <v>777</v>
      </c>
      <c r="BP95" s="23">
        <v>45112.918749999997</v>
      </c>
      <c r="BQ95" s="20" t="s">
        <v>798</v>
      </c>
      <c r="BR95" s="20" t="s">
        <v>777</v>
      </c>
      <c r="BT95" s="23">
        <v>45112.989583333336</v>
      </c>
      <c r="BU95" s="20" t="s">
        <v>779</v>
      </c>
      <c r="BV95" s="20" t="s">
        <v>696</v>
      </c>
      <c r="BW95" s="23">
        <v>45112.916666666664</v>
      </c>
      <c r="BX95" s="20" t="s">
        <v>696</v>
      </c>
      <c r="BY95" s="23">
        <v>45112.916666666664</v>
      </c>
      <c r="BZ95" s="23">
        <v>45112.979166666664</v>
      </c>
      <c r="CA95" s="20">
        <v>0</v>
      </c>
      <c r="CB95" s="20" t="s">
        <v>1534</v>
      </c>
      <c r="CC95" s="20" t="s">
        <v>1535</v>
      </c>
      <c r="CD95" s="20" t="s">
        <v>1075</v>
      </c>
      <c r="CE95" s="20">
        <v>43413</v>
      </c>
      <c r="CF95" s="20" t="s">
        <v>1536</v>
      </c>
      <c r="CG95" s="20" t="s">
        <v>1472</v>
      </c>
      <c r="CH95" s="20" t="s">
        <v>784</v>
      </c>
      <c r="CI95" s="20">
        <v>51</v>
      </c>
      <c r="CJ95" s="20" t="s">
        <v>698</v>
      </c>
      <c r="CK95" s="20" t="s">
        <v>785</v>
      </c>
      <c r="CL95" s="20" t="s">
        <v>741</v>
      </c>
      <c r="CM95" s="20" t="s">
        <v>742</v>
      </c>
      <c r="CO95" s="20">
        <v>42</v>
      </c>
      <c r="CP95" s="20" t="s">
        <v>698</v>
      </c>
      <c r="DM95" s="20" t="s">
        <v>743</v>
      </c>
      <c r="DN95" s="20" t="s">
        <v>744</v>
      </c>
      <c r="DO95" s="20" t="s">
        <v>745</v>
      </c>
      <c r="DP95" s="20" t="s">
        <v>698</v>
      </c>
      <c r="DQ95" s="20">
        <v>22</v>
      </c>
      <c r="DR95" s="20">
        <v>0.34399999999999997</v>
      </c>
      <c r="DS95" s="20">
        <v>35000</v>
      </c>
      <c r="DT95" s="20" t="s">
        <v>746</v>
      </c>
      <c r="DU95" s="20" t="s">
        <v>926</v>
      </c>
      <c r="DW95" s="20" t="s">
        <v>728</v>
      </c>
      <c r="DX95" s="20" t="s">
        <v>1537</v>
      </c>
      <c r="DZ95" s="20" t="s">
        <v>728</v>
      </c>
      <c r="FK95" s="20">
        <v>1949</v>
      </c>
      <c r="FL95" s="20" t="s">
        <v>728</v>
      </c>
      <c r="FM95" s="20" t="s">
        <v>719</v>
      </c>
      <c r="FO95" s="20" t="s">
        <v>720</v>
      </c>
      <c r="FR95" s="20" t="s">
        <v>768</v>
      </c>
      <c r="FY95" s="20" t="s">
        <v>698</v>
      </c>
      <c r="GC95" s="20" t="s">
        <v>696</v>
      </c>
      <c r="GD95" s="20" t="s">
        <v>698</v>
      </c>
      <c r="GE95" s="20" t="s">
        <v>696</v>
      </c>
      <c r="GH95" s="20" t="s">
        <v>696</v>
      </c>
      <c r="GK95" s="20" t="s">
        <v>698</v>
      </c>
      <c r="GT95" s="20" t="s">
        <v>698</v>
      </c>
      <c r="GU95" s="20" t="s">
        <v>698</v>
      </c>
      <c r="HF95" s="20">
        <v>25000</v>
      </c>
      <c r="HG95" s="20">
        <v>150</v>
      </c>
      <c r="HH95" s="20">
        <v>155000</v>
      </c>
      <c r="HI95" s="20">
        <v>200000</v>
      </c>
      <c r="HJ95" s="20">
        <v>29000</v>
      </c>
      <c r="HK95" s="20">
        <v>2055</v>
      </c>
      <c r="HL95" s="20" t="s">
        <v>1538</v>
      </c>
      <c r="HM95" s="20">
        <v>411205</v>
      </c>
      <c r="HN95" s="20">
        <v>0</v>
      </c>
      <c r="HO95" s="20">
        <v>0</v>
      </c>
      <c r="HP95" s="20">
        <v>0</v>
      </c>
      <c r="HQ95" s="20">
        <v>0</v>
      </c>
      <c r="HR95" s="20">
        <v>200</v>
      </c>
      <c r="HS95" s="20">
        <v>788</v>
      </c>
      <c r="HT95" s="20" t="s">
        <v>943</v>
      </c>
      <c r="HV95" s="24">
        <v>25316</v>
      </c>
      <c r="HW95" s="20" t="s">
        <v>698</v>
      </c>
      <c r="HY95" s="20" t="s">
        <v>723</v>
      </c>
      <c r="HZ95" s="20" t="s">
        <v>698</v>
      </c>
      <c r="IC95" s="20">
        <v>5450</v>
      </c>
      <c r="ID95" s="20" t="s">
        <v>696</v>
      </c>
      <c r="IL95" s="20" t="s">
        <v>698</v>
      </c>
      <c r="IS95" s="20" t="s">
        <v>724</v>
      </c>
      <c r="IT95" s="20" t="s">
        <v>696</v>
      </c>
      <c r="IU95" s="20" t="s">
        <v>696</v>
      </c>
      <c r="IV95" s="20" t="s">
        <v>696</v>
      </c>
      <c r="IW95" s="20" t="s">
        <v>696</v>
      </c>
      <c r="IX95" s="20" t="s">
        <v>696</v>
      </c>
      <c r="IY95" s="20" t="s">
        <v>696</v>
      </c>
      <c r="IZ95" s="20" t="s">
        <v>696</v>
      </c>
      <c r="JA95" s="20" t="s">
        <v>696</v>
      </c>
      <c r="JB95" s="20" t="s">
        <v>696</v>
      </c>
      <c r="JC95" s="20" t="s">
        <v>696</v>
      </c>
      <c r="JD95" s="20" t="s">
        <v>725</v>
      </c>
      <c r="JE95" s="20" t="s">
        <v>726</v>
      </c>
      <c r="JR95" s="20" t="s">
        <v>698</v>
      </c>
      <c r="JS95" s="20" t="s">
        <v>698</v>
      </c>
      <c r="JX95" s="20" t="s">
        <v>929</v>
      </c>
      <c r="JY95" s="20" t="s">
        <v>930</v>
      </c>
      <c r="PC95" s="20" t="s">
        <v>696</v>
      </c>
      <c r="PG95" s="20" t="s">
        <v>930</v>
      </c>
      <c r="PN95" s="20" t="s">
        <v>931</v>
      </c>
      <c r="PP95" s="20" t="s">
        <v>696</v>
      </c>
      <c r="QA95" s="20" t="s">
        <v>696</v>
      </c>
      <c r="SC95" s="20" t="s">
        <v>696</v>
      </c>
      <c r="SD95" s="20" t="s">
        <v>696</v>
      </c>
      <c r="SF95" s="20" t="s">
        <v>696</v>
      </c>
      <c r="SG95" s="20" t="s">
        <v>696</v>
      </c>
      <c r="SK95" s="20">
        <v>2018</v>
      </c>
      <c r="SL95" s="20" t="s">
        <v>863</v>
      </c>
      <c r="SM95" s="20" t="s">
        <v>864</v>
      </c>
      <c r="SO95" s="20" t="s">
        <v>865</v>
      </c>
      <c r="SQ95" s="20">
        <v>2014</v>
      </c>
      <c r="SR95" s="20" t="s">
        <v>863</v>
      </c>
      <c r="SS95" s="20" t="s">
        <v>864</v>
      </c>
      <c r="SU95" s="20" t="s">
        <v>865</v>
      </c>
      <c r="TE95" s="20">
        <v>2016</v>
      </c>
      <c r="TF95" s="20" t="s">
        <v>863</v>
      </c>
      <c r="TG95" s="20" t="s">
        <v>768</v>
      </c>
      <c r="TQ95" s="20">
        <v>2018</v>
      </c>
      <c r="TR95" s="20" t="s">
        <v>863</v>
      </c>
      <c r="TS95" s="20" t="s">
        <v>865</v>
      </c>
      <c r="TU95" s="20" t="s">
        <v>934</v>
      </c>
      <c r="TV95" s="20">
        <v>2014</v>
      </c>
      <c r="TW95" s="20" t="s">
        <v>863</v>
      </c>
      <c r="TX95" s="20" t="s">
        <v>865</v>
      </c>
      <c r="TZ95" s="20" t="s">
        <v>934</v>
      </c>
      <c r="UO95" s="20" t="s">
        <v>696</v>
      </c>
      <c r="UP95" s="20">
        <v>1969</v>
      </c>
      <c r="UQ95" s="20">
        <v>994</v>
      </c>
      <c r="UR95" s="20" t="s">
        <v>698</v>
      </c>
      <c r="UZ95" s="20" t="s">
        <v>698</v>
      </c>
      <c r="VN95" s="20" t="s">
        <v>696</v>
      </c>
      <c r="XL95" s="20" t="s">
        <v>730</v>
      </c>
      <c r="XM95" s="20" t="s">
        <v>731</v>
      </c>
      <c r="XN95" s="20" t="s">
        <v>732</v>
      </c>
      <c r="XO95" s="20" t="s">
        <v>733</v>
      </c>
      <c r="XQ95" s="24">
        <v>45369</v>
      </c>
      <c r="XU95" s="20" t="s">
        <v>730</v>
      </c>
      <c r="XV95" s="20" t="s">
        <v>733</v>
      </c>
      <c r="XW95" s="20" t="s">
        <v>731</v>
      </c>
      <c r="XX95" s="20" t="s">
        <v>732</v>
      </c>
      <c r="XY95" s="20" t="s">
        <v>1539</v>
      </c>
    </row>
    <row r="96" spans="1:649" ht="13">
      <c r="A96" s="20">
        <v>575</v>
      </c>
      <c r="B96" s="21">
        <v>45134</v>
      </c>
      <c r="C96" s="20">
        <v>2023</v>
      </c>
      <c r="D96" s="20">
        <v>20230172</v>
      </c>
      <c r="E96" s="20">
        <v>38458</v>
      </c>
      <c r="F96" s="20" t="s">
        <v>825</v>
      </c>
      <c r="G96" s="20">
        <v>31888</v>
      </c>
      <c r="H96" s="20" t="s">
        <v>1126</v>
      </c>
      <c r="I96" s="20" t="s">
        <v>692</v>
      </c>
      <c r="J96" s="20" t="s">
        <v>693</v>
      </c>
      <c r="K96" s="20" t="s">
        <v>694</v>
      </c>
      <c r="L96" s="20">
        <v>77002</v>
      </c>
      <c r="M96" s="22">
        <v>45106.324305555558</v>
      </c>
      <c r="N96" s="20" t="s">
        <v>695</v>
      </c>
      <c r="O96" s="20" t="s">
        <v>696</v>
      </c>
      <c r="P96" s="20">
        <v>32.002374000000003</v>
      </c>
      <c r="Q96" s="20">
        <v>-102.04669199999999</v>
      </c>
      <c r="R96" s="20" t="s">
        <v>697</v>
      </c>
      <c r="W96" s="20">
        <v>37</v>
      </c>
      <c r="Y96" s="20">
        <v>37</v>
      </c>
      <c r="Z96" s="20" t="s">
        <v>698</v>
      </c>
      <c r="AF96" s="20">
        <v>0</v>
      </c>
      <c r="AG96" s="20" t="s">
        <v>698</v>
      </c>
      <c r="AM96" s="20">
        <v>0</v>
      </c>
      <c r="AN96" s="20" t="s">
        <v>699</v>
      </c>
      <c r="AP96" s="20" t="s">
        <v>700</v>
      </c>
      <c r="AQ96" s="23">
        <v>45106.324305555558</v>
      </c>
      <c r="AR96" s="20" t="s">
        <v>736</v>
      </c>
      <c r="AS96" s="20" t="s">
        <v>702</v>
      </c>
      <c r="AT96" s="20" t="s">
        <v>1200</v>
      </c>
      <c r="AZ96" s="20" t="s">
        <v>698</v>
      </c>
      <c r="BC96" s="23">
        <v>45106.324305555558</v>
      </c>
      <c r="BD96" s="23">
        <v>45106.324305555558</v>
      </c>
      <c r="BF96" s="20" t="s">
        <v>754</v>
      </c>
      <c r="BH96" s="20" t="s">
        <v>698</v>
      </c>
      <c r="BV96" s="20" t="s">
        <v>696</v>
      </c>
      <c r="BW96" s="23">
        <v>45106.325694444444</v>
      </c>
      <c r="BX96" s="20" t="s">
        <v>698</v>
      </c>
      <c r="CA96" s="20">
        <v>0</v>
      </c>
      <c r="CB96" s="20" t="s">
        <v>1431</v>
      </c>
      <c r="CC96" s="20" t="s">
        <v>1540</v>
      </c>
      <c r="CD96" s="20" t="s">
        <v>694</v>
      </c>
      <c r="CE96" s="20">
        <v>79706</v>
      </c>
      <c r="CF96" s="20" t="s">
        <v>708</v>
      </c>
      <c r="CG96" s="20" t="s">
        <v>757</v>
      </c>
      <c r="CH96" s="20" t="s">
        <v>784</v>
      </c>
      <c r="CI96" s="20" t="s">
        <v>1433</v>
      </c>
      <c r="CJ96" s="20" t="s">
        <v>698</v>
      </c>
      <c r="CK96" s="20" t="s">
        <v>712</v>
      </c>
      <c r="CL96" s="20" t="s">
        <v>741</v>
      </c>
      <c r="CM96" s="20" t="s">
        <v>1541</v>
      </c>
      <c r="CO96" s="20">
        <v>36</v>
      </c>
      <c r="CP96" s="20" t="s">
        <v>698</v>
      </c>
      <c r="DM96" s="20" t="s">
        <v>715</v>
      </c>
      <c r="DN96" s="20" t="s">
        <v>744</v>
      </c>
      <c r="DO96" s="20" t="s">
        <v>745</v>
      </c>
      <c r="DP96" s="20" t="s">
        <v>698</v>
      </c>
      <c r="DQ96" s="20">
        <v>10</v>
      </c>
      <c r="DR96" s="20">
        <v>0.25</v>
      </c>
      <c r="DS96" s="20">
        <v>52000</v>
      </c>
      <c r="DT96" s="20" t="s">
        <v>728</v>
      </c>
      <c r="DU96" s="20" t="s">
        <v>857</v>
      </c>
      <c r="DW96" s="20" t="s">
        <v>728</v>
      </c>
      <c r="DX96" s="20" t="s">
        <v>1542</v>
      </c>
      <c r="DZ96" s="20" t="s">
        <v>698</v>
      </c>
      <c r="FK96" s="20">
        <v>2012</v>
      </c>
      <c r="FL96" s="20" t="s">
        <v>728</v>
      </c>
      <c r="FM96" s="20" t="s">
        <v>719</v>
      </c>
      <c r="FO96" s="20" t="s">
        <v>720</v>
      </c>
      <c r="FR96" s="20" t="s">
        <v>749</v>
      </c>
      <c r="FY96" s="20" t="s">
        <v>698</v>
      </c>
      <c r="GC96" s="20" t="s">
        <v>696</v>
      </c>
      <c r="GD96" s="20" t="s">
        <v>698</v>
      </c>
      <c r="GE96" s="20" t="s">
        <v>696</v>
      </c>
      <c r="GH96" s="20" t="s">
        <v>696</v>
      </c>
      <c r="GK96" s="20" t="s">
        <v>698</v>
      </c>
      <c r="GT96" s="20" t="s">
        <v>698</v>
      </c>
      <c r="GU96" s="20" t="s">
        <v>698</v>
      </c>
      <c r="HF96" s="20">
        <v>0</v>
      </c>
      <c r="HG96" s="20">
        <v>140</v>
      </c>
      <c r="HH96" s="20">
        <v>2000</v>
      </c>
      <c r="HI96" s="20">
        <v>1000</v>
      </c>
      <c r="HJ96" s="20">
        <v>2400</v>
      </c>
      <c r="HK96" s="20">
        <v>0</v>
      </c>
      <c r="HM96" s="20">
        <v>5540</v>
      </c>
      <c r="HN96" s="20">
        <v>0</v>
      </c>
      <c r="HO96" s="20">
        <v>0</v>
      </c>
      <c r="HP96" s="20">
        <v>0</v>
      </c>
      <c r="HQ96" s="20">
        <v>0</v>
      </c>
      <c r="HR96" s="20">
        <v>1</v>
      </c>
      <c r="HS96" s="20">
        <v>720</v>
      </c>
      <c r="HT96" s="20" t="s">
        <v>787</v>
      </c>
      <c r="HV96" s="24">
        <v>44363</v>
      </c>
      <c r="HW96" s="20" t="s">
        <v>698</v>
      </c>
      <c r="HY96" s="20" t="s">
        <v>723</v>
      </c>
      <c r="HZ96" s="20" t="s">
        <v>698</v>
      </c>
      <c r="IS96" s="20" t="s">
        <v>724</v>
      </c>
      <c r="IT96" s="20" t="s">
        <v>698</v>
      </c>
      <c r="IY96" s="20" t="s">
        <v>698</v>
      </c>
      <c r="JD96" s="20" t="s">
        <v>832</v>
      </c>
      <c r="JR96" s="20" t="s">
        <v>698</v>
      </c>
      <c r="JS96" s="20" t="s">
        <v>698</v>
      </c>
      <c r="JX96" s="20" t="s">
        <v>833</v>
      </c>
      <c r="JY96" s="20" t="s">
        <v>834</v>
      </c>
      <c r="JZ96" s="20" t="s">
        <v>834</v>
      </c>
      <c r="LD96" s="20" t="s">
        <v>835</v>
      </c>
      <c r="LG96" s="20" t="s">
        <v>696</v>
      </c>
      <c r="LH96" s="20" t="s">
        <v>696</v>
      </c>
      <c r="LL96" s="20" t="s">
        <v>696</v>
      </c>
      <c r="LP96" s="20" t="s">
        <v>696</v>
      </c>
      <c r="LU96" s="20" t="s">
        <v>696</v>
      </c>
      <c r="LV96" s="20" t="s">
        <v>698</v>
      </c>
      <c r="LW96" s="20" t="s">
        <v>838</v>
      </c>
      <c r="LX96" s="20" t="s">
        <v>838</v>
      </c>
      <c r="SC96" s="20" t="s">
        <v>698</v>
      </c>
      <c r="UO96" s="20" t="s">
        <v>698</v>
      </c>
      <c r="UR96" s="20" t="s">
        <v>698</v>
      </c>
      <c r="UZ96" s="20" t="s">
        <v>698</v>
      </c>
      <c r="XL96" s="20" t="s">
        <v>1389</v>
      </c>
      <c r="XM96" s="20" t="s">
        <v>1543</v>
      </c>
      <c r="XN96" s="20" t="s">
        <v>1391</v>
      </c>
      <c r="XO96" s="20" t="s">
        <v>1428</v>
      </c>
      <c r="XQ96" s="24">
        <v>45166</v>
      </c>
      <c r="XU96" s="20" t="s">
        <v>1393</v>
      </c>
      <c r="XV96" s="20">
        <v>2818089234</v>
      </c>
      <c r="XW96" s="20" t="s">
        <v>1412</v>
      </c>
      <c r="XX96" s="20" t="s">
        <v>1396</v>
      </c>
      <c r="XY96" s="20" t="s">
        <v>1544</v>
      </c>
    </row>
    <row r="97" spans="1:649" ht="13">
      <c r="A97" s="20">
        <v>577</v>
      </c>
      <c r="B97" s="21">
        <v>45128</v>
      </c>
      <c r="C97" s="20">
        <v>2023</v>
      </c>
      <c r="D97" s="20">
        <v>20230166</v>
      </c>
      <c r="E97" s="20">
        <v>38300</v>
      </c>
      <c r="F97" s="20" t="s">
        <v>885</v>
      </c>
      <c r="G97" s="20">
        <v>39706</v>
      </c>
      <c r="H97" s="20" t="s">
        <v>817</v>
      </c>
      <c r="I97" s="20" t="s">
        <v>692</v>
      </c>
      <c r="J97" s="20" t="s">
        <v>693</v>
      </c>
      <c r="K97" s="20" t="s">
        <v>694</v>
      </c>
      <c r="L97" s="20">
        <v>77002</v>
      </c>
      <c r="M97" s="22">
        <v>45105.326388888891</v>
      </c>
      <c r="N97" s="20" t="s">
        <v>695</v>
      </c>
      <c r="O97" s="20" t="s">
        <v>696</v>
      </c>
      <c r="P97" s="20">
        <v>29.998305999999999</v>
      </c>
      <c r="Q97" s="20">
        <v>-93.990131000000005</v>
      </c>
      <c r="R97" s="20" t="s">
        <v>697</v>
      </c>
      <c r="W97" s="20">
        <v>0.48</v>
      </c>
      <c r="Y97" s="20">
        <v>0.48</v>
      </c>
      <c r="Z97" s="20" t="s">
        <v>698</v>
      </c>
      <c r="AF97" s="20">
        <v>0</v>
      </c>
      <c r="AG97" s="20" t="s">
        <v>698</v>
      </c>
      <c r="AM97" s="20">
        <v>0</v>
      </c>
      <c r="AN97" s="20" t="s">
        <v>699</v>
      </c>
      <c r="AP97" s="20" t="s">
        <v>700</v>
      </c>
      <c r="AQ97" s="23">
        <v>45105.326388888891</v>
      </c>
      <c r="AR97" s="20" t="s">
        <v>736</v>
      </c>
      <c r="AS97" s="20" t="s">
        <v>702</v>
      </c>
      <c r="AT97" s="20" t="s">
        <v>703</v>
      </c>
      <c r="AU97" s="20" t="s">
        <v>698</v>
      </c>
      <c r="AV97" s="20" t="s">
        <v>1545</v>
      </c>
      <c r="AZ97" s="20" t="s">
        <v>698</v>
      </c>
      <c r="BC97" s="23">
        <v>45105.326388888891</v>
      </c>
      <c r="BD97" s="23">
        <v>45105.326388888891</v>
      </c>
      <c r="BF97" s="20" t="s">
        <v>754</v>
      </c>
      <c r="BH97" s="20" t="s">
        <v>698</v>
      </c>
      <c r="BV97" s="20" t="s">
        <v>696</v>
      </c>
      <c r="BW97" s="23">
        <v>45105.336805555555</v>
      </c>
      <c r="BX97" s="20" t="s">
        <v>698</v>
      </c>
      <c r="CA97" s="20">
        <v>0</v>
      </c>
      <c r="CB97" s="20" t="s">
        <v>818</v>
      </c>
      <c r="CC97" s="20" t="s">
        <v>1546</v>
      </c>
      <c r="CD97" s="20" t="s">
        <v>694</v>
      </c>
      <c r="CE97" s="20">
        <v>77627</v>
      </c>
      <c r="CF97" s="20" t="s">
        <v>820</v>
      </c>
      <c r="CG97" s="20" t="s">
        <v>821</v>
      </c>
      <c r="CH97" s="20" t="s">
        <v>710</v>
      </c>
      <c r="CI97" s="20" t="s">
        <v>711</v>
      </c>
      <c r="CJ97" s="20" t="s">
        <v>698</v>
      </c>
      <c r="CK97" s="20" t="s">
        <v>712</v>
      </c>
      <c r="CL97" s="20" t="s">
        <v>713</v>
      </c>
      <c r="CM97" s="20" t="s">
        <v>758</v>
      </c>
      <c r="CP97" s="20" t="s">
        <v>698</v>
      </c>
      <c r="DM97" s="20" t="s">
        <v>743</v>
      </c>
      <c r="DN97" s="20" t="s">
        <v>892</v>
      </c>
      <c r="FK97" s="20" t="s">
        <v>728</v>
      </c>
      <c r="FL97" s="20" t="s">
        <v>728</v>
      </c>
      <c r="FM97" s="20" t="s">
        <v>719</v>
      </c>
      <c r="FO97" s="20" t="s">
        <v>893</v>
      </c>
      <c r="FY97" s="20" t="s">
        <v>698</v>
      </c>
      <c r="GC97" s="20" t="s">
        <v>698</v>
      </c>
      <c r="GD97" s="20" t="s">
        <v>698</v>
      </c>
      <c r="GE97" s="20" t="s">
        <v>698</v>
      </c>
      <c r="GK97" s="20" t="s">
        <v>698</v>
      </c>
      <c r="GT97" s="20" t="s">
        <v>696</v>
      </c>
      <c r="GU97" s="20" t="s">
        <v>696</v>
      </c>
      <c r="GX97" s="20" t="s">
        <v>696</v>
      </c>
      <c r="GY97" s="20" t="s">
        <v>696</v>
      </c>
      <c r="HF97" s="20">
        <v>0</v>
      </c>
      <c r="HG97" s="20">
        <v>55</v>
      </c>
      <c r="HH97" s="20">
        <v>500</v>
      </c>
      <c r="HI97" s="20">
        <v>1500</v>
      </c>
      <c r="HJ97" s="20">
        <v>0</v>
      </c>
      <c r="HK97" s="20">
        <v>0</v>
      </c>
      <c r="HM97" s="20">
        <v>2055</v>
      </c>
      <c r="HN97" s="20">
        <v>0</v>
      </c>
      <c r="HO97" s="20">
        <v>0</v>
      </c>
      <c r="HP97" s="20">
        <v>0</v>
      </c>
      <c r="HQ97" s="20">
        <v>0</v>
      </c>
      <c r="HR97" s="20">
        <v>80</v>
      </c>
      <c r="HS97" s="20">
        <v>275</v>
      </c>
      <c r="HT97" s="20" t="s">
        <v>750</v>
      </c>
      <c r="HV97" s="24">
        <v>29221</v>
      </c>
      <c r="HW97" s="20" t="s">
        <v>698</v>
      </c>
      <c r="HY97" s="20" t="s">
        <v>723</v>
      </c>
      <c r="HZ97" s="20" t="s">
        <v>698</v>
      </c>
      <c r="IS97" s="20" t="s">
        <v>724</v>
      </c>
      <c r="IT97" s="20" t="s">
        <v>696</v>
      </c>
      <c r="IU97" s="20" t="s">
        <v>696</v>
      </c>
      <c r="IV97" s="20" t="s">
        <v>696</v>
      </c>
      <c r="IW97" s="20" t="s">
        <v>698</v>
      </c>
      <c r="IX97" s="20" t="s">
        <v>696</v>
      </c>
      <c r="IY97" s="20" t="s">
        <v>696</v>
      </c>
      <c r="IZ97" s="20" t="s">
        <v>696</v>
      </c>
      <c r="JA97" s="20" t="s">
        <v>696</v>
      </c>
      <c r="JB97" s="20" t="s">
        <v>698</v>
      </c>
      <c r="JC97" s="20" t="s">
        <v>698</v>
      </c>
      <c r="JD97" s="20" t="s">
        <v>859</v>
      </c>
      <c r="JF97" s="20" t="s">
        <v>696</v>
      </c>
      <c r="JJ97" s="20" t="s">
        <v>696</v>
      </c>
      <c r="JP97" s="20" t="s">
        <v>696</v>
      </c>
      <c r="JQ97" s="20" t="s">
        <v>1547</v>
      </c>
      <c r="JR97" s="20" t="s">
        <v>698</v>
      </c>
      <c r="JS97" s="20" t="s">
        <v>698</v>
      </c>
      <c r="JX97" s="20" t="s">
        <v>789</v>
      </c>
      <c r="JY97" s="20" t="s">
        <v>790</v>
      </c>
      <c r="QB97" s="20" t="s">
        <v>790</v>
      </c>
      <c r="QG97" s="20" t="s">
        <v>696</v>
      </c>
      <c r="RK97" s="20" t="s">
        <v>696</v>
      </c>
      <c r="RL97" s="20" t="s">
        <v>1548</v>
      </c>
      <c r="XD97" s="20" t="s">
        <v>696</v>
      </c>
      <c r="XL97" s="20" t="s">
        <v>730</v>
      </c>
      <c r="XM97" s="20" t="s">
        <v>1360</v>
      </c>
      <c r="XN97" s="20" t="s">
        <v>732</v>
      </c>
      <c r="XO97" s="20" t="s">
        <v>733</v>
      </c>
      <c r="XQ97" s="24">
        <v>45128</v>
      </c>
      <c r="XU97" s="20" t="s">
        <v>730</v>
      </c>
      <c r="XV97" s="20" t="s">
        <v>733</v>
      </c>
      <c r="XW97" s="20" t="s">
        <v>1360</v>
      </c>
      <c r="XX97" s="20" t="s">
        <v>732</v>
      </c>
      <c r="XY97" s="20" t="s">
        <v>1549</v>
      </c>
    </row>
    <row r="98" spans="1:649" ht="13">
      <c r="A98" s="20">
        <v>601</v>
      </c>
      <c r="B98" s="21">
        <v>45114</v>
      </c>
      <c r="C98" s="20">
        <v>2023</v>
      </c>
      <c r="D98" s="20">
        <v>20230150</v>
      </c>
      <c r="E98" s="20">
        <v>38254</v>
      </c>
      <c r="F98" s="20" t="s">
        <v>885</v>
      </c>
      <c r="G98" s="20">
        <v>32099</v>
      </c>
      <c r="H98" s="20" t="s">
        <v>752</v>
      </c>
      <c r="I98" s="20" t="s">
        <v>692</v>
      </c>
      <c r="J98" s="20" t="s">
        <v>693</v>
      </c>
      <c r="K98" s="20" t="s">
        <v>694</v>
      </c>
      <c r="L98" s="20">
        <v>77002</v>
      </c>
      <c r="M98" s="22">
        <v>45084.333333333336</v>
      </c>
      <c r="N98" s="20" t="s">
        <v>695</v>
      </c>
      <c r="O98" s="20" t="s">
        <v>696</v>
      </c>
      <c r="P98" s="20">
        <v>32.438882999999997</v>
      </c>
      <c r="Q98" s="20">
        <v>-94.825233999999995</v>
      </c>
      <c r="R98" s="20" t="s">
        <v>697</v>
      </c>
      <c r="W98" s="20">
        <v>0.24</v>
      </c>
      <c r="Y98" s="20">
        <v>0.24</v>
      </c>
      <c r="Z98" s="20" t="s">
        <v>698</v>
      </c>
      <c r="AF98" s="20">
        <v>0</v>
      </c>
      <c r="AG98" s="20" t="s">
        <v>698</v>
      </c>
      <c r="AM98" s="20">
        <v>0</v>
      </c>
      <c r="AN98" s="20" t="s">
        <v>699</v>
      </c>
      <c r="AP98" s="20" t="s">
        <v>700</v>
      </c>
      <c r="AQ98" s="23">
        <v>45084.333333333336</v>
      </c>
      <c r="AR98" s="20" t="s">
        <v>701</v>
      </c>
      <c r="AS98" s="20" t="s">
        <v>702</v>
      </c>
      <c r="AT98" s="20" t="s">
        <v>1200</v>
      </c>
      <c r="AZ98" s="20" t="s">
        <v>698</v>
      </c>
      <c r="BC98" s="23">
        <v>45084.375</v>
      </c>
      <c r="BD98" s="23">
        <v>45084.333333333336</v>
      </c>
      <c r="BF98" s="20" t="s">
        <v>754</v>
      </c>
      <c r="BH98" s="20" t="s">
        <v>698</v>
      </c>
      <c r="BV98" s="20" t="s">
        <v>696</v>
      </c>
      <c r="BW98" s="23">
        <v>45084.34375</v>
      </c>
      <c r="BX98" s="20" t="s">
        <v>698</v>
      </c>
      <c r="CA98" s="20">
        <v>0</v>
      </c>
      <c r="CB98" s="20" t="s">
        <v>1550</v>
      </c>
      <c r="CC98" s="20" t="s">
        <v>1551</v>
      </c>
      <c r="CD98" s="20" t="s">
        <v>694</v>
      </c>
      <c r="CE98" s="20">
        <v>75662</v>
      </c>
      <c r="CF98" s="20" t="s">
        <v>1552</v>
      </c>
      <c r="CG98" s="20" t="s">
        <v>1123</v>
      </c>
      <c r="CH98" s="20" t="s">
        <v>710</v>
      </c>
      <c r="CI98" s="20" t="s">
        <v>711</v>
      </c>
      <c r="CJ98" s="20" t="s">
        <v>698</v>
      </c>
      <c r="CK98" s="20" t="s">
        <v>712</v>
      </c>
      <c r="CL98" s="20" t="s">
        <v>713</v>
      </c>
      <c r="CM98" s="20" t="s">
        <v>758</v>
      </c>
      <c r="CP98" s="20" t="s">
        <v>698</v>
      </c>
      <c r="DM98" s="20" t="s">
        <v>743</v>
      </c>
      <c r="DN98" s="20" t="s">
        <v>759</v>
      </c>
      <c r="FK98" s="20">
        <v>1984</v>
      </c>
      <c r="FL98" s="20">
        <v>1984</v>
      </c>
      <c r="FM98" s="20" t="s">
        <v>719</v>
      </c>
      <c r="FO98" s="20" t="s">
        <v>720</v>
      </c>
      <c r="FR98" s="20" t="s">
        <v>823</v>
      </c>
      <c r="FY98" s="20" t="s">
        <v>698</v>
      </c>
      <c r="GC98" s="20" t="s">
        <v>696</v>
      </c>
      <c r="GD98" s="20" t="s">
        <v>698</v>
      </c>
      <c r="GE98" s="20" t="s">
        <v>696</v>
      </c>
      <c r="GH98" s="20" t="s">
        <v>696</v>
      </c>
      <c r="GK98" s="20" t="s">
        <v>698</v>
      </c>
      <c r="GT98" s="20" t="s">
        <v>698</v>
      </c>
      <c r="GU98" s="20" t="s">
        <v>698</v>
      </c>
      <c r="HF98" s="20">
        <v>0</v>
      </c>
      <c r="HG98" s="20">
        <v>35</v>
      </c>
      <c r="HH98" s="20">
        <v>3229</v>
      </c>
      <c r="HI98" s="20">
        <v>2345</v>
      </c>
      <c r="HJ98" s="20">
        <v>2545</v>
      </c>
      <c r="HK98" s="20">
        <v>0</v>
      </c>
      <c r="HM98" s="20">
        <v>8154</v>
      </c>
      <c r="HN98" s="20">
        <v>0</v>
      </c>
      <c r="HO98" s="20">
        <v>0</v>
      </c>
      <c r="HP98" s="20">
        <v>0</v>
      </c>
      <c r="HQ98" s="20">
        <v>0</v>
      </c>
      <c r="HR98" s="20">
        <v>50</v>
      </c>
      <c r="HS98" s="20">
        <v>285</v>
      </c>
      <c r="HT98" s="20" t="s">
        <v>750</v>
      </c>
      <c r="HV98" s="24">
        <v>30682</v>
      </c>
      <c r="HW98" s="20" t="s">
        <v>698</v>
      </c>
      <c r="HY98" s="20" t="s">
        <v>723</v>
      </c>
      <c r="HZ98" s="20" t="s">
        <v>698</v>
      </c>
      <c r="IS98" s="20" t="s">
        <v>724</v>
      </c>
      <c r="IT98" s="20" t="s">
        <v>698</v>
      </c>
      <c r="IY98" s="20" t="s">
        <v>698</v>
      </c>
      <c r="JD98" s="20" t="s">
        <v>725</v>
      </c>
      <c r="JE98" s="20" t="s">
        <v>1553</v>
      </c>
      <c r="JR98" s="20" t="s">
        <v>698</v>
      </c>
      <c r="JS98" s="20" t="s">
        <v>698</v>
      </c>
      <c r="JX98" s="20" t="s">
        <v>789</v>
      </c>
      <c r="JY98" s="20" t="s">
        <v>914</v>
      </c>
      <c r="QB98" s="20" t="s">
        <v>914</v>
      </c>
      <c r="QS98" s="20" t="s">
        <v>1017</v>
      </c>
      <c r="RI98" s="20" t="s">
        <v>696</v>
      </c>
      <c r="RK98" s="20" t="s">
        <v>696</v>
      </c>
      <c r="RL98" s="20" t="s">
        <v>1554</v>
      </c>
      <c r="XL98" s="20" t="s">
        <v>730</v>
      </c>
      <c r="XM98" s="20" t="s">
        <v>1360</v>
      </c>
      <c r="XN98" s="20" t="s">
        <v>732</v>
      </c>
      <c r="XO98" s="20" t="s">
        <v>733</v>
      </c>
      <c r="XQ98" s="24">
        <v>45114</v>
      </c>
      <c r="XU98" s="20" t="s">
        <v>730</v>
      </c>
      <c r="XV98" s="20" t="s">
        <v>733</v>
      </c>
      <c r="XW98" s="20" t="s">
        <v>1360</v>
      </c>
      <c r="XX98" s="20" t="s">
        <v>732</v>
      </c>
      <c r="XY98" s="20" t="s">
        <v>1555</v>
      </c>
    </row>
    <row r="99" spans="1:649" ht="13">
      <c r="A99" s="20">
        <v>602</v>
      </c>
      <c r="B99" s="21">
        <v>45107</v>
      </c>
      <c r="C99" s="20">
        <v>2023</v>
      </c>
      <c r="D99" s="20">
        <v>20230142</v>
      </c>
      <c r="E99" s="20">
        <v>38306</v>
      </c>
      <c r="F99" s="20" t="s">
        <v>825</v>
      </c>
      <c r="G99" s="20">
        <v>39462</v>
      </c>
      <c r="H99" s="20" t="s">
        <v>949</v>
      </c>
      <c r="I99" s="20" t="s">
        <v>692</v>
      </c>
      <c r="J99" s="20" t="s">
        <v>693</v>
      </c>
      <c r="K99" s="20" t="s">
        <v>694</v>
      </c>
      <c r="L99" s="20">
        <v>77002</v>
      </c>
      <c r="M99" s="22">
        <v>45084.309027777781</v>
      </c>
      <c r="N99" s="20" t="s">
        <v>695</v>
      </c>
      <c r="O99" s="20" t="s">
        <v>696</v>
      </c>
      <c r="P99" s="20">
        <v>30.103332999999999</v>
      </c>
      <c r="Q99" s="20">
        <v>-91.809443999999999</v>
      </c>
      <c r="R99" s="20" t="s">
        <v>697</v>
      </c>
      <c r="W99" s="20">
        <v>8</v>
      </c>
      <c r="Y99" s="20">
        <v>8</v>
      </c>
      <c r="Z99" s="20" t="s">
        <v>698</v>
      </c>
      <c r="AF99" s="20">
        <v>0</v>
      </c>
      <c r="AG99" s="20" t="s">
        <v>698</v>
      </c>
      <c r="AM99" s="20">
        <v>0</v>
      </c>
      <c r="AN99" s="20" t="s">
        <v>699</v>
      </c>
      <c r="AP99" s="20" t="s">
        <v>700</v>
      </c>
      <c r="AQ99" s="23">
        <v>45084.309027777781</v>
      </c>
      <c r="AR99" s="20" t="s">
        <v>701</v>
      </c>
      <c r="AS99" s="20" t="s">
        <v>702</v>
      </c>
      <c r="AT99" s="20" t="s">
        <v>703</v>
      </c>
      <c r="AU99" s="20" t="s">
        <v>698</v>
      </c>
      <c r="AV99" s="20" t="s">
        <v>1556</v>
      </c>
      <c r="AZ99" s="20" t="s">
        <v>696</v>
      </c>
      <c r="BA99" s="20" t="s">
        <v>753</v>
      </c>
      <c r="BB99" s="23">
        <v>45084.336805555555</v>
      </c>
      <c r="BC99" s="23">
        <v>45084.309027777781</v>
      </c>
      <c r="BD99" s="23">
        <v>45084.309027777781</v>
      </c>
      <c r="BE99" s="23">
        <v>45084.454861111109</v>
      </c>
      <c r="BF99" s="20">
        <v>1369830</v>
      </c>
      <c r="BG99" s="20">
        <v>1370039</v>
      </c>
      <c r="BH99" s="20" t="s">
        <v>698</v>
      </c>
      <c r="BV99" s="20" t="s">
        <v>696</v>
      </c>
      <c r="BW99" s="23">
        <v>45084.30972222222</v>
      </c>
      <c r="BX99" s="20" t="s">
        <v>696</v>
      </c>
      <c r="BY99" s="23">
        <v>45084.34375</v>
      </c>
      <c r="BZ99" s="23">
        <v>45084.375</v>
      </c>
      <c r="CA99" s="20">
        <v>0</v>
      </c>
      <c r="CB99" s="20" t="s">
        <v>1557</v>
      </c>
      <c r="CC99" s="20" t="s">
        <v>1558</v>
      </c>
      <c r="CD99" s="20" t="s">
        <v>1009</v>
      </c>
      <c r="CE99" s="20">
        <v>70582</v>
      </c>
      <c r="CF99" s="20" t="s">
        <v>1559</v>
      </c>
      <c r="CG99" s="20" t="s">
        <v>1560</v>
      </c>
      <c r="CH99" s="20" t="s">
        <v>710</v>
      </c>
      <c r="CI99" s="20">
        <v>305728</v>
      </c>
      <c r="CJ99" s="20" t="s">
        <v>698</v>
      </c>
      <c r="CK99" s="20" t="s">
        <v>712</v>
      </c>
      <c r="CL99" s="20" t="s">
        <v>713</v>
      </c>
      <c r="CM99" s="20" t="s">
        <v>758</v>
      </c>
      <c r="CP99" s="20" t="s">
        <v>698</v>
      </c>
      <c r="DM99" s="20" t="s">
        <v>743</v>
      </c>
      <c r="DN99" s="20" t="s">
        <v>1170</v>
      </c>
      <c r="EU99" s="20" t="s">
        <v>1171</v>
      </c>
      <c r="EV99" s="20" t="s">
        <v>1172</v>
      </c>
      <c r="FK99" s="20">
        <v>2018</v>
      </c>
      <c r="FL99" s="20">
        <v>2018</v>
      </c>
      <c r="FM99" s="20" t="s">
        <v>962</v>
      </c>
      <c r="FN99" s="20" t="s">
        <v>1171</v>
      </c>
      <c r="FO99" s="20" t="s">
        <v>720</v>
      </c>
      <c r="FR99" s="20" t="s">
        <v>823</v>
      </c>
      <c r="FY99" s="20" t="s">
        <v>698</v>
      </c>
      <c r="GC99" s="20" t="s">
        <v>696</v>
      </c>
      <c r="GD99" s="20" t="s">
        <v>698</v>
      </c>
      <c r="GE99" s="20" t="s">
        <v>696</v>
      </c>
      <c r="GH99" s="20" t="s">
        <v>696</v>
      </c>
      <c r="GK99" s="20" t="s">
        <v>698</v>
      </c>
      <c r="GT99" s="20" t="s">
        <v>698</v>
      </c>
      <c r="GU99" s="20" t="s">
        <v>698</v>
      </c>
      <c r="HF99" s="20">
        <v>0</v>
      </c>
      <c r="HG99" s="20">
        <v>500</v>
      </c>
      <c r="HH99" s="20">
        <v>20000</v>
      </c>
      <c r="HI99" s="20">
        <v>24000</v>
      </c>
      <c r="HJ99" s="20">
        <v>106000</v>
      </c>
      <c r="HK99" s="20">
        <v>0</v>
      </c>
      <c r="HM99" s="20">
        <v>150500</v>
      </c>
      <c r="HN99" s="20">
        <v>0</v>
      </c>
      <c r="HO99" s="20">
        <v>0</v>
      </c>
      <c r="HP99" s="20">
        <v>0</v>
      </c>
      <c r="HQ99" s="20">
        <v>0</v>
      </c>
      <c r="HR99" s="20">
        <v>1100</v>
      </c>
      <c r="HS99" s="20">
        <v>1440</v>
      </c>
      <c r="HT99" s="20" t="s">
        <v>787</v>
      </c>
      <c r="HV99" s="24">
        <v>43929</v>
      </c>
      <c r="HW99" s="20" t="s">
        <v>698</v>
      </c>
      <c r="HY99" s="20" t="s">
        <v>723</v>
      </c>
      <c r="HZ99" s="20" t="s">
        <v>698</v>
      </c>
      <c r="IS99" s="20" t="s">
        <v>724</v>
      </c>
      <c r="IT99" s="20" t="s">
        <v>696</v>
      </c>
      <c r="IU99" s="20" t="s">
        <v>696</v>
      </c>
      <c r="IV99" s="20" t="s">
        <v>696</v>
      </c>
      <c r="IW99" s="20" t="s">
        <v>698</v>
      </c>
      <c r="IX99" s="20" t="s">
        <v>698</v>
      </c>
      <c r="IY99" s="20" t="s">
        <v>696</v>
      </c>
      <c r="IZ99" s="20" t="s">
        <v>696</v>
      </c>
      <c r="JA99" s="20" t="s">
        <v>696</v>
      </c>
      <c r="JB99" s="20" t="s">
        <v>698</v>
      </c>
      <c r="JC99" s="20" t="s">
        <v>698</v>
      </c>
      <c r="JD99" s="20" t="s">
        <v>725</v>
      </c>
      <c r="JE99" s="20" t="s">
        <v>726</v>
      </c>
      <c r="JR99" s="20" t="s">
        <v>698</v>
      </c>
      <c r="JS99" s="20" t="s">
        <v>698</v>
      </c>
      <c r="JX99" s="20" t="s">
        <v>789</v>
      </c>
      <c r="JY99" s="20" t="s">
        <v>1230</v>
      </c>
      <c r="QB99" s="20" t="s">
        <v>1230</v>
      </c>
      <c r="RA99" s="20" t="s">
        <v>696</v>
      </c>
      <c r="XG99" s="20" t="s">
        <v>696</v>
      </c>
      <c r="XL99" s="20" t="s">
        <v>730</v>
      </c>
      <c r="XM99" s="20" t="s">
        <v>1360</v>
      </c>
      <c r="XN99" s="20" t="s">
        <v>732</v>
      </c>
      <c r="XO99" s="20" t="s">
        <v>733</v>
      </c>
      <c r="XQ99" s="24">
        <v>45128</v>
      </c>
      <c r="XU99" s="20" t="s">
        <v>730</v>
      </c>
      <c r="XV99" s="20" t="s">
        <v>733</v>
      </c>
      <c r="XW99" s="20" t="s">
        <v>1360</v>
      </c>
      <c r="XX99" s="20" t="s">
        <v>732</v>
      </c>
      <c r="XY99" s="20" t="s">
        <v>1561</v>
      </c>
    </row>
    <row r="100" spans="1:649" ht="13">
      <c r="A100" s="20">
        <v>613</v>
      </c>
      <c r="B100" s="21">
        <v>45097</v>
      </c>
      <c r="C100" s="20">
        <v>2023</v>
      </c>
      <c r="D100" s="20">
        <v>20230133</v>
      </c>
      <c r="E100" s="20">
        <v>38190</v>
      </c>
      <c r="F100" s="20" t="s">
        <v>885</v>
      </c>
      <c r="G100" s="20">
        <v>39706</v>
      </c>
      <c r="H100" s="20" t="s">
        <v>817</v>
      </c>
      <c r="I100" s="20" t="s">
        <v>692</v>
      </c>
      <c r="J100" s="20" t="s">
        <v>693</v>
      </c>
      <c r="K100" s="20" t="s">
        <v>694</v>
      </c>
      <c r="L100" s="20">
        <v>77002</v>
      </c>
      <c r="M100" s="22">
        <v>45065.479166666664</v>
      </c>
      <c r="N100" s="20" t="s">
        <v>695</v>
      </c>
      <c r="O100" s="20" t="s">
        <v>696</v>
      </c>
      <c r="P100" s="20">
        <v>30.000589000000002</v>
      </c>
      <c r="Q100" s="20">
        <v>-93.992382000000006</v>
      </c>
      <c r="R100" s="20" t="s">
        <v>697</v>
      </c>
      <c r="W100" s="20">
        <v>2</v>
      </c>
      <c r="Y100" s="20">
        <v>2</v>
      </c>
      <c r="Z100" s="20" t="s">
        <v>698</v>
      </c>
      <c r="AF100" s="20">
        <v>0</v>
      </c>
      <c r="AG100" s="20" t="s">
        <v>698</v>
      </c>
      <c r="AM100" s="20">
        <v>0</v>
      </c>
      <c r="AN100" s="20" t="s">
        <v>699</v>
      </c>
      <c r="AP100" s="20" t="s">
        <v>700</v>
      </c>
      <c r="AQ100" s="23">
        <v>45065.479166666664</v>
      </c>
      <c r="AR100" s="20" t="s">
        <v>736</v>
      </c>
      <c r="AS100" s="20" t="s">
        <v>702</v>
      </c>
      <c r="AT100" s="20" t="s">
        <v>703</v>
      </c>
      <c r="AU100" s="20" t="s">
        <v>696</v>
      </c>
      <c r="AW100" s="23">
        <v>45065.479166666664</v>
      </c>
      <c r="AX100" s="23">
        <v>45065.770833333336</v>
      </c>
      <c r="AZ100" s="20" t="s">
        <v>698</v>
      </c>
      <c r="BC100" s="23">
        <v>45065.489583333336</v>
      </c>
      <c r="BD100" s="23">
        <v>45065.479166666664</v>
      </c>
      <c r="BF100" s="20" t="s">
        <v>754</v>
      </c>
      <c r="BH100" s="20" t="s">
        <v>698</v>
      </c>
      <c r="BV100" s="20" t="s">
        <v>696</v>
      </c>
      <c r="BW100" s="23">
        <v>45065.479861111111</v>
      </c>
      <c r="BX100" s="20" t="s">
        <v>698</v>
      </c>
      <c r="CA100" s="20">
        <v>0</v>
      </c>
      <c r="CB100" s="20" t="s">
        <v>818</v>
      </c>
      <c r="CC100" s="20" t="s">
        <v>819</v>
      </c>
      <c r="CD100" s="20" t="s">
        <v>694</v>
      </c>
      <c r="CE100" s="20">
        <v>77627</v>
      </c>
      <c r="CF100" s="20" t="s">
        <v>820</v>
      </c>
      <c r="CG100" s="20" t="s">
        <v>821</v>
      </c>
      <c r="CH100" s="20" t="s">
        <v>710</v>
      </c>
      <c r="CI100" s="20" t="s">
        <v>711</v>
      </c>
      <c r="CJ100" s="20" t="s">
        <v>698</v>
      </c>
      <c r="CK100" s="20" t="s">
        <v>712</v>
      </c>
      <c r="CL100" s="20" t="s">
        <v>713</v>
      </c>
      <c r="CM100" s="20" t="s">
        <v>758</v>
      </c>
      <c r="CP100" s="20" t="s">
        <v>698</v>
      </c>
      <c r="DM100" s="20" t="s">
        <v>743</v>
      </c>
      <c r="DN100" s="20" t="s">
        <v>822</v>
      </c>
      <c r="FK100" s="20">
        <v>2010</v>
      </c>
      <c r="FL100" s="20" t="s">
        <v>728</v>
      </c>
      <c r="FM100" s="20" t="s">
        <v>719</v>
      </c>
      <c r="FO100" s="20" t="s">
        <v>720</v>
      </c>
      <c r="FR100" s="20" t="s">
        <v>768</v>
      </c>
      <c r="FY100" s="20" t="s">
        <v>698</v>
      </c>
      <c r="GC100" s="20" t="s">
        <v>698</v>
      </c>
      <c r="GD100" s="20" t="s">
        <v>698</v>
      </c>
      <c r="GE100" s="20" t="s">
        <v>698</v>
      </c>
      <c r="GK100" s="20" t="s">
        <v>698</v>
      </c>
      <c r="GT100" s="20" t="s">
        <v>696</v>
      </c>
      <c r="GU100" s="20" t="s">
        <v>696</v>
      </c>
      <c r="GX100" s="20" t="s">
        <v>696</v>
      </c>
      <c r="GY100" s="20" t="s">
        <v>696</v>
      </c>
      <c r="HF100" s="20">
        <v>0</v>
      </c>
      <c r="HG100" s="20">
        <v>200</v>
      </c>
      <c r="HH100" s="20">
        <v>2000</v>
      </c>
      <c r="HI100" s="20">
        <v>1000</v>
      </c>
      <c r="HJ100" s="20">
        <v>200</v>
      </c>
      <c r="HK100" s="20">
        <v>0</v>
      </c>
      <c r="HM100" s="20">
        <v>3400</v>
      </c>
      <c r="HN100" s="20">
        <v>0</v>
      </c>
      <c r="HO100" s="20">
        <v>0</v>
      </c>
      <c r="HP100" s="20">
        <v>0</v>
      </c>
      <c r="HQ100" s="20">
        <v>0</v>
      </c>
      <c r="HR100" s="20">
        <v>88</v>
      </c>
      <c r="HS100" s="20">
        <v>275</v>
      </c>
      <c r="HT100" s="20" t="s">
        <v>750</v>
      </c>
      <c r="HV100" s="24">
        <v>40179</v>
      </c>
      <c r="HW100" s="20" t="s">
        <v>698</v>
      </c>
      <c r="HY100" s="20" t="s">
        <v>723</v>
      </c>
      <c r="HZ100" s="20" t="s">
        <v>698</v>
      </c>
      <c r="IS100" s="20" t="s">
        <v>724</v>
      </c>
      <c r="IT100" s="20" t="s">
        <v>696</v>
      </c>
      <c r="IU100" s="20" t="s">
        <v>696</v>
      </c>
      <c r="IV100" s="20" t="s">
        <v>696</v>
      </c>
      <c r="IW100" s="20" t="s">
        <v>698</v>
      </c>
      <c r="IX100" s="20" t="s">
        <v>698</v>
      </c>
      <c r="IY100" s="20" t="s">
        <v>696</v>
      </c>
      <c r="IZ100" s="20" t="s">
        <v>696</v>
      </c>
      <c r="JA100" s="20" t="s">
        <v>696</v>
      </c>
      <c r="JB100" s="20" t="s">
        <v>698</v>
      </c>
      <c r="JC100" s="20" t="s">
        <v>698</v>
      </c>
      <c r="JD100" s="20" t="s">
        <v>725</v>
      </c>
      <c r="JE100" s="20" t="s">
        <v>726</v>
      </c>
      <c r="JR100" s="20" t="s">
        <v>698</v>
      </c>
      <c r="JS100" s="20" t="s">
        <v>698</v>
      </c>
      <c r="JX100" s="20" t="s">
        <v>789</v>
      </c>
      <c r="JY100" s="20" t="s">
        <v>964</v>
      </c>
      <c r="QB100" s="20" t="s">
        <v>964</v>
      </c>
      <c r="QU100" s="20" t="s">
        <v>1562</v>
      </c>
      <c r="QV100" s="20" t="s">
        <v>696</v>
      </c>
      <c r="WN100" s="20" t="s">
        <v>696</v>
      </c>
      <c r="XL100" s="20" t="s">
        <v>1563</v>
      </c>
      <c r="XM100" s="20" t="s">
        <v>1360</v>
      </c>
      <c r="XN100" s="20" t="s">
        <v>732</v>
      </c>
      <c r="XO100" s="20" t="s">
        <v>733</v>
      </c>
      <c r="XQ100" s="24">
        <v>45097</v>
      </c>
      <c r="XU100" s="20" t="s">
        <v>730</v>
      </c>
      <c r="XV100" s="20" t="s">
        <v>733</v>
      </c>
      <c r="XW100" s="20" t="s">
        <v>1360</v>
      </c>
      <c r="XX100" s="20" t="s">
        <v>732</v>
      </c>
      <c r="XY100" s="20" t="s">
        <v>1564</v>
      </c>
    </row>
    <row r="101" spans="1:649" ht="13">
      <c r="A101" s="20">
        <v>624</v>
      </c>
      <c r="B101" s="21">
        <v>45098</v>
      </c>
      <c r="C101" s="20">
        <v>2023</v>
      </c>
      <c r="D101" s="20">
        <v>20230135</v>
      </c>
      <c r="E101" s="20">
        <v>38980</v>
      </c>
      <c r="F101" s="20" t="s">
        <v>825</v>
      </c>
      <c r="G101" s="20">
        <v>32099</v>
      </c>
      <c r="H101" s="20" t="s">
        <v>752</v>
      </c>
      <c r="I101" s="20" t="s">
        <v>692</v>
      </c>
      <c r="J101" s="20" t="s">
        <v>693</v>
      </c>
      <c r="K101" s="20" t="s">
        <v>694</v>
      </c>
      <c r="L101" s="20">
        <v>77002</v>
      </c>
      <c r="M101" s="22">
        <v>45052.613888888889</v>
      </c>
      <c r="N101" s="20" t="s">
        <v>695</v>
      </c>
      <c r="O101" s="20" t="s">
        <v>696</v>
      </c>
      <c r="P101" s="20">
        <v>34.566201999999997</v>
      </c>
      <c r="Q101" s="20">
        <v>-97.446485999999993</v>
      </c>
      <c r="R101" s="20" t="s">
        <v>697</v>
      </c>
      <c r="W101" s="20">
        <v>1500</v>
      </c>
      <c r="Y101" s="20">
        <v>1500</v>
      </c>
      <c r="Z101" s="20" t="s">
        <v>698</v>
      </c>
      <c r="AF101" s="20">
        <v>0</v>
      </c>
      <c r="AG101" s="20" t="s">
        <v>698</v>
      </c>
      <c r="AM101" s="20">
        <v>0</v>
      </c>
      <c r="AN101" s="20" t="s">
        <v>699</v>
      </c>
      <c r="AP101" s="20" t="s">
        <v>700</v>
      </c>
      <c r="AQ101" s="23">
        <v>45052.899305555555</v>
      </c>
      <c r="AR101" s="20" t="s">
        <v>776</v>
      </c>
      <c r="AS101" s="20" t="s">
        <v>702</v>
      </c>
      <c r="AT101" s="20" t="s">
        <v>703</v>
      </c>
      <c r="AU101" s="20" t="s">
        <v>696</v>
      </c>
      <c r="AW101" s="23">
        <v>45052.899305555555</v>
      </c>
      <c r="AX101" s="23">
        <v>45053.541666666664</v>
      </c>
      <c r="AZ101" s="20" t="s">
        <v>696</v>
      </c>
      <c r="BA101" s="20" t="s">
        <v>753</v>
      </c>
      <c r="BB101" s="23">
        <v>45052.944444444445</v>
      </c>
      <c r="BC101" s="23">
        <v>45052.899305555555</v>
      </c>
      <c r="BD101" s="23">
        <v>45052.899305555555</v>
      </c>
      <c r="BE101" s="23">
        <v>45052.942361111112</v>
      </c>
      <c r="BF101" s="20">
        <v>1366561</v>
      </c>
      <c r="BG101" s="20">
        <v>1366721</v>
      </c>
      <c r="BH101" s="20" t="s">
        <v>698</v>
      </c>
      <c r="BN101" s="20" t="s">
        <v>777</v>
      </c>
      <c r="BP101" s="23">
        <v>45052.923611111109</v>
      </c>
      <c r="BQ101" s="20" t="s">
        <v>798</v>
      </c>
      <c r="BR101" s="20" t="s">
        <v>777</v>
      </c>
      <c r="BT101" s="23">
        <v>45052.923611111109</v>
      </c>
      <c r="BU101" s="20" t="s">
        <v>798</v>
      </c>
      <c r="BV101" s="20" t="s">
        <v>696</v>
      </c>
      <c r="BW101" s="23">
        <v>45052.90625</v>
      </c>
      <c r="BX101" s="20" t="s">
        <v>696</v>
      </c>
      <c r="BY101" s="23">
        <v>45052.90625</v>
      </c>
      <c r="BZ101" s="23">
        <v>45053.020833333336</v>
      </c>
      <c r="CA101" s="20">
        <v>0</v>
      </c>
      <c r="CB101" s="20" t="s">
        <v>1565</v>
      </c>
      <c r="CC101" s="20" t="s">
        <v>1566</v>
      </c>
      <c r="CD101" s="20" t="s">
        <v>739</v>
      </c>
      <c r="CE101" s="20">
        <v>73057</v>
      </c>
      <c r="CF101" s="20" t="s">
        <v>708</v>
      </c>
      <c r="CG101" s="20" t="s">
        <v>1567</v>
      </c>
      <c r="CH101" s="20" t="s">
        <v>784</v>
      </c>
      <c r="CI101" s="20">
        <v>0</v>
      </c>
      <c r="CJ101" s="20" t="s">
        <v>698</v>
      </c>
      <c r="CK101" s="20" t="s">
        <v>891</v>
      </c>
      <c r="CL101" s="20" t="s">
        <v>741</v>
      </c>
      <c r="CM101" s="20" t="s">
        <v>742</v>
      </c>
      <c r="CO101" s="20">
        <v>60</v>
      </c>
      <c r="CP101" s="20" t="s">
        <v>698</v>
      </c>
      <c r="DM101" s="20" t="s">
        <v>715</v>
      </c>
      <c r="DN101" s="20" t="s">
        <v>744</v>
      </c>
      <c r="DO101" s="20" t="s">
        <v>745</v>
      </c>
      <c r="DP101" s="20" t="s">
        <v>698</v>
      </c>
      <c r="DQ101" s="20">
        <v>10</v>
      </c>
      <c r="DR101" s="20">
        <v>0.25</v>
      </c>
      <c r="DS101" s="20">
        <v>52000</v>
      </c>
      <c r="DT101" s="20" t="s">
        <v>1568</v>
      </c>
      <c r="DU101" s="20" t="s">
        <v>804</v>
      </c>
      <c r="DW101" s="20" t="s">
        <v>728</v>
      </c>
      <c r="DX101" s="20" t="s">
        <v>805</v>
      </c>
      <c r="DZ101" s="20" t="s">
        <v>728</v>
      </c>
      <c r="FK101" s="20" t="s">
        <v>728</v>
      </c>
      <c r="FL101" s="20" t="s">
        <v>728</v>
      </c>
      <c r="FM101" s="20" t="s">
        <v>719</v>
      </c>
      <c r="FO101" s="20" t="s">
        <v>1569</v>
      </c>
      <c r="FT101" s="20" t="s">
        <v>1570</v>
      </c>
      <c r="FV101" s="20">
        <v>0.5</v>
      </c>
      <c r="FW101" s="20">
        <v>8</v>
      </c>
      <c r="FY101" s="20" t="s">
        <v>698</v>
      </c>
      <c r="GC101" s="20" t="s">
        <v>696</v>
      </c>
      <c r="GD101" s="20" t="s">
        <v>698</v>
      </c>
      <c r="GE101" s="20" t="s">
        <v>696</v>
      </c>
      <c r="GH101" s="20" t="s">
        <v>696</v>
      </c>
      <c r="GK101" s="20" t="s">
        <v>698</v>
      </c>
      <c r="GT101" s="20" t="s">
        <v>696</v>
      </c>
      <c r="GU101" s="20" t="s">
        <v>696</v>
      </c>
      <c r="GZ101" s="20" t="s">
        <v>696</v>
      </c>
      <c r="HA101" s="20" t="s">
        <v>696</v>
      </c>
      <c r="HF101" s="20">
        <v>75000</v>
      </c>
      <c r="HG101" s="20">
        <v>0</v>
      </c>
      <c r="HH101" s="20">
        <v>25000</v>
      </c>
      <c r="HI101" s="20">
        <v>175000</v>
      </c>
      <c r="HJ101" s="20">
        <v>75000</v>
      </c>
      <c r="HK101" s="20">
        <v>0</v>
      </c>
      <c r="HM101" s="20">
        <v>350000</v>
      </c>
      <c r="HN101" s="20">
        <v>0</v>
      </c>
      <c r="HO101" s="20">
        <v>0</v>
      </c>
      <c r="HP101" s="20">
        <v>0</v>
      </c>
      <c r="HQ101" s="20">
        <v>0</v>
      </c>
      <c r="HR101" s="20">
        <v>950</v>
      </c>
      <c r="HS101" s="20">
        <v>1044</v>
      </c>
      <c r="HT101" s="20" t="s">
        <v>787</v>
      </c>
      <c r="HV101" s="24">
        <v>37987</v>
      </c>
      <c r="HW101" s="20" t="s">
        <v>698</v>
      </c>
      <c r="HY101" s="20" t="s">
        <v>723</v>
      </c>
      <c r="HZ101" s="20" t="s">
        <v>698</v>
      </c>
      <c r="IC101" s="20">
        <v>90</v>
      </c>
      <c r="ID101" s="20" t="s">
        <v>698</v>
      </c>
      <c r="IJ101" s="20" t="s">
        <v>696</v>
      </c>
      <c r="IK101" s="20" t="s">
        <v>1571</v>
      </c>
      <c r="IL101" s="20" t="s">
        <v>696</v>
      </c>
      <c r="IQ101" s="20" t="s">
        <v>696</v>
      </c>
      <c r="IR101" s="20" t="s">
        <v>1572</v>
      </c>
      <c r="IS101" s="20" t="s">
        <v>724</v>
      </c>
      <c r="IT101" s="20" t="s">
        <v>696</v>
      </c>
      <c r="IU101" s="20" t="s">
        <v>696</v>
      </c>
      <c r="IV101" s="20" t="s">
        <v>696</v>
      </c>
      <c r="IW101" s="20" t="s">
        <v>696</v>
      </c>
      <c r="IX101" s="20" t="s">
        <v>696</v>
      </c>
      <c r="IY101" s="20" t="s">
        <v>696</v>
      </c>
      <c r="IZ101" s="20" t="s">
        <v>696</v>
      </c>
      <c r="JA101" s="20" t="s">
        <v>696</v>
      </c>
      <c r="JB101" s="20" t="s">
        <v>696</v>
      </c>
      <c r="JC101" s="20" t="s">
        <v>696</v>
      </c>
      <c r="JD101" s="20" t="s">
        <v>859</v>
      </c>
      <c r="JF101" s="20" t="s">
        <v>696</v>
      </c>
      <c r="JK101" s="20" t="s">
        <v>696</v>
      </c>
      <c r="JO101" s="20" t="s">
        <v>696</v>
      </c>
      <c r="JR101" s="20" t="s">
        <v>696</v>
      </c>
      <c r="JS101" s="20" t="s">
        <v>698</v>
      </c>
      <c r="JT101" s="20">
        <v>2</v>
      </c>
      <c r="JU101" s="20">
        <v>0</v>
      </c>
      <c r="JX101" s="20" t="s">
        <v>833</v>
      </c>
      <c r="JY101" s="20" t="s">
        <v>834</v>
      </c>
      <c r="JZ101" s="20" t="s">
        <v>834</v>
      </c>
      <c r="LD101" s="20" t="s">
        <v>905</v>
      </c>
      <c r="LG101" s="20" t="s">
        <v>696</v>
      </c>
      <c r="LM101" s="20" t="s">
        <v>696</v>
      </c>
      <c r="LP101" s="20" t="s">
        <v>696</v>
      </c>
      <c r="LR101" s="20" t="s">
        <v>696</v>
      </c>
      <c r="LU101" s="20" t="s">
        <v>698</v>
      </c>
      <c r="LV101" s="20" t="s">
        <v>698</v>
      </c>
      <c r="LW101" s="20" t="s">
        <v>838</v>
      </c>
      <c r="LX101" s="20" t="s">
        <v>838</v>
      </c>
      <c r="SC101" s="20" t="s">
        <v>698</v>
      </c>
      <c r="UO101" s="20" t="s">
        <v>698</v>
      </c>
      <c r="UR101" s="20" t="s">
        <v>698</v>
      </c>
      <c r="UZ101" s="20" t="s">
        <v>698</v>
      </c>
      <c r="XK101" s="20" t="s">
        <v>696</v>
      </c>
      <c r="XL101" s="20" t="s">
        <v>730</v>
      </c>
      <c r="XM101" s="20" t="s">
        <v>731</v>
      </c>
      <c r="XN101" s="20" t="s">
        <v>732</v>
      </c>
      <c r="XO101" s="20" t="s">
        <v>733</v>
      </c>
      <c r="XQ101" s="24">
        <v>45279</v>
      </c>
      <c r="XU101" s="20" t="s">
        <v>730</v>
      </c>
      <c r="XV101" s="20" t="s">
        <v>733</v>
      </c>
      <c r="XW101" s="20" t="s">
        <v>731</v>
      </c>
      <c r="XX101" s="20" t="s">
        <v>732</v>
      </c>
      <c r="XY101" s="20" t="s">
        <v>1573</v>
      </c>
    </row>
    <row r="102" spans="1:649" ht="13">
      <c r="A102" s="20">
        <v>630</v>
      </c>
      <c r="B102" s="21">
        <v>45079</v>
      </c>
      <c r="C102" s="20">
        <v>2023</v>
      </c>
      <c r="D102" s="20">
        <v>20230116</v>
      </c>
      <c r="E102" s="20">
        <v>38649</v>
      </c>
      <c r="F102" s="20" t="s">
        <v>825</v>
      </c>
      <c r="G102" s="20">
        <v>39147</v>
      </c>
      <c r="H102" s="20" t="s">
        <v>1574</v>
      </c>
      <c r="I102" s="20" t="s">
        <v>692</v>
      </c>
      <c r="J102" s="20" t="s">
        <v>693</v>
      </c>
      <c r="K102" s="20" t="s">
        <v>694</v>
      </c>
      <c r="L102" s="20">
        <v>77002</v>
      </c>
      <c r="M102" s="22">
        <v>45049.402777777781</v>
      </c>
      <c r="N102" s="20" t="s">
        <v>695</v>
      </c>
      <c r="O102" s="20" t="s">
        <v>696</v>
      </c>
      <c r="P102" s="20">
        <v>34.986131999999998</v>
      </c>
      <c r="Q102" s="20">
        <v>-97.774905000000004</v>
      </c>
      <c r="R102" s="20" t="s">
        <v>697</v>
      </c>
      <c r="W102" s="20">
        <v>205</v>
      </c>
      <c r="Y102" s="20">
        <v>205</v>
      </c>
      <c r="Z102" s="20" t="s">
        <v>698</v>
      </c>
      <c r="AF102" s="20">
        <v>0</v>
      </c>
      <c r="AG102" s="20" t="s">
        <v>698</v>
      </c>
      <c r="AM102" s="20">
        <v>0</v>
      </c>
      <c r="AN102" s="20" t="s">
        <v>775</v>
      </c>
      <c r="AQ102" s="23">
        <v>45049.402777777781</v>
      </c>
      <c r="AR102" s="20" t="s">
        <v>736</v>
      </c>
      <c r="AS102" s="20" t="s">
        <v>702</v>
      </c>
      <c r="AT102" s="20" t="s">
        <v>703</v>
      </c>
      <c r="AU102" s="20" t="s">
        <v>696</v>
      </c>
      <c r="AW102" s="23">
        <v>45049.402777777781</v>
      </c>
      <c r="AX102" s="23">
        <v>45170.333333333336</v>
      </c>
      <c r="AZ102" s="20" t="s">
        <v>696</v>
      </c>
      <c r="BA102" s="20" t="s">
        <v>753</v>
      </c>
      <c r="BB102" s="23">
        <v>45049.48333333333</v>
      </c>
      <c r="BC102" s="23">
        <v>45049.4375</v>
      </c>
      <c r="BD102" s="23">
        <v>45049.583333333336</v>
      </c>
      <c r="BE102" s="23">
        <v>45049.469444444447</v>
      </c>
      <c r="BF102" s="20">
        <v>1366268</v>
      </c>
      <c r="BG102" s="20">
        <v>1366426</v>
      </c>
      <c r="BH102" s="20" t="s">
        <v>698</v>
      </c>
      <c r="BV102" s="20" t="s">
        <v>696</v>
      </c>
      <c r="BW102" s="23">
        <v>45049.4375</v>
      </c>
      <c r="BX102" s="20" t="s">
        <v>696</v>
      </c>
      <c r="BY102" s="23">
        <v>45049.4375</v>
      </c>
      <c r="BZ102" s="23">
        <v>45049.489583333336</v>
      </c>
      <c r="CA102" s="20">
        <v>0</v>
      </c>
      <c r="CB102" s="20" t="s">
        <v>810</v>
      </c>
      <c r="CC102" s="20" t="s">
        <v>811</v>
      </c>
      <c r="CD102" s="20" t="s">
        <v>739</v>
      </c>
      <c r="CE102" s="20">
        <v>73002</v>
      </c>
      <c r="CF102" s="20" t="s">
        <v>1575</v>
      </c>
      <c r="CG102" s="20" t="s">
        <v>812</v>
      </c>
      <c r="CH102" s="20" t="s">
        <v>784</v>
      </c>
      <c r="CI102" s="20">
        <v>7.2</v>
      </c>
      <c r="CJ102" s="20" t="s">
        <v>698</v>
      </c>
      <c r="CK102" s="20" t="s">
        <v>785</v>
      </c>
      <c r="CL102" s="20" t="s">
        <v>741</v>
      </c>
      <c r="CM102" s="20" t="s">
        <v>742</v>
      </c>
      <c r="CO102" s="20">
        <v>40</v>
      </c>
      <c r="CP102" s="20" t="s">
        <v>698</v>
      </c>
      <c r="DM102" s="20" t="s">
        <v>715</v>
      </c>
      <c r="DN102" s="20" t="s">
        <v>744</v>
      </c>
      <c r="DO102" s="20" t="s">
        <v>745</v>
      </c>
      <c r="DP102" s="20" t="s">
        <v>698</v>
      </c>
      <c r="DQ102" s="20">
        <v>8</v>
      </c>
      <c r="DR102" s="20">
        <v>0.188</v>
      </c>
      <c r="DS102" s="20">
        <v>52000</v>
      </c>
      <c r="DT102" s="20" t="s">
        <v>1568</v>
      </c>
      <c r="DU102" s="20" t="s">
        <v>747</v>
      </c>
      <c r="DW102" s="20" t="s">
        <v>815</v>
      </c>
      <c r="DX102" s="20" t="s">
        <v>748</v>
      </c>
      <c r="DZ102" s="20" t="s">
        <v>698</v>
      </c>
      <c r="FK102" s="20">
        <v>2015</v>
      </c>
      <c r="FL102" s="20">
        <v>2015</v>
      </c>
      <c r="FM102" s="20" t="s">
        <v>719</v>
      </c>
      <c r="FO102" s="20" t="s">
        <v>720</v>
      </c>
      <c r="FR102" s="20" t="s">
        <v>749</v>
      </c>
      <c r="FY102" s="20" t="s">
        <v>698</v>
      </c>
      <c r="GC102" s="20" t="s">
        <v>696</v>
      </c>
      <c r="GD102" s="20" t="s">
        <v>698</v>
      </c>
      <c r="GE102" s="20" t="s">
        <v>696</v>
      </c>
      <c r="GF102" s="20" t="s">
        <v>696</v>
      </c>
      <c r="GH102" s="20" t="s">
        <v>696</v>
      </c>
      <c r="GK102" s="20" t="s">
        <v>696</v>
      </c>
      <c r="GM102" s="20" t="s">
        <v>696</v>
      </c>
      <c r="GR102" s="20">
        <v>205</v>
      </c>
      <c r="GS102" s="20" t="s">
        <v>1576</v>
      </c>
      <c r="GT102" s="20" t="s">
        <v>698</v>
      </c>
      <c r="GU102" s="20" t="s">
        <v>698</v>
      </c>
      <c r="HF102" s="20">
        <v>5000</v>
      </c>
      <c r="HG102" s="20">
        <v>0</v>
      </c>
      <c r="HH102" s="20">
        <v>15000</v>
      </c>
      <c r="HI102" s="20">
        <v>150000</v>
      </c>
      <c r="HJ102" s="20">
        <v>10000</v>
      </c>
      <c r="HK102" s="20">
        <v>0</v>
      </c>
      <c r="HM102" s="20">
        <v>180000</v>
      </c>
      <c r="HN102" s="20">
        <v>0</v>
      </c>
      <c r="HO102" s="20">
        <v>0</v>
      </c>
      <c r="HP102" s="20">
        <v>0</v>
      </c>
      <c r="HQ102" s="20">
        <v>0</v>
      </c>
      <c r="HR102" s="20">
        <v>300</v>
      </c>
      <c r="HS102" s="20">
        <v>1440</v>
      </c>
      <c r="HT102" s="20" t="s">
        <v>787</v>
      </c>
      <c r="HV102" s="24">
        <v>42192</v>
      </c>
      <c r="HW102" s="20" t="s">
        <v>698</v>
      </c>
      <c r="HY102" s="20" t="s">
        <v>723</v>
      </c>
      <c r="HZ102" s="20" t="s">
        <v>698</v>
      </c>
      <c r="IS102" s="20" t="s">
        <v>724</v>
      </c>
      <c r="IT102" s="20" t="s">
        <v>696</v>
      </c>
      <c r="IU102" s="20" t="s">
        <v>696</v>
      </c>
      <c r="IV102" s="20" t="s">
        <v>696</v>
      </c>
      <c r="IW102" s="20" t="s">
        <v>698</v>
      </c>
      <c r="IX102" s="20" t="s">
        <v>698</v>
      </c>
      <c r="IY102" s="20" t="s">
        <v>698</v>
      </c>
      <c r="JD102" s="20" t="s">
        <v>725</v>
      </c>
      <c r="JE102" s="20" t="s">
        <v>726</v>
      </c>
      <c r="JR102" s="20" t="s">
        <v>696</v>
      </c>
      <c r="JS102" s="20" t="s">
        <v>698</v>
      </c>
      <c r="JT102" s="20">
        <v>1</v>
      </c>
      <c r="JU102" s="20">
        <v>0</v>
      </c>
      <c r="JX102" s="20" t="s">
        <v>833</v>
      </c>
      <c r="JY102" s="20" t="s">
        <v>834</v>
      </c>
      <c r="JZ102" s="20" t="s">
        <v>834</v>
      </c>
      <c r="LD102" s="20" t="s">
        <v>835</v>
      </c>
      <c r="LF102" s="20" t="s">
        <v>696</v>
      </c>
      <c r="LL102" s="20" t="s">
        <v>696</v>
      </c>
      <c r="LP102" s="20" t="s">
        <v>696</v>
      </c>
      <c r="LU102" s="20" t="s">
        <v>696</v>
      </c>
      <c r="LV102" s="20" t="s">
        <v>698</v>
      </c>
      <c r="LW102" s="20" t="s">
        <v>696</v>
      </c>
      <c r="LX102" s="20" t="s">
        <v>696</v>
      </c>
      <c r="SC102" s="20" t="s">
        <v>696</v>
      </c>
      <c r="SE102" s="20" t="s">
        <v>696</v>
      </c>
      <c r="SG102" s="20" t="s">
        <v>696</v>
      </c>
      <c r="SW102" s="20">
        <v>2023</v>
      </c>
      <c r="SX102" s="20" t="s">
        <v>863</v>
      </c>
      <c r="SY102" s="20" t="s">
        <v>865</v>
      </c>
      <c r="TA102" s="20">
        <v>2020</v>
      </c>
      <c r="TB102" s="20" t="s">
        <v>863</v>
      </c>
      <c r="TC102" s="20" t="s">
        <v>865</v>
      </c>
      <c r="TQ102" s="20">
        <v>2023</v>
      </c>
      <c r="TR102" s="20" t="s">
        <v>863</v>
      </c>
      <c r="TS102" s="20" t="s">
        <v>865</v>
      </c>
      <c r="TU102" s="20" t="s">
        <v>934</v>
      </c>
      <c r="TV102" s="20">
        <v>2020</v>
      </c>
      <c r="TW102" s="20" t="s">
        <v>863</v>
      </c>
      <c r="TX102" s="20" t="s">
        <v>865</v>
      </c>
      <c r="TZ102" s="20" t="s">
        <v>934</v>
      </c>
      <c r="UO102" s="20" t="s">
        <v>698</v>
      </c>
      <c r="UR102" s="20" t="s">
        <v>698</v>
      </c>
      <c r="UZ102" s="20" t="s">
        <v>698</v>
      </c>
      <c r="XL102" s="20" t="s">
        <v>730</v>
      </c>
      <c r="XM102" s="20" t="s">
        <v>731</v>
      </c>
      <c r="XN102" s="20" t="s">
        <v>732</v>
      </c>
      <c r="XO102" s="20" t="s">
        <v>733</v>
      </c>
      <c r="XQ102" s="24">
        <v>45210</v>
      </c>
      <c r="XU102" s="20" t="s">
        <v>730</v>
      </c>
      <c r="XV102" s="20" t="s">
        <v>733</v>
      </c>
      <c r="XW102" s="20" t="s">
        <v>731</v>
      </c>
      <c r="XX102" s="20" t="s">
        <v>732</v>
      </c>
      <c r="XY102" s="20" t="s">
        <v>1577</v>
      </c>
    </row>
    <row r="103" spans="1:649" ht="13">
      <c r="A103" s="20">
        <v>643</v>
      </c>
      <c r="B103" s="21">
        <v>45098</v>
      </c>
      <c r="C103" s="20">
        <v>2023</v>
      </c>
      <c r="D103" s="20">
        <v>20230134</v>
      </c>
      <c r="E103" s="20">
        <v>40961</v>
      </c>
      <c r="F103" s="20" t="s">
        <v>825</v>
      </c>
      <c r="G103" s="20">
        <v>32099</v>
      </c>
      <c r="H103" s="20" t="s">
        <v>752</v>
      </c>
      <c r="I103" s="20" t="s">
        <v>692</v>
      </c>
      <c r="J103" s="20" t="s">
        <v>693</v>
      </c>
      <c r="K103" s="20" t="s">
        <v>694</v>
      </c>
      <c r="L103" s="20">
        <v>77002</v>
      </c>
      <c r="M103" s="22">
        <v>45036.765972222223</v>
      </c>
      <c r="N103" s="20" t="s">
        <v>843</v>
      </c>
      <c r="O103" s="20" t="s">
        <v>696</v>
      </c>
      <c r="P103" s="20">
        <v>42.719019000000003</v>
      </c>
      <c r="Q103" s="20">
        <v>-82.861316000000002</v>
      </c>
      <c r="R103" s="20" t="s">
        <v>697</v>
      </c>
      <c r="W103" s="20">
        <v>4</v>
      </c>
      <c r="Y103" s="20">
        <v>4</v>
      </c>
      <c r="Z103" s="20" t="s">
        <v>698</v>
      </c>
      <c r="AF103" s="20">
        <v>0</v>
      </c>
      <c r="AG103" s="20" t="s">
        <v>698</v>
      </c>
      <c r="AM103" s="20">
        <v>0</v>
      </c>
      <c r="AN103" s="20" t="s">
        <v>775</v>
      </c>
      <c r="AQ103" s="23">
        <v>45036.765972222223</v>
      </c>
      <c r="AR103" s="20" t="s">
        <v>776</v>
      </c>
      <c r="AS103" s="20" t="s">
        <v>702</v>
      </c>
      <c r="AT103" s="20" t="s">
        <v>703</v>
      </c>
      <c r="AU103" s="20" t="s">
        <v>696</v>
      </c>
      <c r="AW103" s="23">
        <v>45036.77847222222</v>
      </c>
      <c r="AX103" s="23">
        <v>45037.118750000001</v>
      </c>
      <c r="AZ103" s="20" t="s">
        <v>696</v>
      </c>
      <c r="BA103" s="20" t="s">
        <v>753</v>
      </c>
      <c r="BB103" s="23">
        <v>45036.854166666664</v>
      </c>
      <c r="BC103" s="23">
        <v>45036.819444444445</v>
      </c>
      <c r="BD103" s="23">
        <v>45036.96875</v>
      </c>
      <c r="BE103" s="23">
        <v>45037.003472222219</v>
      </c>
      <c r="BF103" s="20">
        <v>1365300</v>
      </c>
      <c r="BG103" s="20">
        <v>1365352</v>
      </c>
      <c r="BH103" s="20" t="s">
        <v>698</v>
      </c>
      <c r="BN103" s="20" t="s">
        <v>777</v>
      </c>
      <c r="BP103" s="23">
        <v>45036.850694444445</v>
      </c>
      <c r="BQ103" s="20" t="s">
        <v>779</v>
      </c>
      <c r="BR103" s="20" t="s">
        <v>777</v>
      </c>
      <c r="BT103" s="23">
        <v>45036.850694444445</v>
      </c>
      <c r="BU103" s="20" t="s">
        <v>779</v>
      </c>
      <c r="BV103" s="20" t="s">
        <v>696</v>
      </c>
      <c r="BW103" s="23">
        <v>45036.767361111109</v>
      </c>
      <c r="BX103" s="20" t="s">
        <v>698</v>
      </c>
      <c r="CA103" s="20">
        <v>0</v>
      </c>
      <c r="CB103" s="20" t="s">
        <v>1159</v>
      </c>
      <c r="CC103" s="20" t="s">
        <v>1160</v>
      </c>
      <c r="CD103" s="20" t="s">
        <v>976</v>
      </c>
      <c r="CE103" s="20">
        <v>48096</v>
      </c>
      <c r="CF103" s="20" t="s">
        <v>1578</v>
      </c>
      <c r="CG103" s="20" t="s">
        <v>1579</v>
      </c>
      <c r="CH103" s="20" t="s">
        <v>710</v>
      </c>
      <c r="CI103" s="20">
        <v>126955</v>
      </c>
      <c r="CJ103" s="20" t="s">
        <v>698</v>
      </c>
      <c r="CK103" s="20" t="s">
        <v>785</v>
      </c>
      <c r="CL103" s="20" t="s">
        <v>741</v>
      </c>
      <c r="CM103" s="20" t="s">
        <v>742</v>
      </c>
      <c r="CO103" s="20">
        <v>42</v>
      </c>
      <c r="CP103" s="20" t="s">
        <v>698</v>
      </c>
      <c r="DM103" s="20" t="s">
        <v>743</v>
      </c>
      <c r="DN103" s="20" t="s">
        <v>1141</v>
      </c>
      <c r="DQ103" s="20">
        <v>16</v>
      </c>
      <c r="DR103" s="20">
        <v>0.28100000000000003</v>
      </c>
      <c r="DS103" s="20">
        <v>52000</v>
      </c>
      <c r="DT103" s="20" t="s">
        <v>1580</v>
      </c>
      <c r="DU103" s="20" t="s">
        <v>747</v>
      </c>
      <c r="DW103" s="20" t="s">
        <v>1164</v>
      </c>
      <c r="DX103" s="20" t="s">
        <v>805</v>
      </c>
      <c r="DZ103" s="20" t="s">
        <v>696</v>
      </c>
      <c r="EA103" s="20" t="s">
        <v>1142</v>
      </c>
      <c r="EC103" s="20" t="s">
        <v>698</v>
      </c>
      <c r="FK103" s="20">
        <v>1967</v>
      </c>
      <c r="FL103" s="20">
        <v>1967</v>
      </c>
      <c r="FM103" s="20" t="s">
        <v>719</v>
      </c>
      <c r="FO103" s="20" t="s">
        <v>720</v>
      </c>
      <c r="FR103" s="20" t="s">
        <v>768</v>
      </c>
      <c r="FY103" s="20" t="s">
        <v>698</v>
      </c>
      <c r="GC103" s="20" t="s">
        <v>696</v>
      </c>
      <c r="GD103" s="20" t="s">
        <v>698</v>
      </c>
      <c r="GE103" s="20" t="s">
        <v>696</v>
      </c>
      <c r="GH103" s="20" t="s">
        <v>696</v>
      </c>
      <c r="GK103" s="20" t="s">
        <v>698</v>
      </c>
      <c r="GT103" s="20" t="s">
        <v>698</v>
      </c>
      <c r="GU103" s="20" t="s">
        <v>698</v>
      </c>
      <c r="HF103" s="20">
        <v>17246</v>
      </c>
      <c r="HG103" s="20">
        <v>309</v>
      </c>
      <c r="HH103" s="20">
        <v>26000</v>
      </c>
      <c r="HI103" s="20">
        <v>8867</v>
      </c>
      <c r="HJ103" s="20">
        <v>17698</v>
      </c>
      <c r="HK103" s="20">
        <v>0</v>
      </c>
      <c r="HM103" s="20">
        <v>70120</v>
      </c>
      <c r="HN103" s="20">
        <v>0</v>
      </c>
      <c r="HO103" s="20">
        <v>0</v>
      </c>
      <c r="HP103" s="20">
        <v>0</v>
      </c>
      <c r="HQ103" s="20">
        <v>0</v>
      </c>
      <c r="HR103" s="20">
        <v>1247</v>
      </c>
      <c r="HS103" s="20">
        <v>1300</v>
      </c>
      <c r="HT103" s="20" t="s">
        <v>787</v>
      </c>
      <c r="HV103" s="24">
        <v>31888</v>
      </c>
      <c r="HW103" s="20" t="s">
        <v>698</v>
      </c>
      <c r="HY103" s="20" t="s">
        <v>723</v>
      </c>
      <c r="HZ103" s="20" t="s">
        <v>698</v>
      </c>
      <c r="IC103" s="20">
        <v>52077</v>
      </c>
      <c r="ID103" s="20" t="s">
        <v>696</v>
      </c>
      <c r="IL103" s="20" t="s">
        <v>698</v>
      </c>
      <c r="IS103" s="20" t="s">
        <v>724</v>
      </c>
      <c r="IT103" s="20" t="s">
        <v>696</v>
      </c>
      <c r="IU103" s="20" t="s">
        <v>696</v>
      </c>
      <c r="IV103" s="20" t="s">
        <v>696</v>
      </c>
      <c r="IW103" s="20" t="s">
        <v>698</v>
      </c>
      <c r="IX103" s="20" t="s">
        <v>698</v>
      </c>
      <c r="IY103" s="20" t="s">
        <v>696</v>
      </c>
      <c r="IZ103" s="20" t="s">
        <v>696</v>
      </c>
      <c r="JA103" s="20" t="s">
        <v>696</v>
      </c>
      <c r="JB103" s="20" t="s">
        <v>698</v>
      </c>
      <c r="JC103" s="20" t="s">
        <v>698</v>
      </c>
      <c r="JD103" s="20" t="s">
        <v>725</v>
      </c>
      <c r="JE103" s="20" t="s">
        <v>726</v>
      </c>
      <c r="JR103" s="20" t="s">
        <v>698</v>
      </c>
      <c r="JS103" s="20" t="s">
        <v>698</v>
      </c>
      <c r="JX103" s="20" t="s">
        <v>929</v>
      </c>
      <c r="JY103" s="20" t="s">
        <v>930</v>
      </c>
      <c r="PB103" s="20" t="s">
        <v>696</v>
      </c>
      <c r="PC103" s="20" t="s">
        <v>696</v>
      </c>
      <c r="PG103" s="20" t="s">
        <v>930</v>
      </c>
      <c r="PN103" s="20" t="s">
        <v>1581</v>
      </c>
      <c r="PT103" s="20" t="s">
        <v>696</v>
      </c>
      <c r="SC103" s="20" t="s">
        <v>696</v>
      </c>
      <c r="SD103" s="20" t="s">
        <v>696</v>
      </c>
      <c r="SE103" s="20" t="s">
        <v>696</v>
      </c>
      <c r="SF103" s="20" t="s">
        <v>696</v>
      </c>
      <c r="SG103" s="20" t="s">
        <v>696</v>
      </c>
      <c r="SK103" s="20">
        <v>2022</v>
      </c>
      <c r="SL103" s="20" t="s">
        <v>863</v>
      </c>
      <c r="SM103" s="20" t="s">
        <v>864</v>
      </c>
      <c r="SO103" s="20" t="s">
        <v>865</v>
      </c>
      <c r="SQ103" s="20">
        <v>2017</v>
      </c>
      <c r="SR103" s="20" t="s">
        <v>863</v>
      </c>
      <c r="SS103" s="20" t="s">
        <v>864</v>
      </c>
      <c r="SU103" s="20" t="s">
        <v>865</v>
      </c>
      <c r="SW103" s="20">
        <v>2022</v>
      </c>
      <c r="SX103" s="20" t="s">
        <v>863</v>
      </c>
      <c r="SY103" s="20" t="s">
        <v>865</v>
      </c>
      <c r="TA103" s="20">
        <v>2020</v>
      </c>
      <c r="TB103" s="20" t="s">
        <v>863</v>
      </c>
      <c r="TC103" s="20" t="s">
        <v>865</v>
      </c>
      <c r="TE103" s="20">
        <v>2014</v>
      </c>
      <c r="TF103" s="20" t="s">
        <v>863</v>
      </c>
      <c r="TG103" s="20" t="s">
        <v>768</v>
      </c>
      <c r="TK103" s="20">
        <v>2014</v>
      </c>
      <c r="TL103" s="20" t="s">
        <v>863</v>
      </c>
      <c r="TM103" s="20" t="s">
        <v>768</v>
      </c>
      <c r="TQ103" s="20">
        <v>2022</v>
      </c>
      <c r="TR103" s="20" t="s">
        <v>863</v>
      </c>
      <c r="TS103" s="20" t="s">
        <v>865</v>
      </c>
      <c r="TU103" s="20" t="s">
        <v>934</v>
      </c>
      <c r="TV103" s="20">
        <v>2017</v>
      </c>
      <c r="TW103" s="20" t="s">
        <v>863</v>
      </c>
      <c r="TX103" s="20" t="s">
        <v>865</v>
      </c>
      <c r="TZ103" s="20" t="s">
        <v>934</v>
      </c>
      <c r="UO103" s="20" t="s">
        <v>696</v>
      </c>
      <c r="UP103" s="20">
        <v>1987</v>
      </c>
      <c r="UQ103" s="20">
        <v>1644</v>
      </c>
      <c r="UR103" s="20" t="s">
        <v>698</v>
      </c>
      <c r="UZ103" s="20" t="s">
        <v>698</v>
      </c>
      <c r="WO103" s="20" t="s">
        <v>696</v>
      </c>
      <c r="XL103" s="20" t="s">
        <v>730</v>
      </c>
      <c r="XM103" s="20" t="s">
        <v>731</v>
      </c>
      <c r="XN103" s="20" t="s">
        <v>732</v>
      </c>
      <c r="XO103" s="20" t="s">
        <v>733</v>
      </c>
      <c r="XQ103" s="24">
        <v>45805</v>
      </c>
      <c r="XU103" s="20" t="s">
        <v>730</v>
      </c>
      <c r="XV103" s="20" t="s">
        <v>733</v>
      </c>
      <c r="XW103" s="20" t="s">
        <v>731</v>
      </c>
      <c r="XX103" s="20" t="s">
        <v>732</v>
      </c>
      <c r="XY103" s="20" t="s">
        <v>1582</v>
      </c>
    </row>
    <row r="104" spans="1:649" ht="13">
      <c r="A104" s="20">
        <v>651</v>
      </c>
      <c r="B104" s="21">
        <v>45056</v>
      </c>
      <c r="C104" s="20">
        <v>2023</v>
      </c>
      <c r="D104" s="20">
        <v>20230095</v>
      </c>
      <c r="E104" s="20">
        <v>39170</v>
      </c>
      <c r="F104" s="20" t="s">
        <v>825</v>
      </c>
      <c r="G104" s="20">
        <v>32099</v>
      </c>
      <c r="H104" s="20" t="s">
        <v>752</v>
      </c>
      <c r="I104" s="20" t="s">
        <v>692</v>
      </c>
      <c r="J104" s="20" t="s">
        <v>693</v>
      </c>
      <c r="K104" s="20" t="s">
        <v>694</v>
      </c>
      <c r="L104" s="20">
        <v>77002</v>
      </c>
      <c r="M104" s="22">
        <v>45027.506944444445</v>
      </c>
      <c r="N104" s="20" t="s">
        <v>695</v>
      </c>
      <c r="O104" s="20" t="s">
        <v>696</v>
      </c>
      <c r="P104" s="20">
        <v>32.066775</v>
      </c>
      <c r="Q104" s="20">
        <v>-97.572649999999996</v>
      </c>
      <c r="R104" s="20" t="s">
        <v>773</v>
      </c>
      <c r="S104" s="20" t="s">
        <v>1098</v>
      </c>
      <c r="W104" s="20">
        <v>0.1</v>
      </c>
      <c r="X104" s="20">
        <v>0</v>
      </c>
      <c r="Y104" s="20">
        <v>0</v>
      </c>
      <c r="Z104" s="20" t="s">
        <v>698</v>
      </c>
      <c r="AF104" s="20">
        <v>0</v>
      </c>
      <c r="AG104" s="20" t="s">
        <v>696</v>
      </c>
      <c r="AH104" s="20">
        <v>0</v>
      </c>
      <c r="AI104" s="20">
        <v>1</v>
      </c>
      <c r="AJ104" s="20">
        <v>0</v>
      </c>
      <c r="AK104" s="20">
        <v>0</v>
      </c>
      <c r="AL104" s="20">
        <v>0</v>
      </c>
      <c r="AM104" s="20">
        <v>1</v>
      </c>
      <c r="AN104" s="20" t="s">
        <v>699</v>
      </c>
      <c r="AP104" s="20" t="s">
        <v>700</v>
      </c>
      <c r="AQ104" s="23">
        <v>45027.506944444445</v>
      </c>
      <c r="AR104" s="20" t="s">
        <v>701</v>
      </c>
      <c r="AS104" s="20" t="s">
        <v>702</v>
      </c>
      <c r="AT104" s="20" t="s">
        <v>703</v>
      </c>
      <c r="AU104" s="20" t="s">
        <v>698</v>
      </c>
      <c r="AV104" s="20" t="s">
        <v>1583</v>
      </c>
      <c r="AZ104" s="20" t="s">
        <v>698</v>
      </c>
      <c r="BC104" s="23">
        <v>45027.506944444445</v>
      </c>
      <c r="BD104" s="23">
        <v>45027.506944444445</v>
      </c>
      <c r="BE104" s="23">
        <v>45028.451388888891</v>
      </c>
      <c r="BF104" s="20">
        <v>1364568</v>
      </c>
      <c r="BG104" s="20">
        <v>1364648</v>
      </c>
      <c r="BH104" s="20" t="s">
        <v>696</v>
      </c>
      <c r="BI104" s="23">
        <v>45027.506944444445</v>
      </c>
      <c r="BJ104" s="20" t="s">
        <v>704</v>
      </c>
      <c r="BL104" s="20">
        <v>0.1</v>
      </c>
      <c r="BM104" s="20" t="s">
        <v>698</v>
      </c>
      <c r="CA104" s="20">
        <v>0</v>
      </c>
      <c r="CB104" s="20" t="s">
        <v>1584</v>
      </c>
      <c r="CC104" s="20" t="s">
        <v>1585</v>
      </c>
      <c r="CD104" s="20" t="s">
        <v>694</v>
      </c>
      <c r="CE104" s="20">
        <v>76652</v>
      </c>
      <c r="CF104" s="20" t="s">
        <v>1586</v>
      </c>
      <c r="CG104" s="20" t="s">
        <v>1587</v>
      </c>
      <c r="CH104" s="20" t="s">
        <v>710</v>
      </c>
      <c r="CI104" s="20" t="s">
        <v>711</v>
      </c>
      <c r="CJ104" s="20" t="s">
        <v>698</v>
      </c>
      <c r="CK104" s="20" t="s">
        <v>712</v>
      </c>
      <c r="CL104" s="20" t="s">
        <v>713</v>
      </c>
      <c r="CM104" s="20" t="s">
        <v>758</v>
      </c>
      <c r="CP104" s="20" t="s">
        <v>698</v>
      </c>
      <c r="DM104" s="20" t="s">
        <v>743</v>
      </c>
      <c r="DN104" s="20" t="s">
        <v>759</v>
      </c>
      <c r="FK104" s="20">
        <v>2017</v>
      </c>
      <c r="FL104" s="20" t="s">
        <v>728</v>
      </c>
      <c r="FM104" s="20" t="s">
        <v>719</v>
      </c>
      <c r="FO104" s="20" t="s">
        <v>766</v>
      </c>
      <c r="FX104" s="20" t="s">
        <v>1588</v>
      </c>
      <c r="FY104" s="20" t="s">
        <v>698</v>
      </c>
      <c r="GC104" s="20" t="s">
        <v>698</v>
      </c>
      <c r="GD104" s="20" t="s">
        <v>698</v>
      </c>
      <c r="GE104" s="20" t="s">
        <v>698</v>
      </c>
      <c r="GK104" s="20" t="s">
        <v>698</v>
      </c>
      <c r="GT104" s="20" t="s">
        <v>698</v>
      </c>
      <c r="GU104" s="20" t="s">
        <v>698</v>
      </c>
      <c r="HF104" s="20">
        <v>0</v>
      </c>
      <c r="HG104" s="20">
        <v>0</v>
      </c>
      <c r="HH104" s="20">
        <v>51721</v>
      </c>
      <c r="HI104" s="20">
        <v>2000</v>
      </c>
      <c r="HJ104" s="20">
        <v>0</v>
      </c>
      <c r="HK104" s="20">
        <v>0</v>
      </c>
      <c r="HM104" s="20">
        <v>53721</v>
      </c>
      <c r="HN104" s="20">
        <v>0</v>
      </c>
      <c r="HO104" s="20">
        <v>0</v>
      </c>
      <c r="HP104" s="20">
        <v>0</v>
      </c>
      <c r="HQ104" s="20">
        <v>0</v>
      </c>
      <c r="HR104" s="20">
        <v>0</v>
      </c>
      <c r="HS104" s="20">
        <v>1480</v>
      </c>
      <c r="HT104" s="20" t="s">
        <v>787</v>
      </c>
      <c r="HV104" s="24">
        <v>42431</v>
      </c>
      <c r="HW104" s="20" t="s">
        <v>698</v>
      </c>
      <c r="HY104" s="20" t="s">
        <v>723</v>
      </c>
      <c r="HZ104" s="20" t="s">
        <v>698</v>
      </c>
      <c r="IS104" s="20" t="s">
        <v>724</v>
      </c>
      <c r="IT104" s="20" t="s">
        <v>696</v>
      </c>
      <c r="IU104" s="20" t="s">
        <v>696</v>
      </c>
      <c r="IV104" s="20" t="s">
        <v>696</v>
      </c>
      <c r="IW104" s="20" t="s">
        <v>698</v>
      </c>
      <c r="IX104" s="20" t="s">
        <v>698</v>
      </c>
      <c r="IY104" s="20" t="s">
        <v>696</v>
      </c>
      <c r="IZ104" s="20" t="s">
        <v>696</v>
      </c>
      <c r="JA104" s="20" t="s">
        <v>696</v>
      </c>
      <c r="JB104" s="20" t="s">
        <v>698</v>
      </c>
      <c r="JC104" s="20" t="s">
        <v>698</v>
      </c>
      <c r="JD104" s="20" t="s">
        <v>725</v>
      </c>
      <c r="JE104" s="20" t="s">
        <v>726</v>
      </c>
      <c r="JR104" s="20" t="s">
        <v>698</v>
      </c>
      <c r="JS104" s="20" t="s">
        <v>696</v>
      </c>
      <c r="JV104" s="20">
        <v>3</v>
      </c>
      <c r="JW104" s="20">
        <v>0</v>
      </c>
      <c r="JX104" s="20" t="s">
        <v>894</v>
      </c>
      <c r="JY104" s="20" t="s">
        <v>1032</v>
      </c>
      <c r="RM104" s="20" t="s">
        <v>1032</v>
      </c>
      <c r="RP104" s="20" t="s">
        <v>1589</v>
      </c>
      <c r="RS104" s="20" t="s">
        <v>696</v>
      </c>
      <c r="RV104" s="20" t="s">
        <v>1590</v>
      </c>
      <c r="RW104" s="20" t="s">
        <v>696</v>
      </c>
      <c r="RX104" s="20" t="s">
        <v>898</v>
      </c>
      <c r="XL104" s="20" t="s">
        <v>1490</v>
      </c>
      <c r="XM104" s="20" t="s">
        <v>1360</v>
      </c>
      <c r="XN104" s="20" t="s">
        <v>1492</v>
      </c>
      <c r="XO104" s="20" t="s">
        <v>1491</v>
      </c>
      <c r="XQ104" s="24">
        <v>45330</v>
      </c>
      <c r="XU104" s="20" t="s">
        <v>1490</v>
      </c>
      <c r="XV104" s="20" t="s">
        <v>1491</v>
      </c>
      <c r="XW104" s="20" t="s">
        <v>1360</v>
      </c>
      <c r="XX104" s="20" t="s">
        <v>1492</v>
      </c>
      <c r="XY104" s="20" t="s">
        <v>1591</v>
      </c>
    </row>
    <row r="105" spans="1:649" ht="13">
      <c r="A105" s="20">
        <v>654</v>
      </c>
      <c r="B105" s="21">
        <v>45051</v>
      </c>
      <c r="C105" s="20">
        <v>2023</v>
      </c>
      <c r="D105" s="20">
        <v>20230088</v>
      </c>
      <c r="E105" s="20">
        <v>39006</v>
      </c>
      <c r="F105" s="20" t="s">
        <v>825</v>
      </c>
      <c r="G105" s="20">
        <v>39706</v>
      </c>
      <c r="H105" s="20" t="s">
        <v>817</v>
      </c>
      <c r="I105" s="20" t="s">
        <v>692</v>
      </c>
      <c r="J105" s="20" t="s">
        <v>693</v>
      </c>
      <c r="K105" s="20" t="s">
        <v>694</v>
      </c>
      <c r="L105" s="20">
        <v>77002</v>
      </c>
      <c r="M105" s="22">
        <v>45021.326388888891</v>
      </c>
      <c r="N105" s="20" t="s">
        <v>695</v>
      </c>
      <c r="O105" s="20" t="s">
        <v>696</v>
      </c>
      <c r="P105" s="20">
        <v>30.001239000000002</v>
      </c>
      <c r="Q105" s="20">
        <v>-93.986581000000001</v>
      </c>
      <c r="R105" s="20" t="s">
        <v>697</v>
      </c>
      <c r="W105" s="20">
        <v>4</v>
      </c>
      <c r="Y105" s="20">
        <v>4</v>
      </c>
      <c r="Z105" s="20" t="s">
        <v>698</v>
      </c>
      <c r="AF105" s="20">
        <v>0</v>
      </c>
      <c r="AG105" s="20" t="s">
        <v>698</v>
      </c>
      <c r="AM105" s="20">
        <v>0</v>
      </c>
      <c r="AN105" s="20" t="s">
        <v>699</v>
      </c>
      <c r="AP105" s="20" t="s">
        <v>700</v>
      </c>
      <c r="AQ105" s="23">
        <v>45021.326388888891</v>
      </c>
      <c r="AR105" s="20" t="s">
        <v>736</v>
      </c>
      <c r="AS105" s="20" t="s">
        <v>702</v>
      </c>
      <c r="AT105" s="20" t="s">
        <v>703</v>
      </c>
      <c r="AU105" s="20" t="s">
        <v>696</v>
      </c>
      <c r="AW105" s="23">
        <v>45021.326388888891</v>
      </c>
      <c r="AX105" s="23">
        <v>45231.416666666664</v>
      </c>
      <c r="AZ105" s="20" t="s">
        <v>698</v>
      </c>
      <c r="BC105" s="23">
        <v>45021.336805555555</v>
      </c>
      <c r="BD105" s="23">
        <v>45021.333333333336</v>
      </c>
      <c r="BF105" s="20" t="s">
        <v>754</v>
      </c>
      <c r="BH105" s="20" t="s">
        <v>698</v>
      </c>
      <c r="BV105" s="20" t="s">
        <v>696</v>
      </c>
      <c r="BW105" s="23">
        <v>45021.333333333336</v>
      </c>
      <c r="BX105" s="20" t="s">
        <v>698</v>
      </c>
      <c r="CA105" s="20">
        <v>0</v>
      </c>
      <c r="CB105" s="20" t="s">
        <v>818</v>
      </c>
      <c r="CC105" s="20" t="s">
        <v>1592</v>
      </c>
      <c r="CD105" s="20" t="s">
        <v>694</v>
      </c>
      <c r="CE105" s="20">
        <v>77627</v>
      </c>
      <c r="CF105" s="20" t="s">
        <v>820</v>
      </c>
      <c r="CG105" s="20" t="s">
        <v>821</v>
      </c>
      <c r="CH105" s="20" t="s">
        <v>710</v>
      </c>
      <c r="CI105" s="20" t="s">
        <v>711</v>
      </c>
      <c r="CJ105" s="20" t="s">
        <v>698</v>
      </c>
      <c r="CK105" s="20" t="s">
        <v>712</v>
      </c>
      <c r="CL105" s="20" t="s">
        <v>741</v>
      </c>
      <c r="CM105" s="20" t="s">
        <v>742</v>
      </c>
      <c r="CO105" s="20">
        <v>48</v>
      </c>
      <c r="CP105" s="20" t="s">
        <v>698</v>
      </c>
      <c r="DM105" s="20" t="s">
        <v>743</v>
      </c>
      <c r="DN105" s="20" t="s">
        <v>744</v>
      </c>
      <c r="DO105" s="20" t="s">
        <v>745</v>
      </c>
      <c r="DP105" s="20" t="s">
        <v>698</v>
      </c>
      <c r="DQ105" s="20">
        <v>30</v>
      </c>
      <c r="DR105" s="20">
        <v>0.375</v>
      </c>
      <c r="DS105" s="20">
        <v>52000</v>
      </c>
      <c r="DT105" s="20" t="s">
        <v>1568</v>
      </c>
      <c r="DU105" s="20" t="s">
        <v>747</v>
      </c>
      <c r="DW105" s="20" t="s">
        <v>728</v>
      </c>
      <c r="DX105" s="20" t="s">
        <v>748</v>
      </c>
      <c r="DZ105" s="20" t="s">
        <v>698</v>
      </c>
      <c r="FK105" s="20" t="s">
        <v>728</v>
      </c>
      <c r="FL105" s="20" t="s">
        <v>728</v>
      </c>
      <c r="FM105" s="20" t="s">
        <v>719</v>
      </c>
      <c r="FO105" s="20" t="s">
        <v>720</v>
      </c>
      <c r="FR105" s="20" t="s">
        <v>749</v>
      </c>
      <c r="FY105" s="20" t="s">
        <v>698</v>
      </c>
      <c r="GC105" s="20" t="s">
        <v>696</v>
      </c>
      <c r="GD105" s="20" t="s">
        <v>698</v>
      </c>
      <c r="GE105" s="20" t="s">
        <v>696</v>
      </c>
      <c r="GH105" s="20" t="s">
        <v>696</v>
      </c>
      <c r="GK105" s="20" t="s">
        <v>698</v>
      </c>
      <c r="GT105" s="20" t="s">
        <v>696</v>
      </c>
      <c r="GU105" s="20" t="s">
        <v>696</v>
      </c>
      <c r="GX105" s="20" t="s">
        <v>696</v>
      </c>
      <c r="GY105" s="20" t="s">
        <v>696</v>
      </c>
      <c r="HF105" s="20">
        <v>0</v>
      </c>
      <c r="HG105" s="20">
        <v>500</v>
      </c>
      <c r="HH105" s="20">
        <v>9000</v>
      </c>
      <c r="HI105" s="20">
        <v>27800</v>
      </c>
      <c r="HJ105" s="20">
        <v>7000</v>
      </c>
      <c r="HK105" s="20">
        <v>0</v>
      </c>
      <c r="HM105" s="20">
        <v>44300</v>
      </c>
      <c r="HN105" s="20">
        <v>0</v>
      </c>
      <c r="HO105" s="20">
        <v>0</v>
      </c>
      <c r="HP105" s="20">
        <v>0</v>
      </c>
      <c r="HQ105" s="20">
        <v>0</v>
      </c>
      <c r="HR105" s="20">
        <v>78</v>
      </c>
      <c r="HS105" s="20">
        <v>275</v>
      </c>
      <c r="HT105" s="20" t="s">
        <v>750</v>
      </c>
      <c r="HV105" s="24">
        <v>32874</v>
      </c>
      <c r="HW105" s="20" t="s">
        <v>698</v>
      </c>
      <c r="HY105" s="20" t="s">
        <v>723</v>
      </c>
      <c r="HZ105" s="20" t="s">
        <v>698</v>
      </c>
      <c r="IS105" s="20" t="s">
        <v>724</v>
      </c>
      <c r="IT105" s="20" t="s">
        <v>696</v>
      </c>
      <c r="IU105" s="20" t="s">
        <v>696</v>
      </c>
      <c r="IV105" s="20" t="s">
        <v>696</v>
      </c>
      <c r="IW105" s="20" t="s">
        <v>698</v>
      </c>
      <c r="IX105" s="20" t="s">
        <v>698</v>
      </c>
      <c r="IY105" s="20" t="s">
        <v>696</v>
      </c>
      <c r="IZ105" s="20" t="s">
        <v>696</v>
      </c>
      <c r="JA105" s="20" t="s">
        <v>696</v>
      </c>
      <c r="JB105" s="20" t="s">
        <v>698</v>
      </c>
      <c r="JC105" s="20" t="s">
        <v>698</v>
      </c>
      <c r="JD105" s="20" t="s">
        <v>725</v>
      </c>
      <c r="JE105" s="20" t="s">
        <v>726</v>
      </c>
      <c r="JR105" s="20" t="s">
        <v>698</v>
      </c>
      <c r="JS105" s="20" t="s">
        <v>698</v>
      </c>
      <c r="JX105" s="20" t="s">
        <v>833</v>
      </c>
      <c r="JY105" s="20" t="s">
        <v>834</v>
      </c>
      <c r="JZ105" s="20" t="s">
        <v>834</v>
      </c>
      <c r="LD105" s="20" t="s">
        <v>905</v>
      </c>
      <c r="LG105" s="20" t="s">
        <v>696</v>
      </c>
      <c r="LH105" s="20" t="s">
        <v>696</v>
      </c>
      <c r="LL105" s="20" t="s">
        <v>696</v>
      </c>
      <c r="LP105" s="20" t="s">
        <v>696</v>
      </c>
      <c r="LU105" s="20" t="s">
        <v>698</v>
      </c>
      <c r="LV105" s="20" t="s">
        <v>698</v>
      </c>
      <c r="LW105" s="20" t="s">
        <v>838</v>
      </c>
      <c r="LX105" s="20" t="s">
        <v>838</v>
      </c>
      <c r="SC105" s="20" t="s">
        <v>698</v>
      </c>
      <c r="UO105" s="20" t="s">
        <v>698</v>
      </c>
      <c r="UR105" s="20" t="s">
        <v>698</v>
      </c>
      <c r="UZ105" s="20" t="s">
        <v>698</v>
      </c>
      <c r="XL105" s="20" t="s">
        <v>730</v>
      </c>
      <c r="XM105" s="20" t="s">
        <v>731</v>
      </c>
      <c r="XN105" s="20" t="s">
        <v>732</v>
      </c>
      <c r="XO105" s="20" t="s">
        <v>733</v>
      </c>
      <c r="XQ105" s="24">
        <v>45281</v>
      </c>
      <c r="XU105" s="20" t="s">
        <v>730</v>
      </c>
      <c r="XV105" s="20" t="s">
        <v>733</v>
      </c>
      <c r="XW105" s="20" t="s">
        <v>731</v>
      </c>
      <c r="XX105" s="20" t="s">
        <v>732</v>
      </c>
      <c r="XY105" s="20" t="s">
        <v>1593</v>
      </c>
    </row>
    <row r="106" spans="1:649" ht="13">
      <c r="A106" s="20">
        <v>667</v>
      </c>
      <c r="B106" s="21">
        <v>45043</v>
      </c>
      <c r="C106" s="20">
        <v>2023</v>
      </c>
      <c r="D106" s="20">
        <v>20230079</v>
      </c>
      <c r="E106" s="20">
        <v>38379</v>
      </c>
      <c r="F106" s="20" t="s">
        <v>825</v>
      </c>
      <c r="G106" s="20">
        <v>18718</v>
      </c>
      <c r="H106" s="20" t="s">
        <v>918</v>
      </c>
      <c r="I106" s="20" t="s">
        <v>692</v>
      </c>
      <c r="J106" s="20" t="s">
        <v>693</v>
      </c>
      <c r="K106" s="20" t="s">
        <v>694</v>
      </c>
      <c r="L106" s="20">
        <v>77002</v>
      </c>
      <c r="M106" s="22">
        <v>45013.369444444441</v>
      </c>
      <c r="N106" s="20" t="s">
        <v>695</v>
      </c>
      <c r="O106" s="20" t="s">
        <v>696</v>
      </c>
      <c r="P106" s="20">
        <v>32.068679000000003</v>
      </c>
      <c r="Q106" s="20">
        <v>-96.468214000000003</v>
      </c>
      <c r="R106" s="20" t="s">
        <v>697</v>
      </c>
      <c r="W106" s="20">
        <v>1094</v>
      </c>
      <c r="Y106" s="20">
        <v>1060</v>
      </c>
      <c r="Z106" s="20" t="s">
        <v>698</v>
      </c>
      <c r="AF106" s="20">
        <v>0</v>
      </c>
      <c r="AG106" s="20" t="s">
        <v>698</v>
      </c>
      <c r="AM106" s="20">
        <v>0</v>
      </c>
      <c r="AN106" s="20" t="s">
        <v>699</v>
      </c>
      <c r="AP106" s="20" t="s">
        <v>700</v>
      </c>
      <c r="AQ106" s="23">
        <v>45013.375</v>
      </c>
      <c r="AR106" s="20" t="s">
        <v>907</v>
      </c>
      <c r="AS106" s="20" t="s">
        <v>702</v>
      </c>
      <c r="AT106" s="20" t="s">
        <v>703</v>
      </c>
      <c r="AU106" s="20" t="s">
        <v>698</v>
      </c>
      <c r="AV106" s="20" t="s">
        <v>1594</v>
      </c>
      <c r="AZ106" s="20" t="s">
        <v>696</v>
      </c>
      <c r="BA106" s="20" t="s">
        <v>753</v>
      </c>
      <c r="BB106" s="23">
        <v>45013.430555555555</v>
      </c>
      <c r="BC106" s="23">
        <v>45013.375</v>
      </c>
      <c r="BD106" s="23">
        <v>45013.375</v>
      </c>
      <c r="BE106" s="23">
        <v>45013.40902777778</v>
      </c>
      <c r="BF106" s="20">
        <v>1363341</v>
      </c>
      <c r="BG106" s="20">
        <v>1363378</v>
      </c>
      <c r="BH106" s="20" t="s">
        <v>698</v>
      </c>
      <c r="BV106" s="20" t="s">
        <v>696</v>
      </c>
      <c r="BW106" s="23">
        <v>45013.378472222219</v>
      </c>
      <c r="BX106" s="20" t="s">
        <v>698</v>
      </c>
      <c r="CA106" s="20">
        <v>0</v>
      </c>
      <c r="CB106" s="20" t="s">
        <v>1420</v>
      </c>
      <c r="CC106" s="20" t="s">
        <v>1595</v>
      </c>
      <c r="CD106" s="20" t="s">
        <v>694</v>
      </c>
      <c r="CE106" s="20">
        <v>75110</v>
      </c>
      <c r="CF106" s="20" t="s">
        <v>1296</v>
      </c>
      <c r="CG106" s="20" t="s">
        <v>1283</v>
      </c>
      <c r="CH106" s="20" t="s">
        <v>710</v>
      </c>
      <c r="CI106" s="20" t="s">
        <v>711</v>
      </c>
      <c r="CJ106" s="20" t="s">
        <v>698</v>
      </c>
      <c r="CK106" s="20" t="s">
        <v>891</v>
      </c>
      <c r="CL106" s="20" t="s">
        <v>910</v>
      </c>
      <c r="CP106" s="20" t="s">
        <v>698</v>
      </c>
      <c r="DM106" s="20" t="s">
        <v>743</v>
      </c>
      <c r="DN106" s="20" t="s">
        <v>911</v>
      </c>
      <c r="EW106" s="20" t="s">
        <v>912</v>
      </c>
      <c r="EY106" s="20" t="s">
        <v>913</v>
      </c>
      <c r="FD106" s="20">
        <v>44</v>
      </c>
      <c r="FE106" s="20" t="s">
        <v>698</v>
      </c>
      <c r="FG106" s="20" t="s">
        <v>696</v>
      </c>
      <c r="FH106" s="20">
        <v>2020</v>
      </c>
      <c r="FK106" s="20">
        <v>2015</v>
      </c>
      <c r="FL106" s="20" t="s">
        <v>728</v>
      </c>
      <c r="FM106" s="20" t="s">
        <v>719</v>
      </c>
      <c r="FO106" s="20" t="s">
        <v>720</v>
      </c>
      <c r="FR106" s="20" t="s">
        <v>721</v>
      </c>
      <c r="FY106" s="20" t="s">
        <v>698</v>
      </c>
      <c r="GC106" s="20" t="s">
        <v>696</v>
      </c>
      <c r="GD106" s="20" t="s">
        <v>698</v>
      </c>
      <c r="GE106" s="20" t="s">
        <v>696</v>
      </c>
      <c r="GF106" s="20" t="s">
        <v>696</v>
      </c>
      <c r="GH106" s="20" t="s">
        <v>696</v>
      </c>
      <c r="GI106" s="20" t="s">
        <v>696</v>
      </c>
      <c r="GK106" s="20" t="s">
        <v>696</v>
      </c>
      <c r="GM106" s="20" t="s">
        <v>696</v>
      </c>
      <c r="GR106" s="20">
        <v>25</v>
      </c>
      <c r="GS106" s="20" t="s">
        <v>1596</v>
      </c>
      <c r="GT106" s="20" t="s">
        <v>698</v>
      </c>
      <c r="GU106" s="20" t="s">
        <v>698</v>
      </c>
      <c r="HF106" s="20">
        <v>0</v>
      </c>
      <c r="HG106" s="20">
        <v>2448</v>
      </c>
      <c r="HH106" s="20">
        <v>62157</v>
      </c>
      <c r="HI106" s="20">
        <v>70000</v>
      </c>
      <c r="HJ106" s="20">
        <v>10000</v>
      </c>
      <c r="HK106" s="20">
        <v>0</v>
      </c>
      <c r="HM106" s="20">
        <v>144605</v>
      </c>
      <c r="HN106" s="20">
        <v>0</v>
      </c>
      <c r="HO106" s="20">
        <v>0</v>
      </c>
      <c r="HP106" s="20">
        <v>0</v>
      </c>
      <c r="HQ106" s="20">
        <v>0</v>
      </c>
      <c r="HR106" s="20">
        <v>15</v>
      </c>
      <c r="HZ106" s="20" t="s">
        <v>698</v>
      </c>
      <c r="IS106" s="20" t="s">
        <v>724</v>
      </c>
      <c r="IT106" s="20" t="s">
        <v>696</v>
      </c>
      <c r="IU106" s="20" t="s">
        <v>696</v>
      </c>
      <c r="IV106" s="20" t="s">
        <v>696</v>
      </c>
      <c r="IW106" s="20" t="s">
        <v>698</v>
      </c>
      <c r="IX106" s="20" t="s">
        <v>698</v>
      </c>
      <c r="IY106" s="20" t="s">
        <v>698</v>
      </c>
      <c r="JD106" s="20" t="s">
        <v>725</v>
      </c>
      <c r="JE106" s="20" t="s">
        <v>726</v>
      </c>
      <c r="JR106" s="20" t="s">
        <v>698</v>
      </c>
      <c r="JS106" s="20" t="s">
        <v>698</v>
      </c>
      <c r="JX106" s="20" t="s">
        <v>789</v>
      </c>
      <c r="JY106" s="20" t="s">
        <v>914</v>
      </c>
      <c r="QB106" s="20" t="s">
        <v>914</v>
      </c>
      <c r="QS106" s="20" t="s">
        <v>915</v>
      </c>
      <c r="QX106" s="20" t="s">
        <v>696</v>
      </c>
      <c r="RK106" s="20" t="s">
        <v>696</v>
      </c>
      <c r="RL106" s="20" t="s">
        <v>1597</v>
      </c>
      <c r="XL106" s="20" t="s">
        <v>730</v>
      </c>
      <c r="XM106" s="20" t="s">
        <v>1360</v>
      </c>
      <c r="XN106" s="20" t="s">
        <v>732</v>
      </c>
      <c r="XO106" s="20" t="s">
        <v>733</v>
      </c>
      <c r="XQ106" s="24">
        <v>45148</v>
      </c>
      <c r="XU106" s="20" t="s">
        <v>730</v>
      </c>
      <c r="XV106" s="20" t="s">
        <v>733</v>
      </c>
      <c r="XW106" s="20" t="s">
        <v>1360</v>
      </c>
      <c r="XX106" s="20" t="s">
        <v>732</v>
      </c>
      <c r="XY106" s="20" t="s">
        <v>1598</v>
      </c>
    </row>
    <row r="107" spans="1:649" ht="13">
      <c r="A107" s="20">
        <v>670</v>
      </c>
      <c r="B107" s="21">
        <v>45037</v>
      </c>
      <c r="C107" s="20">
        <v>2023</v>
      </c>
      <c r="D107" s="20">
        <v>20230072</v>
      </c>
      <c r="E107" s="20">
        <v>38159</v>
      </c>
      <c r="F107" s="20" t="s">
        <v>825</v>
      </c>
      <c r="G107" s="20">
        <v>12470</v>
      </c>
      <c r="H107" s="20" t="s">
        <v>1070</v>
      </c>
      <c r="I107" s="20" t="s">
        <v>692</v>
      </c>
      <c r="J107" s="20" t="s">
        <v>693</v>
      </c>
      <c r="K107" s="20" t="s">
        <v>694</v>
      </c>
      <c r="L107" s="20">
        <v>77002</v>
      </c>
      <c r="M107" s="22">
        <v>45008.043749999997</v>
      </c>
      <c r="N107" s="20" t="s">
        <v>695</v>
      </c>
      <c r="O107" s="20" t="s">
        <v>696</v>
      </c>
      <c r="P107" s="20">
        <v>32.610176000000003</v>
      </c>
      <c r="Q107" s="20">
        <v>-94.221463</v>
      </c>
      <c r="R107" s="20" t="s">
        <v>697</v>
      </c>
      <c r="W107" s="20">
        <v>0.28999999999999998</v>
      </c>
      <c r="Y107" s="20">
        <v>0.28999999999999998</v>
      </c>
      <c r="Z107" s="20" t="s">
        <v>698</v>
      </c>
      <c r="AF107" s="20">
        <v>0</v>
      </c>
      <c r="AG107" s="20" t="s">
        <v>698</v>
      </c>
      <c r="AM107" s="20">
        <v>0</v>
      </c>
      <c r="AN107" s="20" t="s">
        <v>887</v>
      </c>
      <c r="AP107" s="20" t="s">
        <v>700</v>
      </c>
      <c r="AQ107" s="23">
        <v>45008.043749999997</v>
      </c>
      <c r="AR107" s="20" t="s">
        <v>701</v>
      </c>
      <c r="AS107" s="20" t="s">
        <v>702</v>
      </c>
      <c r="AT107" s="20" t="s">
        <v>703</v>
      </c>
      <c r="AU107" s="20" t="s">
        <v>696</v>
      </c>
      <c r="AW107" s="23">
        <v>45008.044444444444</v>
      </c>
      <c r="AX107" s="23">
        <v>45014.592361111114</v>
      </c>
      <c r="AZ107" s="20" t="s">
        <v>698</v>
      </c>
      <c r="BC107" s="23">
        <v>45008.100694444445</v>
      </c>
      <c r="BD107" s="23">
        <v>45008.100694444445</v>
      </c>
      <c r="BF107" s="20" t="s">
        <v>754</v>
      </c>
      <c r="BH107" s="20" t="s">
        <v>698</v>
      </c>
      <c r="BV107" s="20" t="s">
        <v>696</v>
      </c>
      <c r="BW107" s="23">
        <v>45008.04583333333</v>
      </c>
      <c r="BX107" s="20" t="s">
        <v>698</v>
      </c>
      <c r="CA107" s="20">
        <v>0</v>
      </c>
      <c r="CB107" s="20" t="s">
        <v>1599</v>
      </c>
      <c r="CC107" s="20" t="s">
        <v>1600</v>
      </c>
      <c r="CD107" s="20" t="s">
        <v>694</v>
      </c>
      <c r="CE107" s="20">
        <v>75661</v>
      </c>
      <c r="CF107" s="20" t="s">
        <v>1601</v>
      </c>
      <c r="CG107" s="20" t="s">
        <v>1602</v>
      </c>
      <c r="CH107" s="20" t="s">
        <v>784</v>
      </c>
      <c r="CI107" s="20">
        <v>37</v>
      </c>
      <c r="CJ107" s="20" t="s">
        <v>698</v>
      </c>
      <c r="CK107" s="20" t="s">
        <v>712</v>
      </c>
      <c r="CL107" s="20" t="s">
        <v>713</v>
      </c>
      <c r="CM107" s="20" t="s">
        <v>714</v>
      </c>
      <c r="CP107" s="20" t="s">
        <v>698</v>
      </c>
      <c r="DM107" s="20" t="s">
        <v>743</v>
      </c>
      <c r="DN107" s="20" t="s">
        <v>961</v>
      </c>
      <c r="FK107" s="20">
        <v>2019</v>
      </c>
      <c r="FL107" s="20">
        <v>2012</v>
      </c>
      <c r="FM107" s="20" t="s">
        <v>962</v>
      </c>
      <c r="FN107" s="20" t="s">
        <v>1603</v>
      </c>
      <c r="FO107" s="20" t="s">
        <v>720</v>
      </c>
      <c r="FR107" s="20" t="s">
        <v>721</v>
      </c>
      <c r="FY107" s="20" t="s">
        <v>698</v>
      </c>
      <c r="GC107" s="20" t="s">
        <v>698</v>
      </c>
      <c r="GD107" s="20" t="s">
        <v>698</v>
      </c>
      <c r="GE107" s="20" t="s">
        <v>698</v>
      </c>
      <c r="GK107" s="20" t="s">
        <v>698</v>
      </c>
      <c r="GT107" s="20" t="s">
        <v>698</v>
      </c>
      <c r="GU107" s="20" t="s">
        <v>698</v>
      </c>
      <c r="HF107" s="20">
        <v>0</v>
      </c>
      <c r="HG107" s="20">
        <v>30</v>
      </c>
      <c r="HH107" s="20">
        <v>10100</v>
      </c>
      <c r="HI107" s="20">
        <v>2400</v>
      </c>
      <c r="HJ107" s="20">
        <v>0</v>
      </c>
      <c r="HK107" s="20">
        <v>0</v>
      </c>
      <c r="HM107" s="20">
        <v>12530</v>
      </c>
      <c r="HN107" s="20">
        <v>0</v>
      </c>
      <c r="HO107" s="20">
        <v>0</v>
      </c>
      <c r="HP107" s="20">
        <v>0</v>
      </c>
      <c r="HQ107" s="20">
        <v>0</v>
      </c>
      <c r="HR107" s="20">
        <v>1491</v>
      </c>
      <c r="HS107" s="20">
        <v>936</v>
      </c>
      <c r="HT107" s="20" t="s">
        <v>750</v>
      </c>
      <c r="HV107" s="24">
        <v>41937</v>
      </c>
      <c r="HW107" s="20" t="s">
        <v>698</v>
      </c>
      <c r="HY107" s="20" t="s">
        <v>760</v>
      </c>
      <c r="HZ107" s="20" t="s">
        <v>698</v>
      </c>
      <c r="IS107" s="20" t="s">
        <v>724</v>
      </c>
      <c r="IT107" s="20" t="s">
        <v>696</v>
      </c>
      <c r="IU107" s="20" t="s">
        <v>696</v>
      </c>
      <c r="IV107" s="20" t="s">
        <v>696</v>
      </c>
      <c r="IW107" s="20" t="s">
        <v>696</v>
      </c>
      <c r="IX107" s="20" t="s">
        <v>696</v>
      </c>
      <c r="IY107" s="20" t="s">
        <v>696</v>
      </c>
      <c r="IZ107" s="20" t="s">
        <v>696</v>
      </c>
      <c r="JA107" s="20" t="s">
        <v>696</v>
      </c>
      <c r="JB107" s="20" t="s">
        <v>698</v>
      </c>
      <c r="JC107" s="20" t="s">
        <v>698</v>
      </c>
      <c r="JD107" s="20" t="s">
        <v>859</v>
      </c>
      <c r="JF107" s="20" t="s">
        <v>696</v>
      </c>
      <c r="JJ107" s="20" t="s">
        <v>696</v>
      </c>
      <c r="JR107" s="20" t="s">
        <v>696</v>
      </c>
      <c r="JS107" s="20" t="s">
        <v>698</v>
      </c>
      <c r="JT107" s="20">
        <v>1</v>
      </c>
      <c r="JU107" s="20">
        <v>0</v>
      </c>
      <c r="JX107" s="20" t="s">
        <v>789</v>
      </c>
      <c r="JY107" s="20" t="s">
        <v>790</v>
      </c>
      <c r="QB107" s="20" t="s">
        <v>790</v>
      </c>
      <c r="QD107" s="20" t="s">
        <v>696</v>
      </c>
      <c r="QJ107" s="20" t="s">
        <v>696</v>
      </c>
      <c r="QL107" s="20" t="s">
        <v>696</v>
      </c>
      <c r="QM107" s="20" t="s">
        <v>696</v>
      </c>
      <c r="QN107" s="20" t="s">
        <v>1604</v>
      </c>
      <c r="QW107" s="20" t="s">
        <v>696</v>
      </c>
      <c r="QZ107" s="20" t="s">
        <v>696</v>
      </c>
      <c r="RI107" s="20" t="s">
        <v>696</v>
      </c>
      <c r="RK107" s="20" t="s">
        <v>696</v>
      </c>
      <c r="RL107" s="20" t="s">
        <v>1605</v>
      </c>
      <c r="XL107" s="20" t="s">
        <v>730</v>
      </c>
      <c r="XM107" s="20" t="s">
        <v>1360</v>
      </c>
      <c r="XN107" s="20" t="s">
        <v>732</v>
      </c>
      <c r="XO107" s="20" t="s">
        <v>733</v>
      </c>
      <c r="XQ107" s="24">
        <v>45089</v>
      </c>
      <c r="XU107" s="20" t="s">
        <v>730</v>
      </c>
      <c r="XV107" s="20" t="s">
        <v>733</v>
      </c>
      <c r="XW107" s="20" t="s">
        <v>1360</v>
      </c>
      <c r="XX107" s="20" t="s">
        <v>732</v>
      </c>
      <c r="XY107" s="20" t="s">
        <v>1606</v>
      </c>
    </row>
    <row r="108" spans="1:649" ht="13">
      <c r="A108" s="20">
        <v>683</v>
      </c>
      <c r="B108" s="21">
        <v>45001</v>
      </c>
      <c r="C108" s="20">
        <v>2023</v>
      </c>
      <c r="D108" s="20">
        <v>20230059</v>
      </c>
      <c r="E108" s="20">
        <v>37845</v>
      </c>
      <c r="F108" s="20" t="s">
        <v>885</v>
      </c>
      <c r="G108" s="20">
        <v>18718</v>
      </c>
      <c r="H108" s="20" t="s">
        <v>918</v>
      </c>
      <c r="I108" s="20" t="s">
        <v>692</v>
      </c>
      <c r="J108" s="20" t="s">
        <v>693</v>
      </c>
      <c r="K108" s="20" t="s">
        <v>694</v>
      </c>
      <c r="L108" s="20">
        <v>77002</v>
      </c>
      <c r="M108" s="22">
        <v>44975.304166666669</v>
      </c>
      <c r="N108" s="20" t="s">
        <v>695</v>
      </c>
      <c r="O108" s="20" t="s">
        <v>698</v>
      </c>
      <c r="P108" s="20">
        <v>30.618611000000001</v>
      </c>
      <c r="Q108" s="20">
        <v>-94.969908000000004</v>
      </c>
      <c r="R108" s="20" t="s">
        <v>697</v>
      </c>
      <c r="W108" s="20">
        <v>30</v>
      </c>
      <c r="Y108" s="20">
        <v>30</v>
      </c>
      <c r="Z108" s="20" t="s">
        <v>698</v>
      </c>
      <c r="AF108" s="20">
        <v>0</v>
      </c>
      <c r="AG108" s="20" t="s">
        <v>698</v>
      </c>
      <c r="AM108" s="20">
        <v>0</v>
      </c>
      <c r="AN108" s="20" t="s">
        <v>699</v>
      </c>
      <c r="AP108" s="20" t="s">
        <v>700</v>
      </c>
      <c r="AQ108" s="23">
        <v>44975.304166666669</v>
      </c>
      <c r="AR108" s="20" t="s">
        <v>736</v>
      </c>
      <c r="AS108" s="20" t="s">
        <v>702</v>
      </c>
      <c r="AT108" s="20" t="s">
        <v>703</v>
      </c>
      <c r="AU108" s="20" t="s">
        <v>696</v>
      </c>
      <c r="AW108" s="23">
        <v>44975.304166666669</v>
      </c>
      <c r="AX108" s="23">
        <v>44975.412499999999</v>
      </c>
      <c r="AZ108" s="20" t="s">
        <v>696</v>
      </c>
      <c r="BA108" s="20" t="s">
        <v>753</v>
      </c>
      <c r="BB108" s="23">
        <v>44975.364583333336</v>
      </c>
      <c r="BC108" s="23">
        <v>44975.304166666669</v>
      </c>
      <c r="BD108" s="23">
        <v>44975.326388888891</v>
      </c>
      <c r="BE108" s="23">
        <v>44975.363888888889</v>
      </c>
      <c r="BF108" s="20">
        <v>1360299</v>
      </c>
      <c r="BG108" s="20">
        <v>1360392</v>
      </c>
      <c r="BH108" s="20" t="s">
        <v>698</v>
      </c>
      <c r="BV108" s="20" t="s">
        <v>696</v>
      </c>
      <c r="BW108" s="23">
        <v>44975.304166666669</v>
      </c>
      <c r="BX108" s="20" t="s">
        <v>698</v>
      </c>
      <c r="CA108" s="20">
        <v>0</v>
      </c>
      <c r="CB108" s="20" t="s">
        <v>1607</v>
      </c>
      <c r="CC108" s="20" t="s">
        <v>1551</v>
      </c>
      <c r="CD108" s="20" t="s">
        <v>694</v>
      </c>
      <c r="CE108" s="20">
        <v>77335</v>
      </c>
      <c r="CF108" s="20" t="s">
        <v>1608</v>
      </c>
      <c r="CG108" s="20" t="s">
        <v>1271</v>
      </c>
      <c r="CH108" s="20" t="s">
        <v>710</v>
      </c>
      <c r="CI108" s="20" t="s">
        <v>711</v>
      </c>
      <c r="CJ108" s="20" t="s">
        <v>698</v>
      </c>
      <c r="CK108" s="20" t="s">
        <v>712</v>
      </c>
      <c r="CL108" s="20" t="s">
        <v>741</v>
      </c>
      <c r="CM108" s="20" t="s">
        <v>742</v>
      </c>
      <c r="CO108" s="20">
        <v>60</v>
      </c>
      <c r="CP108" s="20" t="s">
        <v>698</v>
      </c>
      <c r="DM108" s="20" t="s">
        <v>743</v>
      </c>
      <c r="DN108" s="20" t="s">
        <v>1141</v>
      </c>
      <c r="EA108" s="20" t="s">
        <v>1609</v>
      </c>
      <c r="FK108" s="20">
        <v>2014</v>
      </c>
      <c r="FL108" s="20">
        <v>2014</v>
      </c>
      <c r="FM108" s="20" t="s">
        <v>719</v>
      </c>
      <c r="FO108" s="20" t="s">
        <v>720</v>
      </c>
      <c r="FR108" s="20" t="s">
        <v>768</v>
      </c>
      <c r="FY108" s="20" t="s">
        <v>698</v>
      </c>
      <c r="GC108" s="20" t="s">
        <v>696</v>
      </c>
      <c r="GD108" s="20" t="s">
        <v>698</v>
      </c>
      <c r="GE108" s="20" t="s">
        <v>696</v>
      </c>
      <c r="GH108" s="20" t="s">
        <v>696</v>
      </c>
      <c r="GK108" s="20" t="s">
        <v>698</v>
      </c>
      <c r="GT108" s="20" t="s">
        <v>696</v>
      </c>
      <c r="GU108" s="20" t="s">
        <v>698</v>
      </c>
      <c r="HF108" s="20">
        <v>0</v>
      </c>
      <c r="HG108" s="20">
        <v>0</v>
      </c>
      <c r="HH108" s="20">
        <v>45000</v>
      </c>
      <c r="HI108" s="20">
        <v>30000</v>
      </c>
      <c r="HJ108" s="20">
        <v>75000</v>
      </c>
      <c r="HK108" s="20">
        <v>0</v>
      </c>
      <c r="HM108" s="20">
        <v>150000</v>
      </c>
      <c r="HN108" s="20">
        <v>0</v>
      </c>
      <c r="HO108" s="20">
        <v>0</v>
      </c>
      <c r="HP108" s="20">
        <v>0</v>
      </c>
      <c r="HQ108" s="20">
        <v>0</v>
      </c>
      <c r="HR108" s="20">
        <v>15</v>
      </c>
      <c r="HS108" s="20">
        <v>285</v>
      </c>
      <c r="HT108" s="20" t="s">
        <v>750</v>
      </c>
      <c r="HV108" s="24">
        <v>41974</v>
      </c>
      <c r="HW108" s="20" t="s">
        <v>698</v>
      </c>
      <c r="HY108" s="20" t="s">
        <v>723</v>
      </c>
      <c r="HZ108" s="20" t="s">
        <v>698</v>
      </c>
      <c r="IS108" s="20" t="s">
        <v>808</v>
      </c>
      <c r="IT108" s="20" t="s">
        <v>696</v>
      </c>
      <c r="IU108" s="20" t="s">
        <v>696</v>
      </c>
      <c r="IV108" s="20" t="s">
        <v>696</v>
      </c>
      <c r="IW108" s="20" t="s">
        <v>698</v>
      </c>
      <c r="IX108" s="20" t="s">
        <v>698</v>
      </c>
      <c r="IY108" s="20" t="s">
        <v>696</v>
      </c>
      <c r="IZ108" s="20" t="s">
        <v>696</v>
      </c>
      <c r="JA108" s="20" t="s">
        <v>696</v>
      </c>
      <c r="JB108" s="20" t="s">
        <v>698</v>
      </c>
      <c r="JC108" s="20" t="s">
        <v>698</v>
      </c>
      <c r="JD108" s="20" t="s">
        <v>725</v>
      </c>
      <c r="JE108" s="20" t="s">
        <v>726</v>
      </c>
      <c r="JR108" s="20" t="s">
        <v>698</v>
      </c>
      <c r="JS108" s="20" t="s">
        <v>698</v>
      </c>
      <c r="JX108" s="20" t="s">
        <v>929</v>
      </c>
      <c r="JY108" s="20" t="s">
        <v>1500</v>
      </c>
      <c r="PB108" s="20" t="s">
        <v>696</v>
      </c>
      <c r="PG108" s="20" t="s">
        <v>1500</v>
      </c>
      <c r="PH108" s="20" t="s">
        <v>696</v>
      </c>
      <c r="PI108" s="20" t="s">
        <v>1610</v>
      </c>
      <c r="QA108" s="20" t="s">
        <v>696</v>
      </c>
      <c r="SC108" s="20" t="s">
        <v>698</v>
      </c>
      <c r="UO108" s="20" t="s">
        <v>698</v>
      </c>
      <c r="UR108" s="20" t="s">
        <v>698</v>
      </c>
      <c r="UZ108" s="20" t="s">
        <v>698</v>
      </c>
      <c r="XL108" s="20" t="s">
        <v>730</v>
      </c>
      <c r="XM108" s="20" t="s">
        <v>1360</v>
      </c>
      <c r="XN108" s="20" t="s">
        <v>732</v>
      </c>
      <c r="XO108" s="20" t="s">
        <v>733</v>
      </c>
      <c r="XQ108" s="24">
        <v>45001</v>
      </c>
      <c r="XU108" s="20" t="s">
        <v>730</v>
      </c>
      <c r="XV108" s="20" t="s">
        <v>733</v>
      </c>
      <c r="XW108" s="20" t="s">
        <v>1360</v>
      </c>
      <c r="XX108" s="20" t="s">
        <v>732</v>
      </c>
      <c r="XY108" s="20" t="s">
        <v>1611</v>
      </c>
    </row>
    <row r="109" spans="1:649" ht="13">
      <c r="A109" s="20">
        <v>692</v>
      </c>
      <c r="B109" s="21">
        <v>44988</v>
      </c>
      <c r="C109" s="20">
        <v>2023</v>
      </c>
      <c r="D109" s="20">
        <v>20230045</v>
      </c>
      <c r="E109" s="20">
        <v>37775</v>
      </c>
      <c r="F109" s="20" t="s">
        <v>885</v>
      </c>
      <c r="G109" s="20">
        <v>32099</v>
      </c>
      <c r="H109" s="20" t="s">
        <v>752</v>
      </c>
      <c r="I109" s="20" t="s">
        <v>692</v>
      </c>
      <c r="J109" s="20" t="s">
        <v>693</v>
      </c>
      <c r="K109" s="20" t="s">
        <v>694</v>
      </c>
      <c r="L109" s="20">
        <v>77002</v>
      </c>
      <c r="M109" s="22">
        <v>44961.324305555558</v>
      </c>
      <c r="N109" s="20" t="s">
        <v>695</v>
      </c>
      <c r="O109" s="20" t="s">
        <v>698</v>
      </c>
      <c r="P109" s="20">
        <v>32.229498</v>
      </c>
      <c r="Q109" s="20">
        <v>-98.844408000000001</v>
      </c>
      <c r="R109" s="20" t="s">
        <v>773</v>
      </c>
      <c r="S109" s="20" t="s">
        <v>1098</v>
      </c>
      <c r="W109" s="20">
        <v>3.6</v>
      </c>
      <c r="X109" s="20">
        <v>0</v>
      </c>
      <c r="Y109" s="20">
        <v>0</v>
      </c>
      <c r="Z109" s="20" t="s">
        <v>698</v>
      </c>
      <c r="AF109" s="20">
        <v>0</v>
      </c>
      <c r="AG109" s="20" t="s">
        <v>698</v>
      </c>
      <c r="AM109" s="20">
        <v>0</v>
      </c>
      <c r="AN109" s="20" t="s">
        <v>775</v>
      </c>
      <c r="AQ109" s="23">
        <v>44961.324305555558</v>
      </c>
      <c r="AR109" s="20" t="s">
        <v>776</v>
      </c>
      <c r="AS109" s="20" t="s">
        <v>702</v>
      </c>
      <c r="AT109" s="20" t="s">
        <v>703</v>
      </c>
      <c r="AU109" s="20" t="s">
        <v>698</v>
      </c>
      <c r="AV109" s="20" t="s">
        <v>1612</v>
      </c>
      <c r="AZ109" s="20" t="s">
        <v>696</v>
      </c>
      <c r="BA109" s="20" t="s">
        <v>753</v>
      </c>
      <c r="BB109" s="23">
        <v>44961.354166666664</v>
      </c>
      <c r="BC109" s="23">
        <v>44961.395833333336</v>
      </c>
      <c r="BD109" s="23">
        <v>44961.395833333336</v>
      </c>
      <c r="BF109" s="20" t="s">
        <v>754</v>
      </c>
      <c r="BH109" s="20" t="s">
        <v>698</v>
      </c>
      <c r="BN109" s="20" t="s">
        <v>777</v>
      </c>
      <c r="BP109" s="23">
        <v>44961.4375</v>
      </c>
      <c r="BQ109" s="20" t="s">
        <v>779</v>
      </c>
      <c r="BR109" s="20" t="s">
        <v>777</v>
      </c>
      <c r="BT109" s="23">
        <v>44961.4375</v>
      </c>
      <c r="BU109" s="20" t="s">
        <v>779</v>
      </c>
      <c r="CA109" s="20">
        <v>0</v>
      </c>
      <c r="CB109" s="20" t="s">
        <v>1613</v>
      </c>
      <c r="CC109" s="20" t="s">
        <v>1614</v>
      </c>
      <c r="CD109" s="20" t="s">
        <v>694</v>
      </c>
      <c r="CE109" s="20">
        <v>76435</v>
      </c>
      <c r="CF109" s="20" t="s">
        <v>708</v>
      </c>
      <c r="CG109" s="20" t="s">
        <v>1615</v>
      </c>
      <c r="CH109" s="20" t="s">
        <v>710</v>
      </c>
      <c r="CI109" s="20" t="s">
        <v>1616</v>
      </c>
      <c r="CJ109" s="20" t="s">
        <v>698</v>
      </c>
      <c r="CK109" s="20" t="s">
        <v>712</v>
      </c>
      <c r="CL109" s="20" t="s">
        <v>713</v>
      </c>
      <c r="CM109" s="20" t="s">
        <v>758</v>
      </c>
      <c r="CP109" s="20" t="s">
        <v>698</v>
      </c>
      <c r="DM109" s="20" t="s">
        <v>743</v>
      </c>
      <c r="DN109" s="20" t="s">
        <v>829</v>
      </c>
      <c r="EM109" s="20" t="s">
        <v>830</v>
      </c>
      <c r="FK109" s="20">
        <v>2020</v>
      </c>
      <c r="FL109" s="20">
        <v>2020</v>
      </c>
      <c r="FM109" s="20" t="s">
        <v>719</v>
      </c>
      <c r="FO109" s="20" t="s">
        <v>720</v>
      </c>
      <c r="FR109" s="20" t="s">
        <v>766</v>
      </c>
      <c r="FS109" s="20" t="s">
        <v>1617</v>
      </c>
      <c r="FY109" s="20" t="s">
        <v>698</v>
      </c>
      <c r="GC109" s="20" t="s">
        <v>698</v>
      </c>
      <c r="GD109" s="20" t="s">
        <v>698</v>
      </c>
      <c r="GE109" s="20" t="s">
        <v>698</v>
      </c>
      <c r="GK109" s="20" t="s">
        <v>698</v>
      </c>
      <c r="GT109" s="20" t="s">
        <v>698</v>
      </c>
      <c r="GU109" s="20" t="s">
        <v>698</v>
      </c>
      <c r="HF109" s="20">
        <v>0</v>
      </c>
      <c r="HG109" s="20">
        <v>110</v>
      </c>
      <c r="HH109" s="20">
        <v>100</v>
      </c>
      <c r="HI109" s="20">
        <v>0</v>
      </c>
      <c r="HJ109" s="20">
        <v>0</v>
      </c>
      <c r="HK109" s="20">
        <v>0</v>
      </c>
      <c r="HM109" s="20">
        <v>210</v>
      </c>
      <c r="HN109" s="20">
        <v>0</v>
      </c>
      <c r="HO109" s="20">
        <v>0</v>
      </c>
      <c r="HP109" s="20">
        <v>0</v>
      </c>
      <c r="HQ109" s="20">
        <v>0</v>
      </c>
      <c r="HR109" s="20">
        <v>605</v>
      </c>
      <c r="HS109" s="20">
        <v>1480</v>
      </c>
      <c r="HT109" s="20" t="s">
        <v>787</v>
      </c>
      <c r="HV109" s="24">
        <v>43852</v>
      </c>
      <c r="HW109" s="20" t="s">
        <v>698</v>
      </c>
      <c r="HY109" s="20" t="s">
        <v>723</v>
      </c>
      <c r="HZ109" s="20" t="s">
        <v>698</v>
      </c>
      <c r="IC109" s="20">
        <v>1</v>
      </c>
      <c r="ID109" s="20" t="s">
        <v>696</v>
      </c>
      <c r="IL109" s="20" t="s">
        <v>698</v>
      </c>
      <c r="IS109" s="20" t="s">
        <v>724</v>
      </c>
      <c r="IT109" s="20" t="s">
        <v>696</v>
      </c>
      <c r="IU109" s="20" t="s">
        <v>696</v>
      </c>
      <c r="IV109" s="20" t="s">
        <v>696</v>
      </c>
      <c r="IW109" s="20" t="s">
        <v>698</v>
      </c>
      <c r="IX109" s="20" t="s">
        <v>698</v>
      </c>
      <c r="IY109" s="20" t="s">
        <v>696</v>
      </c>
      <c r="IZ109" s="20" t="s">
        <v>696</v>
      </c>
      <c r="JA109" s="20" t="s">
        <v>696</v>
      </c>
      <c r="JB109" s="20" t="s">
        <v>698</v>
      </c>
      <c r="JC109" s="20" t="s">
        <v>698</v>
      </c>
      <c r="JD109" s="20" t="s">
        <v>725</v>
      </c>
      <c r="JE109" s="20" t="s">
        <v>726</v>
      </c>
      <c r="JR109" s="20" t="s">
        <v>698</v>
      </c>
      <c r="JS109" s="20" t="s">
        <v>698</v>
      </c>
      <c r="JX109" s="20" t="s">
        <v>789</v>
      </c>
      <c r="JY109" s="20" t="s">
        <v>964</v>
      </c>
      <c r="QB109" s="20" t="s">
        <v>964</v>
      </c>
      <c r="QU109" s="20" t="s">
        <v>1618</v>
      </c>
      <c r="RK109" s="20" t="s">
        <v>696</v>
      </c>
      <c r="RL109" s="20" t="s">
        <v>1619</v>
      </c>
      <c r="XL109" s="20" t="s">
        <v>1620</v>
      </c>
      <c r="XM109" s="20" t="s">
        <v>1621</v>
      </c>
      <c r="XN109" s="20" t="s">
        <v>1622</v>
      </c>
      <c r="XO109" s="20" t="s">
        <v>1623</v>
      </c>
      <c r="XQ109" s="24">
        <v>44988</v>
      </c>
      <c r="XU109" s="20" t="s">
        <v>1624</v>
      </c>
      <c r="XV109" s="20" t="s">
        <v>1625</v>
      </c>
      <c r="XW109" s="20" t="s">
        <v>1626</v>
      </c>
      <c r="XX109" s="20" t="s">
        <v>1627</v>
      </c>
      <c r="XY109" s="20" t="s">
        <v>1628</v>
      </c>
    </row>
    <row r="110" spans="1:649" ht="13">
      <c r="A110" s="20">
        <v>698</v>
      </c>
      <c r="B110" s="21">
        <v>44981</v>
      </c>
      <c r="C110" s="20">
        <v>2023</v>
      </c>
      <c r="D110" s="20">
        <v>20230041</v>
      </c>
      <c r="E110" s="20">
        <v>37747</v>
      </c>
      <c r="F110" s="20" t="s">
        <v>885</v>
      </c>
      <c r="G110" s="20">
        <v>12470</v>
      </c>
      <c r="H110" s="20" t="s">
        <v>1070</v>
      </c>
      <c r="I110" s="20" t="s">
        <v>692</v>
      </c>
      <c r="J110" s="20" t="s">
        <v>693</v>
      </c>
      <c r="K110" s="20" t="s">
        <v>694</v>
      </c>
      <c r="L110" s="20">
        <v>77002</v>
      </c>
      <c r="M110" s="22">
        <v>44951.291666666664</v>
      </c>
      <c r="N110" s="20" t="s">
        <v>695</v>
      </c>
      <c r="O110" s="20" t="s">
        <v>698</v>
      </c>
      <c r="P110" s="20">
        <v>32.876224999999998</v>
      </c>
      <c r="Q110" s="20">
        <v>-91.052649000000002</v>
      </c>
      <c r="R110" s="20" t="s">
        <v>697</v>
      </c>
      <c r="W110" s="20">
        <v>3</v>
      </c>
      <c r="Y110" s="20">
        <v>3</v>
      </c>
      <c r="Z110" s="20" t="s">
        <v>698</v>
      </c>
      <c r="AF110" s="20">
        <v>0</v>
      </c>
      <c r="AG110" s="20" t="s">
        <v>698</v>
      </c>
      <c r="AM110" s="20">
        <v>0</v>
      </c>
      <c r="AN110" s="20" t="s">
        <v>699</v>
      </c>
      <c r="AP110" s="20" t="s">
        <v>700</v>
      </c>
      <c r="AQ110" s="23">
        <v>44951.291666666664</v>
      </c>
      <c r="AR110" s="20" t="s">
        <v>736</v>
      </c>
      <c r="AS110" s="20" t="s">
        <v>702</v>
      </c>
      <c r="AT110" s="20" t="s">
        <v>1341</v>
      </c>
      <c r="AZ110" s="20" t="s">
        <v>696</v>
      </c>
      <c r="BA110" s="20" t="s">
        <v>753</v>
      </c>
      <c r="BB110" s="23">
        <v>44951.371527777781</v>
      </c>
      <c r="BC110" s="23">
        <v>44951.291666666664</v>
      </c>
      <c r="BD110" s="23">
        <v>44951.291666666664</v>
      </c>
      <c r="BF110" s="20" t="s">
        <v>754</v>
      </c>
      <c r="BH110" s="20" t="s">
        <v>698</v>
      </c>
      <c r="BV110" s="20" t="s">
        <v>696</v>
      </c>
      <c r="BW110" s="23">
        <v>44951.295138888891</v>
      </c>
      <c r="BX110" s="20" t="s">
        <v>698</v>
      </c>
      <c r="CA110" s="20">
        <v>0</v>
      </c>
      <c r="CB110" s="20" t="s">
        <v>1193</v>
      </c>
      <c r="CC110" s="20" t="s">
        <v>1629</v>
      </c>
      <c r="CD110" s="20" t="s">
        <v>1195</v>
      </c>
      <c r="CE110" s="20">
        <v>39113</v>
      </c>
      <c r="CF110" s="20" t="s">
        <v>1196</v>
      </c>
      <c r="CG110" s="20" t="s">
        <v>1197</v>
      </c>
      <c r="CH110" s="20" t="s">
        <v>784</v>
      </c>
      <c r="CI110" s="20">
        <v>227</v>
      </c>
      <c r="CJ110" s="20" t="s">
        <v>698</v>
      </c>
      <c r="CK110" s="20" t="s">
        <v>712</v>
      </c>
      <c r="CL110" s="20" t="s">
        <v>713</v>
      </c>
      <c r="CM110" s="20" t="s">
        <v>758</v>
      </c>
      <c r="CP110" s="20" t="s">
        <v>698</v>
      </c>
      <c r="DM110" s="20" t="s">
        <v>743</v>
      </c>
      <c r="DN110" s="20" t="s">
        <v>744</v>
      </c>
      <c r="DO110" s="20" t="s">
        <v>745</v>
      </c>
      <c r="DP110" s="20" t="s">
        <v>698</v>
      </c>
      <c r="DQ110" s="20">
        <v>20</v>
      </c>
      <c r="DR110" s="20">
        <v>0.28100000000000003</v>
      </c>
      <c r="DS110" s="20">
        <v>52000</v>
      </c>
      <c r="DT110" s="20" t="s">
        <v>1630</v>
      </c>
      <c r="DU110" s="20" t="s">
        <v>857</v>
      </c>
      <c r="DW110" s="20" t="s">
        <v>1631</v>
      </c>
      <c r="DX110" s="20" t="s">
        <v>805</v>
      </c>
      <c r="DZ110" s="20" t="s">
        <v>728</v>
      </c>
      <c r="FK110" s="20">
        <v>1949</v>
      </c>
      <c r="FL110" s="20" t="s">
        <v>728</v>
      </c>
      <c r="FM110" s="20" t="s">
        <v>719</v>
      </c>
      <c r="FO110" s="20" t="s">
        <v>720</v>
      </c>
      <c r="FR110" s="20" t="s">
        <v>749</v>
      </c>
      <c r="FY110" s="20" t="s">
        <v>698</v>
      </c>
      <c r="GC110" s="20" t="s">
        <v>696</v>
      </c>
      <c r="GD110" s="20" t="s">
        <v>698</v>
      </c>
      <c r="GE110" s="20" t="s">
        <v>696</v>
      </c>
      <c r="GH110" s="20" t="s">
        <v>696</v>
      </c>
      <c r="GK110" s="20" t="s">
        <v>698</v>
      </c>
      <c r="GT110" s="20" t="s">
        <v>696</v>
      </c>
      <c r="GU110" s="20" t="s">
        <v>698</v>
      </c>
      <c r="HF110" s="20">
        <v>0</v>
      </c>
      <c r="HG110" s="20">
        <v>246</v>
      </c>
      <c r="HH110" s="20">
        <v>0</v>
      </c>
      <c r="HI110" s="20">
        <v>26050</v>
      </c>
      <c r="HJ110" s="20">
        <v>17430</v>
      </c>
      <c r="HK110" s="20">
        <v>0</v>
      </c>
      <c r="HM110" s="20">
        <v>43726</v>
      </c>
      <c r="HN110" s="20">
        <v>0</v>
      </c>
      <c r="HO110" s="20">
        <v>0</v>
      </c>
      <c r="HP110" s="20">
        <v>0</v>
      </c>
      <c r="HQ110" s="20">
        <v>0</v>
      </c>
      <c r="HR110" s="20">
        <v>5</v>
      </c>
      <c r="HS110" s="20">
        <v>285</v>
      </c>
      <c r="HT110" s="20" t="s">
        <v>787</v>
      </c>
      <c r="HV110" s="24">
        <v>42469</v>
      </c>
      <c r="HW110" s="20" t="s">
        <v>698</v>
      </c>
      <c r="HY110" s="20" t="s">
        <v>723</v>
      </c>
      <c r="HZ110" s="20" t="s">
        <v>698</v>
      </c>
      <c r="IS110" s="20" t="s">
        <v>724</v>
      </c>
      <c r="IT110" s="20" t="s">
        <v>696</v>
      </c>
      <c r="IU110" s="20" t="s">
        <v>696</v>
      </c>
      <c r="IV110" s="20" t="s">
        <v>696</v>
      </c>
      <c r="IW110" s="20" t="s">
        <v>698</v>
      </c>
      <c r="IX110" s="20" t="s">
        <v>698</v>
      </c>
      <c r="IY110" s="20" t="s">
        <v>698</v>
      </c>
      <c r="JD110" s="20" t="s">
        <v>725</v>
      </c>
      <c r="JE110" s="20" t="s">
        <v>726</v>
      </c>
      <c r="JR110" s="20" t="s">
        <v>698</v>
      </c>
      <c r="JS110" s="20" t="s">
        <v>698</v>
      </c>
      <c r="JX110" s="20" t="s">
        <v>833</v>
      </c>
      <c r="JY110" s="20" t="s">
        <v>834</v>
      </c>
      <c r="JZ110" s="20" t="s">
        <v>834</v>
      </c>
      <c r="LD110" s="20" t="s">
        <v>1442</v>
      </c>
      <c r="LF110" s="20" t="s">
        <v>696</v>
      </c>
      <c r="LL110" s="20" t="s">
        <v>696</v>
      </c>
      <c r="LP110" s="20" t="s">
        <v>696</v>
      </c>
      <c r="LU110" s="20" t="s">
        <v>696</v>
      </c>
      <c r="LV110" s="20" t="s">
        <v>698</v>
      </c>
      <c r="LW110" s="20" t="s">
        <v>838</v>
      </c>
      <c r="LX110" s="20" t="s">
        <v>838</v>
      </c>
      <c r="SC110" s="20" t="s">
        <v>698</v>
      </c>
      <c r="UO110" s="20" t="s">
        <v>698</v>
      </c>
      <c r="UR110" s="20" t="s">
        <v>698</v>
      </c>
      <c r="UZ110" s="20" t="s">
        <v>698</v>
      </c>
      <c r="XL110" s="20" t="s">
        <v>730</v>
      </c>
      <c r="XM110" s="20" t="s">
        <v>1360</v>
      </c>
      <c r="XN110" s="20" t="s">
        <v>732</v>
      </c>
      <c r="XO110" s="20" t="s">
        <v>733</v>
      </c>
      <c r="XQ110" s="24">
        <v>44981</v>
      </c>
      <c r="XU110" s="20" t="s">
        <v>730</v>
      </c>
      <c r="XV110" s="20" t="s">
        <v>733</v>
      </c>
      <c r="XW110" s="20" t="s">
        <v>1360</v>
      </c>
      <c r="XX110" s="20" t="s">
        <v>732</v>
      </c>
      <c r="XY110" s="20" t="s">
        <v>1632</v>
      </c>
    </row>
    <row r="111" spans="1:649" ht="13">
      <c r="A111" s="20">
        <v>715</v>
      </c>
      <c r="B111" s="21">
        <v>44947</v>
      </c>
      <c r="C111" s="20">
        <v>2022</v>
      </c>
      <c r="D111" s="20">
        <v>20230015</v>
      </c>
      <c r="E111" s="20">
        <v>37761</v>
      </c>
      <c r="F111" s="20" t="s">
        <v>825</v>
      </c>
      <c r="G111" s="20">
        <v>18718</v>
      </c>
      <c r="H111" s="20" t="s">
        <v>918</v>
      </c>
      <c r="I111" s="20" t="s">
        <v>692</v>
      </c>
      <c r="J111" s="20" t="s">
        <v>693</v>
      </c>
      <c r="K111" s="20" t="s">
        <v>694</v>
      </c>
      <c r="L111" s="20">
        <v>77002</v>
      </c>
      <c r="M111" s="22">
        <v>44924.416666666664</v>
      </c>
      <c r="N111" s="20" t="s">
        <v>695</v>
      </c>
      <c r="O111" s="20" t="s">
        <v>698</v>
      </c>
      <c r="P111" s="20">
        <v>32.483159999999998</v>
      </c>
      <c r="Q111" s="20">
        <v>-94.837230000000005</v>
      </c>
      <c r="R111" s="20" t="s">
        <v>697</v>
      </c>
      <c r="W111" s="20">
        <v>2</v>
      </c>
      <c r="Y111" s="20">
        <v>2</v>
      </c>
      <c r="Z111" s="20" t="s">
        <v>698</v>
      </c>
      <c r="AF111" s="20">
        <v>0</v>
      </c>
      <c r="AG111" s="20" t="s">
        <v>698</v>
      </c>
      <c r="AM111" s="20">
        <v>0</v>
      </c>
      <c r="AN111" s="20" t="s">
        <v>699</v>
      </c>
      <c r="AP111" s="20" t="s">
        <v>700</v>
      </c>
      <c r="AQ111" s="23">
        <v>44924.416666666664</v>
      </c>
      <c r="AR111" s="20" t="s">
        <v>701</v>
      </c>
      <c r="AS111" s="20" t="s">
        <v>702</v>
      </c>
      <c r="AT111" s="20" t="s">
        <v>703</v>
      </c>
      <c r="AU111" s="20" t="s">
        <v>698</v>
      </c>
      <c r="AV111" s="20" t="s">
        <v>1633</v>
      </c>
      <c r="AZ111" s="20" t="s">
        <v>696</v>
      </c>
      <c r="BA111" s="20" t="s">
        <v>753</v>
      </c>
      <c r="BB111" s="23">
        <v>44924.48333333333</v>
      </c>
      <c r="BC111" s="23">
        <v>44924.416666666664</v>
      </c>
      <c r="BD111" s="23">
        <v>44924.416666666664</v>
      </c>
      <c r="BF111" s="20" t="s">
        <v>754</v>
      </c>
      <c r="BH111" s="20" t="s">
        <v>698</v>
      </c>
      <c r="BV111" s="20" t="s">
        <v>696</v>
      </c>
      <c r="BW111" s="23">
        <v>44924.416666666664</v>
      </c>
      <c r="BX111" s="20" t="s">
        <v>698</v>
      </c>
      <c r="CA111" s="20">
        <v>0</v>
      </c>
      <c r="CB111" s="20" t="s">
        <v>1120</v>
      </c>
      <c r="CC111" s="20" t="s">
        <v>1399</v>
      </c>
      <c r="CD111" s="20" t="s">
        <v>694</v>
      </c>
      <c r="CE111" s="20">
        <v>75604</v>
      </c>
      <c r="CF111" s="20" t="s">
        <v>1122</v>
      </c>
      <c r="CG111" s="20" t="s">
        <v>1123</v>
      </c>
      <c r="CH111" s="20" t="s">
        <v>710</v>
      </c>
      <c r="CI111" s="20" t="s">
        <v>711</v>
      </c>
      <c r="CJ111" s="20" t="s">
        <v>698</v>
      </c>
      <c r="CK111" s="20" t="s">
        <v>712</v>
      </c>
      <c r="CL111" s="20" t="s">
        <v>741</v>
      </c>
      <c r="CM111" s="20" t="s">
        <v>1541</v>
      </c>
      <c r="CO111" s="20">
        <v>54</v>
      </c>
      <c r="CP111" s="20" t="s">
        <v>698</v>
      </c>
      <c r="DM111" s="20" t="s">
        <v>715</v>
      </c>
      <c r="DN111" s="20" t="s">
        <v>744</v>
      </c>
      <c r="DO111" s="20" t="s">
        <v>745</v>
      </c>
      <c r="DP111" s="20" t="s">
        <v>698</v>
      </c>
      <c r="DQ111" s="20">
        <v>20</v>
      </c>
      <c r="DR111" s="20">
        <v>0.37</v>
      </c>
      <c r="DS111" s="20">
        <v>42000</v>
      </c>
      <c r="DT111" s="20" t="s">
        <v>1220</v>
      </c>
      <c r="DU111" s="20" t="s">
        <v>857</v>
      </c>
      <c r="DW111" s="20" t="s">
        <v>728</v>
      </c>
      <c r="DX111" s="20" t="s">
        <v>748</v>
      </c>
      <c r="DZ111" s="20" t="s">
        <v>728</v>
      </c>
      <c r="FK111" s="20">
        <v>2016</v>
      </c>
      <c r="FL111" s="20" t="s">
        <v>728</v>
      </c>
      <c r="FM111" s="20" t="s">
        <v>719</v>
      </c>
      <c r="FO111" s="20" t="s">
        <v>720</v>
      </c>
      <c r="FR111" s="20" t="s">
        <v>749</v>
      </c>
      <c r="FY111" s="20" t="s">
        <v>698</v>
      </c>
      <c r="GC111" s="20" t="s">
        <v>696</v>
      </c>
      <c r="GD111" s="20" t="s">
        <v>698</v>
      </c>
      <c r="GE111" s="20" t="s">
        <v>696</v>
      </c>
      <c r="GH111" s="20" t="s">
        <v>696</v>
      </c>
      <c r="GK111" s="20" t="s">
        <v>698</v>
      </c>
      <c r="GT111" s="20" t="s">
        <v>698</v>
      </c>
      <c r="GU111" s="20" t="s">
        <v>698</v>
      </c>
      <c r="HF111" s="20">
        <v>0</v>
      </c>
      <c r="HG111" s="20">
        <v>140</v>
      </c>
      <c r="HH111" s="20">
        <v>2736</v>
      </c>
      <c r="HI111" s="20">
        <v>0</v>
      </c>
      <c r="HJ111" s="20">
        <v>3000</v>
      </c>
      <c r="HK111" s="20">
        <v>0</v>
      </c>
      <c r="HM111" s="20">
        <v>5876</v>
      </c>
      <c r="HN111" s="20">
        <v>0</v>
      </c>
      <c r="HO111" s="20">
        <v>0</v>
      </c>
      <c r="HP111" s="20">
        <v>0</v>
      </c>
      <c r="HQ111" s="20">
        <v>0</v>
      </c>
      <c r="HR111" s="20">
        <v>40</v>
      </c>
      <c r="HS111" s="20">
        <v>285</v>
      </c>
      <c r="HT111" s="20" t="s">
        <v>750</v>
      </c>
      <c r="HV111" s="24">
        <v>42463</v>
      </c>
      <c r="HW111" s="20" t="s">
        <v>698</v>
      </c>
      <c r="HY111" s="20" t="s">
        <v>723</v>
      </c>
      <c r="HZ111" s="20" t="s">
        <v>698</v>
      </c>
      <c r="IS111" s="20" t="s">
        <v>724</v>
      </c>
      <c r="IT111" s="20" t="s">
        <v>698</v>
      </c>
      <c r="IY111" s="20" t="s">
        <v>698</v>
      </c>
      <c r="JD111" s="20" t="s">
        <v>725</v>
      </c>
      <c r="JE111" s="20" t="s">
        <v>726</v>
      </c>
      <c r="JR111" s="20" t="s">
        <v>698</v>
      </c>
      <c r="JS111" s="20" t="s">
        <v>698</v>
      </c>
      <c r="JX111" s="20" t="s">
        <v>833</v>
      </c>
      <c r="JY111" s="20" t="s">
        <v>834</v>
      </c>
      <c r="JZ111" s="20" t="s">
        <v>834</v>
      </c>
      <c r="LD111" s="20" t="s">
        <v>835</v>
      </c>
      <c r="LG111" s="20" t="s">
        <v>696</v>
      </c>
      <c r="LL111" s="20" t="s">
        <v>696</v>
      </c>
      <c r="LP111" s="20" t="s">
        <v>696</v>
      </c>
      <c r="LU111" s="20" t="s">
        <v>698</v>
      </c>
      <c r="LV111" s="20" t="s">
        <v>698</v>
      </c>
      <c r="LW111" s="20" t="s">
        <v>838</v>
      </c>
      <c r="LX111" s="20" t="s">
        <v>838</v>
      </c>
      <c r="SC111" s="20" t="s">
        <v>698</v>
      </c>
      <c r="UO111" s="20" t="s">
        <v>698</v>
      </c>
      <c r="UR111" s="20" t="s">
        <v>698</v>
      </c>
      <c r="UZ111" s="20" t="s">
        <v>698</v>
      </c>
      <c r="XL111" s="20" t="s">
        <v>730</v>
      </c>
      <c r="XM111" s="20" t="s">
        <v>1360</v>
      </c>
      <c r="XN111" s="20" t="s">
        <v>732</v>
      </c>
      <c r="XO111" s="20" t="s">
        <v>733</v>
      </c>
      <c r="XQ111" s="24">
        <v>44986</v>
      </c>
      <c r="XU111" s="20" t="s">
        <v>730</v>
      </c>
      <c r="XV111" s="20" t="s">
        <v>733</v>
      </c>
      <c r="XW111" s="20" t="s">
        <v>1360</v>
      </c>
      <c r="XX111" s="20" t="s">
        <v>732</v>
      </c>
      <c r="XY111" s="20" t="s">
        <v>1634</v>
      </c>
    </row>
    <row r="112" spans="1:649" ht="13">
      <c r="A112" s="20">
        <v>724</v>
      </c>
      <c r="B112" s="21">
        <v>44946</v>
      </c>
      <c r="C112" s="20">
        <v>2022</v>
      </c>
      <c r="D112" s="20">
        <v>20230014</v>
      </c>
      <c r="E112" s="20">
        <v>38640</v>
      </c>
      <c r="F112" s="20" t="s">
        <v>825</v>
      </c>
      <c r="G112" s="20">
        <v>12470</v>
      </c>
      <c r="H112" s="20" t="s">
        <v>1070</v>
      </c>
      <c r="I112" s="20" t="s">
        <v>692</v>
      </c>
      <c r="J112" s="20" t="s">
        <v>693</v>
      </c>
      <c r="K112" s="20" t="s">
        <v>694</v>
      </c>
      <c r="L112" s="20">
        <v>77002</v>
      </c>
      <c r="M112" s="22">
        <v>44918.334027777775</v>
      </c>
      <c r="N112" s="20" t="s">
        <v>843</v>
      </c>
      <c r="O112" s="20" t="s">
        <v>698</v>
      </c>
      <c r="P112" s="20">
        <v>41.228104000000002</v>
      </c>
      <c r="Q112" s="20">
        <v>-83.640084999999999</v>
      </c>
      <c r="R112" s="20" t="s">
        <v>697</v>
      </c>
      <c r="W112" s="20">
        <v>1974</v>
      </c>
      <c r="Y112" s="20">
        <v>1974</v>
      </c>
      <c r="Z112" s="20" t="s">
        <v>698</v>
      </c>
      <c r="AF112" s="20">
        <v>0</v>
      </c>
      <c r="AG112" s="20" t="s">
        <v>698</v>
      </c>
      <c r="AM112" s="20">
        <v>0</v>
      </c>
      <c r="AN112" s="20" t="s">
        <v>699</v>
      </c>
      <c r="AP112" s="20" t="s">
        <v>700</v>
      </c>
      <c r="AQ112" s="23">
        <v>44918.344444444447</v>
      </c>
      <c r="AR112" s="20" t="s">
        <v>776</v>
      </c>
      <c r="AS112" s="20" t="s">
        <v>702</v>
      </c>
      <c r="AT112" s="20" t="s">
        <v>1341</v>
      </c>
      <c r="AZ112" s="20" t="s">
        <v>696</v>
      </c>
      <c r="BA112" s="20" t="s">
        <v>1239</v>
      </c>
      <c r="BB112" s="23">
        <v>44918.386805555558</v>
      </c>
      <c r="BC112" s="23">
        <v>44918.336111111108</v>
      </c>
      <c r="BD112" s="23">
        <v>44918.344444444447</v>
      </c>
      <c r="BE112" s="23">
        <v>44918.379861111112</v>
      </c>
      <c r="BF112" s="20">
        <v>1355715</v>
      </c>
      <c r="BG112" s="20" t="s">
        <v>1635</v>
      </c>
      <c r="BH112" s="20" t="s">
        <v>698</v>
      </c>
      <c r="BN112" s="20" t="s">
        <v>777</v>
      </c>
      <c r="BP112" s="23">
        <v>44918.336111111108</v>
      </c>
      <c r="BQ112" s="20" t="s">
        <v>798</v>
      </c>
      <c r="BR112" s="20" t="s">
        <v>777</v>
      </c>
      <c r="BT112" s="23">
        <v>44918.336111111108</v>
      </c>
      <c r="BU112" s="20" t="s">
        <v>798</v>
      </c>
      <c r="BV112" s="20" t="s">
        <v>696</v>
      </c>
      <c r="BW112" s="23">
        <v>44918.344444444447</v>
      </c>
      <c r="BX112" s="20" t="s">
        <v>696</v>
      </c>
      <c r="BY112" s="23">
        <v>44918.354166666664</v>
      </c>
      <c r="BZ112" s="23">
        <v>44918.454861111109</v>
      </c>
      <c r="CA112" s="20">
        <v>0</v>
      </c>
      <c r="CB112" s="20" t="s">
        <v>1636</v>
      </c>
      <c r="CC112" s="20" t="s">
        <v>1637</v>
      </c>
      <c r="CD112" s="20" t="s">
        <v>1075</v>
      </c>
      <c r="CE112" s="20">
        <v>43413</v>
      </c>
      <c r="CF112" s="20" t="s">
        <v>1536</v>
      </c>
      <c r="CG112" s="20" t="s">
        <v>1472</v>
      </c>
      <c r="CH112" s="20" t="s">
        <v>710</v>
      </c>
      <c r="CI112" s="20" t="s">
        <v>1638</v>
      </c>
      <c r="CJ112" s="20" t="s">
        <v>698</v>
      </c>
      <c r="CK112" s="20" t="s">
        <v>891</v>
      </c>
      <c r="CL112" s="20" t="s">
        <v>713</v>
      </c>
      <c r="CM112" s="20" t="s">
        <v>758</v>
      </c>
      <c r="CP112" s="20" t="s">
        <v>698</v>
      </c>
      <c r="DM112" s="20" t="s">
        <v>743</v>
      </c>
      <c r="DN112" s="20" t="s">
        <v>1141</v>
      </c>
      <c r="EA112" s="20" t="s">
        <v>1498</v>
      </c>
      <c r="FK112" s="20">
        <v>1949</v>
      </c>
      <c r="FL112" s="20" t="s">
        <v>728</v>
      </c>
      <c r="FM112" s="20" t="s">
        <v>719</v>
      </c>
      <c r="FO112" s="20" t="s">
        <v>720</v>
      </c>
      <c r="FR112" s="20" t="s">
        <v>768</v>
      </c>
      <c r="FY112" s="20" t="s">
        <v>698</v>
      </c>
      <c r="GC112" s="20" t="s">
        <v>696</v>
      </c>
      <c r="GD112" s="20" t="s">
        <v>696</v>
      </c>
      <c r="GE112" s="20" t="s">
        <v>696</v>
      </c>
      <c r="GH112" s="20" t="s">
        <v>696</v>
      </c>
      <c r="GK112" s="20" t="s">
        <v>698</v>
      </c>
      <c r="GT112" s="20" t="s">
        <v>698</v>
      </c>
      <c r="GU112" s="20" t="s">
        <v>698</v>
      </c>
      <c r="HF112" s="20">
        <v>54000</v>
      </c>
      <c r="HG112" s="20">
        <v>51794</v>
      </c>
      <c r="HH112" s="20">
        <v>246723</v>
      </c>
      <c r="HI112" s="20">
        <v>1387071</v>
      </c>
      <c r="HJ112" s="20">
        <v>567360</v>
      </c>
      <c r="HK112" s="20">
        <v>0</v>
      </c>
      <c r="HM112" s="20">
        <v>2306948</v>
      </c>
      <c r="HN112" s="20">
        <v>0</v>
      </c>
      <c r="HO112" s="20">
        <v>0</v>
      </c>
      <c r="HP112" s="20">
        <v>0</v>
      </c>
      <c r="HQ112" s="20">
        <v>0</v>
      </c>
      <c r="HR112" s="20">
        <v>75</v>
      </c>
      <c r="HS112" s="20">
        <v>788</v>
      </c>
      <c r="HT112" s="20" t="s">
        <v>787</v>
      </c>
      <c r="HV112" s="24">
        <v>25204</v>
      </c>
      <c r="HW112" s="20" t="s">
        <v>698</v>
      </c>
      <c r="HY112" s="20" t="s">
        <v>723</v>
      </c>
      <c r="HZ112" s="20" t="s">
        <v>698</v>
      </c>
      <c r="IC112" s="20">
        <v>166</v>
      </c>
      <c r="ID112" s="20" t="s">
        <v>696</v>
      </c>
      <c r="IL112" s="20" t="s">
        <v>698</v>
      </c>
      <c r="IS112" s="20" t="s">
        <v>724</v>
      </c>
      <c r="IT112" s="20" t="s">
        <v>696</v>
      </c>
      <c r="IU112" s="20" t="s">
        <v>696</v>
      </c>
      <c r="IV112" s="20" t="s">
        <v>696</v>
      </c>
      <c r="IW112" s="20" t="s">
        <v>696</v>
      </c>
      <c r="IX112" s="20" t="s">
        <v>696</v>
      </c>
      <c r="IY112" s="20" t="s">
        <v>696</v>
      </c>
      <c r="IZ112" s="20" t="s">
        <v>696</v>
      </c>
      <c r="JA112" s="20" t="s">
        <v>696</v>
      </c>
      <c r="JB112" s="20" t="s">
        <v>696</v>
      </c>
      <c r="JC112" s="20" t="s">
        <v>696</v>
      </c>
      <c r="JD112" s="20" t="s">
        <v>859</v>
      </c>
      <c r="JF112" s="20" t="s">
        <v>696</v>
      </c>
      <c r="JI112" s="20" t="s">
        <v>696</v>
      </c>
      <c r="JR112" s="20" t="s">
        <v>696</v>
      </c>
      <c r="JS112" s="20" t="s">
        <v>698</v>
      </c>
      <c r="JT112" s="20">
        <v>1</v>
      </c>
      <c r="JU112" s="20">
        <v>0</v>
      </c>
      <c r="JX112" s="20" t="s">
        <v>929</v>
      </c>
      <c r="JY112" s="20" t="s">
        <v>1500</v>
      </c>
      <c r="PC112" s="20" t="s">
        <v>696</v>
      </c>
      <c r="PG112" s="20" t="s">
        <v>1500</v>
      </c>
      <c r="PL112" s="20" t="s">
        <v>696</v>
      </c>
      <c r="PM112" s="20" t="s">
        <v>1639</v>
      </c>
      <c r="PT112" s="20" t="s">
        <v>696</v>
      </c>
      <c r="QA112" s="20" t="s">
        <v>696</v>
      </c>
      <c r="SC112" s="20" t="s">
        <v>696</v>
      </c>
      <c r="SD112" s="20" t="s">
        <v>696</v>
      </c>
      <c r="SF112" s="20" t="s">
        <v>696</v>
      </c>
      <c r="SK112" s="20">
        <v>2020</v>
      </c>
      <c r="SL112" s="20" t="s">
        <v>863</v>
      </c>
      <c r="SM112" s="20" t="s">
        <v>864</v>
      </c>
      <c r="SO112" s="20" t="s">
        <v>865</v>
      </c>
      <c r="SQ112" s="20">
        <v>2016</v>
      </c>
      <c r="SR112" s="20" t="s">
        <v>863</v>
      </c>
      <c r="SS112" s="20" t="s">
        <v>864</v>
      </c>
      <c r="SU112" s="20" t="s">
        <v>865</v>
      </c>
      <c r="TE112" s="20">
        <v>2015</v>
      </c>
      <c r="TF112" s="20" t="s">
        <v>863</v>
      </c>
      <c r="TG112" s="20" t="s">
        <v>768</v>
      </c>
      <c r="UO112" s="20" t="s">
        <v>696</v>
      </c>
      <c r="UP112" s="20">
        <v>1969</v>
      </c>
      <c r="UQ112" s="20">
        <v>984</v>
      </c>
      <c r="UR112" s="20" t="s">
        <v>698</v>
      </c>
      <c r="UZ112" s="20" t="s">
        <v>698</v>
      </c>
      <c r="XL112" s="20" t="s">
        <v>730</v>
      </c>
      <c r="XM112" s="20" t="s">
        <v>1360</v>
      </c>
      <c r="XN112" s="20" t="s">
        <v>732</v>
      </c>
      <c r="XO112" s="20" t="s">
        <v>733</v>
      </c>
      <c r="XQ112" s="24">
        <v>45209</v>
      </c>
      <c r="XU112" s="20" t="s">
        <v>730</v>
      </c>
      <c r="XV112" s="20" t="s">
        <v>733</v>
      </c>
      <c r="XW112" s="20" t="s">
        <v>1360</v>
      </c>
      <c r="XX112" s="20" t="s">
        <v>732</v>
      </c>
      <c r="XY112" s="20" t="s">
        <v>1640</v>
      </c>
    </row>
    <row r="113" spans="1:649" ht="13">
      <c r="A113" s="20">
        <v>729</v>
      </c>
      <c r="B113" s="21">
        <v>44944</v>
      </c>
      <c r="C113" s="20">
        <v>2022</v>
      </c>
      <c r="D113" s="20">
        <v>20230010</v>
      </c>
      <c r="E113" s="20">
        <v>37589</v>
      </c>
      <c r="F113" s="20" t="s">
        <v>885</v>
      </c>
      <c r="G113" s="20">
        <v>18718</v>
      </c>
      <c r="H113" s="20" t="s">
        <v>918</v>
      </c>
      <c r="I113" s="20" t="s">
        <v>692</v>
      </c>
      <c r="J113" s="20" t="s">
        <v>693</v>
      </c>
      <c r="K113" s="20" t="s">
        <v>694</v>
      </c>
      <c r="L113" s="20">
        <v>77002</v>
      </c>
      <c r="M113" s="22">
        <v>44913.385416666664</v>
      </c>
      <c r="N113" s="20" t="s">
        <v>695</v>
      </c>
      <c r="O113" s="20" t="s">
        <v>698</v>
      </c>
      <c r="P113" s="20">
        <v>32.483159999999998</v>
      </c>
      <c r="Q113" s="20">
        <v>-94.837230000000005</v>
      </c>
      <c r="R113" s="20" t="s">
        <v>697</v>
      </c>
      <c r="W113" s="20">
        <v>75</v>
      </c>
      <c r="Y113" s="20">
        <v>70</v>
      </c>
      <c r="Z113" s="20" t="s">
        <v>698</v>
      </c>
      <c r="AF113" s="20">
        <v>0</v>
      </c>
      <c r="AG113" s="20" t="s">
        <v>698</v>
      </c>
      <c r="AM113" s="20">
        <v>0</v>
      </c>
      <c r="AN113" s="20" t="s">
        <v>699</v>
      </c>
      <c r="AP113" s="20" t="s">
        <v>700</v>
      </c>
      <c r="AQ113" s="23">
        <v>44913.385416666664</v>
      </c>
      <c r="AR113" s="20" t="s">
        <v>701</v>
      </c>
      <c r="AS113" s="20" t="s">
        <v>702</v>
      </c>
      <c r="AT113" s="20" t="s">
        <v>703</v>
      </c>
      <c r="AU113" s="20" t="s">
        <v>696</v>
      </c>
      <c r="AW113" s="23">
        <v>44913.385416666664</v>
      </c>
      <c r="AX113" s="23">
        <v>44915.375</v>
      </c>
      <c r="AZ113" s="20" t="s">
        <v>696</v>
      </c>
      <c r="BA113" s="20" t="s">
        <v>753</v>
      </c>
      <c r="BB113" s="23">
        <v>44913.431250000001</v>
      </c>
      <c r="BC113" s="23">
        <v>44913.385416666664</v>
      </c>
      <c r="BD113" s="23">
        <v>44913.645833333336</v>
      </c>
      <c r="BE113" s="23">
        <v>44913.4375</v>
      </c>
      <c r="BF113" s="20">
        <v>1355300</v>
      </c>
      <c r="BG113" s="20">
        <v>1355423</v>
      </c>
      <c r="BH113" s="20" t="s">
        <v>698</v>
      </c>
      <c r="BV113" s="20" t="s">
        <v>696</v>
      </c>
      <c r="BW113" s="23">
        <v>44913.385416666664</v>
      </c>
      <c r="BX113" s="20" t="s">
        <v>698</v>
      </c>
      <c r="CA113" s="20">
        <v>0</v>
      </c>
      <c r="CB113" s="20" t="s">
        <v>1120</v>
      </c>
      <c r="CC113" s="20" t="s">
        <v>1399</v>
      </c>
      <c r="CD113" s="20" t="s">
        <v>694</v>
      </c>
      <c r="CE113" s="20">
        <v>75604</v>
      </c>
      <c r="CF113" s="20" t="s">
        <v>1122</v>
      </c>
      <c r="CG113" s="20" t="s">
        <v>1123</v>
      </c>
      <c r="CH113" s="20" t="s">
        <v>710</v>
      </c>
      <c r="CI113" s="20" t="s">
        <v>711</v>
      </c>
      <c r="CJ113" s="20" t="s">
        <v>698</v>
      </c>
      <c r="CK113" s="20" t="s">
        <v>712</v>
      </c>
      <c r="CL113" s="20" t="s">
        <v>741</v>
      </c>
      <c r="CM113" s="20" t="s">
        <v>742</v>
      </c>
      <c r="CO113" s="20">
        <v>54</v>
      </c>
      <c r="CP113" s="20" t="s">
        <v>698</v>
      </c>
      <c r="DM113" s="20" t="s">
        <v>715</v>
      </c>
      <c r="DN113" s="20" t="s">
        <v>744</v>
      </c>
      <c r="DO113" s="20" t="s">
        <v>745</v>
      </c>
      <c r="DP113" s="20" t="s">
        <v>698</v>
      </c>
      <c r="DQ113" s="20">
        <v>20</v>
      </c>
      <c r="DR113" s="20">
        <v>0.37</v>
      </c>
      <c r="DS113" s="20">
        <v>42000</v>
      </c>
      <c r="DT113" s="20" t="s">
        <v>1641</v>
      </c>
      <c r="DU113" s="20" t="s">
        <v>857</v>
      </c>
      <c r="DW113" s="20" t="s">
        <v>728</v>
      </c>
      <c r="DX113" s="20" t="s">
        <v>748</v>
      </c>
      <c r="DZ113" s="20" t="s">
        <v>728</v>
      </c>
      <c r="FK113" s="20">
        <v>2016</v>
      </c>
      <c r="FL113" s="20" t="s">
        <v>728</v>
      </c>
      <c r="FM113" s="20" t="s">
        <v>719</v>
      </c>
      <c r="FO113" s="20" t="s">
        <v>720</v>
      </c>
      <c r="FR113" s="20" t="s">
        <v>749</v>
      </c>
      <c r="FY113" s="20" t="s">
        <v>698</v>
      </c>
      <c r="GC113" s="20" t="s">
        <v>696</v>
      </c>
      <c r="GD113" s="20" t="s">
        <v>698</v>
      </c>
      <c r="GE113" s="20" t="s">
        <v>696</v>
      </c>
      <c r="GH113" s="20" t="s">
        <v>696</v>
      </c>
      <c r="GK113" s="20" t="s">
        <v>698</v>
      </c>
      <c r="GT113" s="20" t="s">
        <v>698</v>
      </c>
      <c r="GU113" s="20" t="s">
        <v>698</v>
      </c>
      <c r="HF113" s="20">
        <v>0</v>
      </c>
      <c r="HG113" s="20">
        <v>375</v>
      </c>
      <c r="HH113" s="20">
        <v>60000</v>
      </c>
      <c r="HI113" s="20">
        <v>80000</v>
      </c>
      <c r="HJ113" s="20">
        <v>60000</v>
      </c>
      <c r="HK113" s="20">
        <v>0</v>
      </c>
      <c r="HM113" s="20">
        <v>200375</v>
      </c>
      <c r="HN113" s="20">
        <v>0</v>
      </c>
      <c r="HO113" s="20">
        <v>0</v>
      </c>
      <c r="HP113" s="20">
        <v>0</v>
      </c>
      <c r="HQ113" s="20">
        <v>0</v>
      </c>
      <c r="HR113" s="20">
        <v>160</v>
      </c>
      <c r="HS113" s="20">
        <v>285</v>
      </c>
      <c r="HT113" s="20" t="s">
        <v>750</v>
      </c>
      <c r="HV113" s="24">
        <v>42463</v>
      </c>
      <c r="HW113" s="20" t="s">
        <v>698</v>
      </c>
      <c r="HY113" s="20" t="s">
        <v>723</v>
      </c>
      <c r="HZ113" s="20" t="s">
        <v>698</v>
      </c>
      <c r="IS113" s="20" t="s">
        <v>724</v>
      </c>
      <c r="IT113" s="20" t="s">
        <v>698</v>
      </c>
      <c r="IY113" s="20" t="s">
        <v>698</v>
      </c>
      <c r="JD113" s="20" t="s">
        <v>725</v>
      </c>
      <c r="JE113" s="20" t="s">
        <v>726</v>
      </c>
      <c r="JR113" s="20" t="s">
        <v>698</v>
      </c>
      <c r="JS113" s="20" t="s">
        <v>698</v>
      </c>
      <c r="JX113" s="20" t="s">
        <v>833</v>
      </c>
      <c r="JY113" s="20" t="s">
        <v>834</v>
      </c>
      <c r="JZ113" s="20" t="s">
        <v>834</v>
      </c>
      <c r="LD113" s="20" t="s">
        <v>835</v>
      </c>
      <c r="LG113" s="20" t="s">
        <v>696</v>
      </c>
      <c r="LL113" s="20" t="s">
        <v>696</v>
      </c>
      <c r="LP113" s="20" t="s">
        <v>696</v>
      </c>
      <c r="LU113" s="20" t="s">
        <v>698</v>
      </c>
      <c r="LV113" s="20" t="s">
        <v>698</v>
      </c>
      <c r="LW113" s="20" t="s">
        <v>838</v>
      </c>
      <c r="LX113" s="20" t="s">
        <v>838</v>
      </c>
      <c r="SC113" s="20" t="s">
        <v>698</v>
      </c>
      <c r="UO113" s="20" t="s">
        <v>698</v>
      </c>
      <c r="UR113" s="20" t="s">
        <v>698</v>
      </c>
      <c r="UZ113" s="20" t="s">
        <v>698</v>
      </c>
      <c r="XL113" s="20" t="s">
        <v>730</v>
      </c>
      <c r="XN113" s="20" t="s">
        <v>732</v>
      </c>
      <c r="XO113" s="20" t="s">
        <v>733</v>
      </c>
      <c r="XQ113" s="24">
        <v>44944</v>
      </c>
      <c r="XU113" s="20" t="s">
        <v>730</v>
      </c>
      <c r="XV113" s="20" t="s">
        <v>733</v>
      </c>
      <c r="XW113" s="20" t="s">
        <v>1360</v>
      </c>
      <c r="XX113" s="20" t="s">
        <v>732</v>
      </c>
      <c r="XY113" s="20" t="s">
        <v>1642</v>
      </c>
    </row>
    <row r="114" spans="1:649" ht="13">
      <c r="A114" s="20">
        <v>730</v>
      </c>
      <c r="B114" s="21">
        <v>44939</v>
      </c>
      <c r="C114" s="20">
        <v>2022</v>
      </c>
      <c r="D114" s="20">
        <v>20230008</v>
      </c>
      <c r="E114" s="20">
        <v>38386</v>
      </c>
      <c r="F114" s="20" t="s">
        <v>825</v>
      </c>
      <c r="G114" s="20">
        <v>18718</v>
      </c>
      <c r="H114" s="20" t="s">
        <v>918</v>
      </c>
      <c r="I114" s="20" t="s">
        <v>692</v>
      </c>
      <c r="J114" s="20" t="s">
        <v>693</v>
      </c>
      <c r="K114" s="20" t="s">
        <v>694</v>
      </c>
      <c r="L114" s="20">
        <v>77002</v>
      </c>
      <c r="M114" s="22">
        <v>44911.305555555555</v>
      </c>
      <c r="N114" s="20" t="s">
        <v>843</v>
      </c>
      <c r="O114" s="20" t="s">
        <v>698</v>
      </c>
      <c r="P114" s="20">
        <v>40.315254000000003</v>
      </c>
      <c r="Q114" s="20">
        <v>-76.036846999999995</v>
      </c>
      <c r="R114" s="20" t="s">
        <v>844</v>
      </c>
      <c r="S114" s="20" t="s">
        <v>936</v>
      </c>
      <c r="W114" s="20">
        <v>51</v>
      </c>
      <c r="Y114" s="20">
        <v>51</v>
      </c>
      <c r="Z114" s="20" t="s">
        <v>698</v>
      </c>
      <c r="AF114" s="20">
        <v>0</v>
      </c>
      <c r="AG114" s="20" t="s">
        <v>698</v>
      </c>
      <c r="AM114" s="20">
        <v>0</v>
      </c>
      <c r="AN114" s="20" t="s">
        <v>699</v>
      </c>
      <c r="AP114" s="20" t="s">
        <v>700</v>
      </c>
      <c r="AQ114" s="23">
        <v>44911.305555555555</v>
      </c>
      <c r="AR114" s="20" t="s">
        <v>736</v>
      </c>
      <c r="AS114" s="20" t="s">
        <v>702</v>
      </c>
      <c r="AT114" s="20" t="s">
        <v>703</v>
      </c>
      <c r="AU114" s="20" t="s">
        <v>696</v>
      </c>
      <c r="AW114" s="23">
        <v>44911.319444444445</v>
      </c>
      <c r="AX114" s="23">
        <v>44915.708333333336</v>
      </c>
      <c r="AZ114" s="20" t="s">
        <v>696</v>
      </c>
      <c r="BA114" s="20" t="s">
        <v>753</v>
      </c>
      <c r="BB114" s="23">
        <v>44911.441666666666</v>
      </c>
      <c r="BC114" s="23">
        <v>44911.315972222219</v>
      </c>
      <c r="BD114" s="23">
        <v>44911.395833333336</v>
      </c>
      <c r="BE114" s="23">
        <v>44911.441666666666</v>
      </c>
      <c r="BF114" s="20">
        <v>1355145</v>
      </c>
      <c r="BG114" s="20">
        <v>1355299</v>
      </c>
      <c r="BH114" s="20" t="s">
        <v>698</v>
      </c>
      <c r="BV114" s="20" t="s">
        <v>696</v>
      </c>
      <c r="BW114" s="23">
        <v>44911.305555555555</v>
      </c>
      <c r="BX114" s="20" t="s">
        <v>696</v>
      </c>
      <c r="BY114" s="23">
        <v>44911.333333333336</v>
      </c>
      <c r="BZ114" s="23">
        <v>44911.4375</v>
      </c>
      <c r="CA114" s="20">
        <v>0</v>
      </c>
      <c r="CB114" s="20" t="s">
        <v>1643</v>
      </c>
      <c r="CC114" s="20" t="s">
        <v>1644</v>
      </c>
      <c r="CD114" s="20" t="s">
        <v>921</v>
      </c>
      <c r="CE114" s="20">
        <v>19608</v>
      </c>
      <c r="CF114" s="20" t="s">
        <v>1325</v>
      </c>
      <c r="CG114" s="20" t="s">
        <v>1030</v>
      </c>
      <c r="CH114" s="20" t="s">
        <v>784</v>
      </c>
      <c r="CI114" s="20" t="s">
        <v>711</v>
      </c>
      <c r="CJ114" s="20" t="s">
        <v>698</v>
      </c>
      <c r="CK114" s="20" t="s">
        <v>712</v>
      </c>
      <c r="CL114" s="20" t="s">
        <v>741</v>
      </c>
      <c r="CM114" s="20" t="s">
        <v>742</v>
      </c>
      <c r="CO114" s="20">
        <v>96</v>
      </c>
      <c r="CP114" s="20" t="s">
        <v>696</v>
      </c>
      <c r="CS114" s="20" t="s">
        <v>696</v>
      </c>
      <c r="CT114" s="20" t="s">
        <v>879</v>
      </c>
      <c r="DM114" s="20" t="s">
        <v>743</v>
      </c>
      <c r="DN114" s="20" t="s">
        <v>744</v>
      </c>
      <c r="DO114" s="20" t="s">
        <v>745</v>
      </c>
      <c r="DP114" s="20" t="s">
        <v>698</v>
      </c>
      <c r="DQ114" s="20">
        <v>12</v>
      </c>
      <c r="DR114" s="20">
        <v>0.375</v>
      </c>
      <c r="DS114" s="20">
        <v>35000</v>
      </c>
      <c r="DT114" s="20" t="s">
        <v>728</v>
      </c>
      <c r="DU114" s="20" t="s">
        <v>926</v>
      </c>
      <c r="DW114" s="20" t="s">
        <v>728</v>
      </c>
      <c r="DX114" s="20" t="s">
        <v>805</v>
      </c>
      <c r="DZ114" s="20" t="s">
        <v>728</v>
      </c>
      <c r="FK114" s="20">
        <v>1949</v>
      </c>
      <c r="FL114" s="20" t="s">
        <v>728</v>
      </c>
      <c r="FM114" s="20" t="s">
        <v>719</v>
      </c>
      <c r="FO114" s="20" t="s">
        <v>720</v>
      </c>
      <c r="FR114" s="20" t="s">
        <v>749</v>
      </c>
      <c r="FY114" s="20" t="s">
        <v>698</v>
      </c>
      <c r="GC114" s="20" t="s">
        <v>696</v>
      </c>
      <c r="GD114" s="20" t="s">
        <v>698</v>
      </c>
      <c r="GE114" s="20" t="s">
        <v>698</v>
      </c>
      <c r="GK114" s="20" t="s">
        <v>698</v>
      </c>
      <c r="GT114" s="20" t="s">
        <v>696</v>
      </c>
      <c r="GU114" s="20" t="s">
        <v>696</v>
      </c>
      <c r="GX114" s="20" t="s">
        <v>696</v>
      </c>
      <c r="GY114" s="20" t="s">
        <v>696</v>
      </c>
      <c r="HB114" s="20" t="s">
        <v>696</v>
      </c>
      <c r="HC114" s="20" t="s">
        <v>696</v>
      </c>
      <c r="HF114" s="20">
        <v>0</v>
      </c>
      <c r="HG114" s="20">
        <v>6426</v>
      </c>
      <c r="HH114" s="20">
        <v>50000</v>
      </c>
      <c r="HI114" s="20">
        <v>77000</v>
      </c>
      <c r="HJ114" s="20">
        <v>50000</v>
      </c>
      <c r="HK114" s="20">
        <v>0</v>
      </c>
      <c r="HM114" s="20">
        <v>183426</v>
      </c>
      <c r="HN114" s="20">
        <v>0</v>
      </c>
      <c r="HO114" s="20">
        <v>0</v>
      </c>
      <c r="HP114" s="20">
        <v>0</v>
      </c>
      <c r="HQ114" s="20">
        <v>0</v>
      </c>
      <c r="HR114" s="20">
        <v>80</v>
      </c>
      <c r="HS114" s="20">
        <v>285</v>
      </c>
      <c r="HT114" s="20" t="s">
        <v>750</v>
      </c>
      <c r="HV114" s="24">
        <v>18050</v>
      </c>
      <c r="HW114" s="20" t="s">
        <v>698</v>
      </c>
      <c r="HY114" s="20" t="s">
        <v>723</v>
      </c>
      <c r="HZ114" s="20" t="s">
        <v>698</v>
      </c>
      <c r="IS114" s="20" t="s">
        <v>724</v>
      </c>
      <c r="IT114" s="20" t="s">
        <v>696</v>
      </c>
      <c r="IU114" s="20" t="s">
        <v>696</v>
      </c>
      <c r="IV114" s="20" t="s">
        <v>696</v>
      </c>
      <c r="IW114" s="20" t="s">
        <v>698</v>
      </c>
      <c r="IX114" s="20" t="s">
        <v>698</v>
      </c>
      <c r="IY114" s="20" t="s">
        <v>696</v>
      </c>
      <c r="IZ114" s="20" t="s">
        <v>696</v>
      </c>
      <c r="JA114" s="20" t="s">
        <v>696</v>
      </c>
      <c r="JB114" s="20" t="s">
        <v>698</v>
      </c>
      <c r="JC114" s="20" t="s">
        <v>698</v>
      </c>
      <c r="JD114" s="20" t="s">
        <v>725</v>
      </c>
      <c r="JE114" s="20" t="s">
        <v>1326</v>
      </c>
      <c r="JR114" s="20" t="s">
        <v>698</v>
      </c>
      <c r="JS114" s="20" t="s">
        <v>698</v>
      </c>
      <c r="JX114" s="20" t="s">
        <v>833</v>
      </c>
      <c r="JY114" s="20" t="s">
        <v>860</v>
      </c>
      <c r="JZ114" s="20" t="s">
        <v>860</v>
      </c>
      <c r="KA114" s="20" t="s">
        <v>835</v>
      </c>
      <c r="KC114" s="20" t="s">
        <v>696</v>
      </c>
      <c r="KL114" s="20" t="s">
        <v>696</v>
      </c>
      <c r="KP114" s="20" t="s">
        <v>696</v>
      </c>
      <c r="KQ114" s="20" t="s">
        <v>696</v>
      </c>
      <c r="KR114" s="20">
        <v>1977</v>
      </c>
      <c r="KS114" s="20" t="s">
        <v>698</v>
      </c>
      <c r="KT114" s="20" t="s">
        <v>696</v>
      </c>
      <c r="KU114" s="20" t="s">
        <v>696</v>
      </c>
      <c r="KX114" s="20">
        <v>2022</v>
      </c>
      <c r="LC114" s="20" t="s">
        <v>698</v>
      </c>
      <c r="SC114" s="20" t="s">
        <v>698</v>
      </c>
      <c r="UO114" s="20" t="s">
        <v>698</v>
      </c>
      <c r="UR114" s="20" t="s">
        <v>698</v>
      </c>
      <c r="UZ114" s="20" t="s">
        <v>698</v>
      </c>
      <c r="XL114" s="20" t="s">
        <v>1645</v>
      </c>
      <c r="XM114" s="20" t="s">
        <v>1646</v>
      </c>
      <c r="XN114" s="20" t="s">
        <v>1647</v>
      </c>
      <c r="XO114" s="20" t="s">
        <v>1648</v>
      </c>
      <c r="XQ114" s="24">
        <v>45149</v>
      </c>
      <c r="XU114" s="20" t="s">
        <v>730</v>
      </c>
      <c r="XV114" s="20" t="s">
        <v>1648</v>
      </c>
      <c r="XW114" s="20" t="s">
        <v>1360</v>
      </c>
      <c r="XX114" s="20" t="s">
        <v>732</v>
      </c>
      <c r="XY114" s="20" t="s">
        <v>1649</v>
      </c>
    </row>
    <row r="115" spans="1:649" ht="13">
      <c r="A115" s="20">
        <v>732</v>
      </c>
      <c r="B115" s="21">
        <v>44931</v>
      </c>
      <c r="C115" s="20">
        <v>2022</v>
      </c>
      <c r="D115" s="20">
        <v>20230003</v>
      </c>
      <c r="E115" s="20">
        <v>37541</v>
      </c>
      <c r="F115" s="20" t="s">
        <v>885</v>
      </c>
      <c r="G115" s="20">
        <v>32099</v>
      </c>
      <c r="H115" s="20" t="s">
        <v>752</v>
      </c>
      <c r="I115" s="20" t="s">
        <v>692</v>
      </c>
      <c r="J115" s="20" t="s">
        <v>693</v>
      </c>
      <c r="K115" s="20" t="s">
        <v>694</v>
      </c>
      <c r="L115" s="20">
        <v>77002</v>
      </c>
      <c r="M115" s="22">
        <v>44904.347222222219</v>
      </c>
      <c r="N115" s="20" t="s">
        <v>695</v>
      </c>
      <c r="O115" s="20" t="s">
        <v>698</v>
      </c>
      <c r="P115" s="20">
        <v>31.944400000000002</v>
      </c>
      <c r="Q115" s="20">
        <v>-101.91889999999999</v>
      </c>
      <c r="R115" s="20" t="s">
        <v>697</v>
      </c>
      <c r="W115" s="20">
        <v>0.24</v>
      </c>
      <c r="Y115" s="20">
        <v>0.24</v>
      </c>
      <c r="Z115" s="20" t="s">
        <v>698</v>
      </c>
      <c r="AF115" s="20">
        <v>0</v>
      </c>
      <c r="AG115" s="20" t="s">
        <v>698</v>
      </c>
      <c r="AM115" s="20">
        <v>0</v>
      </c>
      <c r="AN115" s="20" t="s">
        <v>699</v>
      </c>
      <c r="AP115" s="20" t="s">
        <v>700</v>
      </c>
      <c r="AQ115" s="23">
        <v>44904.354166666664</v>
      </c>
      <c r="AR115" s="20" t="s">
        <v>736</v>
      </c>
      <c r="AS115" s="20" t="s">
        <v>702</v>
      </c>
      <c r="AT115" s="20" t="s">
        <v>1200</v>
      </c>
      <c r="AZ115" s="20" t="s">
        <v>696</v>
      </c>
      <c r="BA115" s="20" t="s">
        <v>753</v>
      </c>
      <c r="BB115" s="23">
        <v>44904.370138888888</v>
      </c>
      <c r="BC115" s="23">
        <v>44904.347222222219</v>
      </c>
      <c r="BD115" s="23">
        <v>44904.354166666664</v>
      </c>
      <c r="BF115" s="20" t="s">
        <v>754</v>
      </c>
      <c r="BH115" s="20" t="s">
        <v>698</v>
      </c>
      <c r="BV115" s="20" t="s">
        <v>696</v>
      </c>
      <c r="BW115" s="23">
        <v>44904.348611111112</v>
      </c>
      <c r="BX115" s="20" t="s">
        <v>698</v>
      </c>
      <c r="CA115" s="20">
        <v>0</v>
      </c>
      <c r="CB115" s="20" t="s">
        <v>1650</v>
      </c>
      <c r="CC115" s="20" t="s">
        <v>1651</v>
      </c>
      <c r="CD115" s="20" t="s">
        <v>694</v>
      </c>
      <c r="CE115" s="20">
        <v>79706</v>
      </c>
      <c r="CF115" s="20" t="s">
        <v>757</v>
      </c>
      <c r="CG115" s="20" t="s">
        <v>757</v>
      </c>
      <c r="CH115" s="20" t="s">
        <v>710</v>
      </c>
      <c r="CI115" s="20">
        <v>0</v>
      </c>
      <c r="CJ115" s="20" t="s">
        <v>698</v>
      </c>
      <c r="CK115" s="20" t="s">
        <v>712</v>
      </c>
      <c r="CL115" s="20" t="s">
        <v>741</v>
      </c>
      <c r="CM115" s="20" t="s">
        <v>742</v>
      </c>
      <c r="CO115" s="20">
        <v>36</v>
      </c>
      <c r="CP115" s="20" t="s">
        <v>698</v>
      </c>
      <c r="DM115" s="20" t="s">
        <v>715</v>
      </c>
      <c r="DN115" s="20" t="s">
        <v>744</v>
      </c>
      <c r="DO115" s="20" t="s">
        <v>745</v>
      </c>
      <c r="DP115" s="20" t="s">
        <v>698</v>
      </c>
      <c r="DQ115" s="20">
        <v>14</v>
      </c>
      <c r="DR115" s="20">
        <v>0.25</v>
      </c>
      <c r="DS115" s="20">
        <v>35000</v>
      </c>
      <c r="DT115" s="20" t="s">
        <v>1652</v>
      </c>
      <c r="DU115" s="20" t="s">
        <v>747</v>
      </c>
      <c r="DW115" s="20" t="s">
        <v>1653</v>
      </c>
      <c r="DX115" s="20" t="s">
        <v>748</v>
      </c>
      <c r="DZ115" s="20" t="s">
        <v>698</v>
      </c>
      <c r="FK115" s="20">
        <v>2017</v>
      </c>
      <c r="FL115" s="20">
        <v>2014</v>
      </c>
      <c r="FM115" s="20" t="s">
        <v>719</v>
      </c>
      <c r="FO115" s="20" t="s">
        <v>720</v>
      </c>
      <c r="FR115" s="20" t="s">
        <v>749</v>
      </c>
      <c r="FY115" s="20" t="s">
        <v>698</v>
      </c>
      <c r="GC115" s="20" t="s">
        <v>696</v>
      </c>
      <c r="GD115" s="20" t="s">
        <v>698</v>
      </c>
      <c r="GE115" s="20" t="s">
        <v>696</v>
      </c>
      <c r="GH115" s="20" t="s">
        <v>696</v>
      </c>
      <c r="GK115" s="20" t="s">
        <v>698</v>
      </c>
      <c r="GT115" s="20" t="s">
        <v>698</v>
      </c>
      <c r="GU115" s="20" t="s">
        <v>698</v>
      </c>
      <c r="HF115" s="20">
        <v>0</v>
      </c>
      <c r="HG115" s="20">
        <v>30</v>
      </c>
      <c r="HH115" s="20">
        <v>0</v>
      </c>
      <c r="HI115" s="20">
        <v>21500</v>
      </c>
      <c r="HJ115" s="20">
        <v>1500</v>
      </c>
      <c r="HK115" s="20">
        <v>2000</v>
      </c>
      <c r="HL115" s="20" t="s">
        <v>1654</v>
      </c>
      <c r="HM115" s="20">
        <v>25030</v>
      </c>
      <c r="HN115" s="20">
        <v>0</v>
      </c>
      <c r="HO115" s="20">
        <v>0</v>
      </c>
      <c r="HP115" s="20">
        <v>0</v>
      </c>
      <c r="HQ115" s="20">
        <v>0</v>
      </c>
      <c r="HR115" s="20">
        <v>20</v>
      </c>
      <c r="HS115" s="20">
        <v>285</v>
      </c>
      <c r="HT115" s="20" t="s">
        <v>750</v>
      </c>
      <c r="HV115" s="24">
        <v>42856</v>
      </c>
      <c r="HW115" s="20" t="s">
        <v>698</v>
      </c>
      <c r="HY115" s="20" t="s">
        <v>723</v>
      </c>
      <c r="HZ115" s="20" t="s">
        <v>698</v>
      </c>
      <c r="IS115" s="20" t="s">
        <v>2663</v>
      </c>
      <c r="IT115" s="20" t="s">
        <v>696</v>
      </c>
      <c r="IU115" s="20" t="s">
        <v>698</v>
      </c>
      <c r="IV115" s="20" t="s">
        <v>698</v>
      </c>
      <c r="IW115" s="20" t="s">
        <v>698</v>
      </c>
      <c r="IX115" s="20" t="s">
        <v>698</v>
      </c>
      <c r="IY115" s="20" t="s">
        <v>698</v>
      </c>
      <c r="JD115" s="20" t="s">
        <v>725</v>
      </c>
      <c r="JE115" s="20" t="s">
        <v>1326</v>
      </c>
      <c r="JR115" s="20" t="s">
        <v>698</v>
      </c>
      <c r="JS115" s="20" t="s">
        <v>698</v>
      </c>
      <c r="JX115" s="20" t="s">
        <v>833</v>
      </c>
      <c r="JY115" s="20" t="s">
        <v>834</v>
      </c>
      <c r="JZ115" s="20" t="s">
        <v>834</v>
      </c>
      <c r="LD115" s="20" t="s">
        <v>835</v>
      </c>
      <c r="LG115" s="20" t="s">
        <v>696</v>
      </c>
      <c r="LL115" s="20" t="s">
        <v>696</v>
      </c>
      <c r="LP115" s="20" t="s">
        <v>696</v>
      </c>
      <c r="LU115" s="20" t="s">
        <v>698</v>
      </c>
      <c r="LV115" s="20" t="s">
        <v>698</v>
      </c>
      <c r="LW115" s="20" t="s">
        <v>838</v>
      </c>
      <c r="LX115" s="20" t="s">
        <v>838</v>
      </c>
      <c r="SC115" s="20" t="s">
        <v>698</v>
      </c>
      <c r="UO115" s="20" t="s">
        <v>698</v>
      </c>
      <c r="UR115" s="20" t="s">
        <v>698</v>
      </c>
      <c r="UZ115" s="20" t="s">
        <v>698</v>
      </c>
      <c r="XL115" s="20" t="s">
        <v>1655</v>
      </c>
      <c r="XM115" s="20" t="s">
        <v>1626</v>
      </c>
      <c r="XN115" s="20" t="s">
        <v>1647</v>
      </c>
      <c r="XO115" s="20" t="s">
        <v>1648</v>
      </c>
      <c r="XQ115" s="24">
        <v>44931</v>
      </c>
      <c r="XU115" s="20" t="s">
        <v>1655</v>
      </c>
      <c r="XV115" s="20" t="s">
        <v>1648</v>
      </c>
      <c r="XW115" s="20" t="s">
        <v>1626</v>
      </c>
      <c r="XX115" s="20" t="s">
        <v>1647</v>
      </c>
      <c r="XY115" s="20" t="s">
        <v>1656</v>
      </c>
    </row>
    <row r="116" spans="1:649" ht="13">
      <c r="A116" s="20">
        <v>737</v>
      </c>
      <c r="B116" s="21">
        <v>44924</v>
      </c>
      <c r="C116" s="20">
        <v>2022</v>
      </c>
      <c r="D116" s="20">
        <v>20220295</v>
      </c>
      <c r="E116" s="20">
        <v>37521</v>
      </c>
      <c r="F116" s="20" t="s">
        <v>885</v>
      </c>
      <c r="G116" s="20">
        <v>18718</v>
      </c>
      <c r="H116" s="20" t="s">
        <v>918</v>
      </c>
      <c r="I116" s="20" t="s">
        <v>692</v>
      </c>
      <c r="J116" s="20" t="s">
        <v>693</v>
      </c>
      <c r="K116" s="20" t="s">
        <v>694</v>
      </c>
      <c r="L116" s="20">
        <v>77002</v>
      </c>
      <c r="M116" s="22">
        <v>44897.222222222219</v>
      </c>
      <c r="N116" s="20" t="s">
        <v>695</v>
      </c>
      <c r="O116" s="20" t="s">
        <v>698</v>
      </c>
      <c r="P116" s="20">
        <v>32.147199999999998</v>
      </c>
      <c r="Q116" s="20">
        <v>-102.82259999999999</v>
      </c>
      <c r="R116" s="20" t="s">
        <v>697</v>
      </c>
      <c r="W116" s="20">
        <v>2.4</v>
      </c>
      <c r="Y116" s="20">
        <v>2.4</v>
      </c>
      <c r="Z116" s="20" t="s">
        <v>698</v>
      </c>
      <c r="AF116" s="20">
        <v>0</v>
      </c>
      <c r="AG116" s="20" t="s">
        <v>698</v>
      </c>
      <c r="AM116" s="20">
        <v>0</v>
      </c>
      <c r="AN116" s="20" t="s">
        <v>699</v>
      </c>
      <c r="AP116" s="20" t="s">
        <v>700</v>
      </c>
      <c r="AQ116" s="23">
        <v>44897.222222222219</v>
      </c>
      <c r="AR116" s="20" t="s">
        <v>701</v>
      </c>
      <c r="AS116" s="20" t="s">
        <v>702</v>
      </c>
      <c r="AT116" s="20" t="s">
        <v>703</v>
      </c>
      <c r="AU116" s="20" t="s">
        <v>698</v>
      </c>
      <c r="AV116" s="20" t="s">
        <v>1657</v>
      </c>
      <c r="AZ116" s="20" t="s">
        <v>696</v>
      </c>
      <c r="BA116" s="20" t="s">
        <v>753</v>
      </c>
      <c r="BB116" s="23">
        <v>44897.329861111109</v>
      </c>
      <c r="BC116" s="23">
        <v>44897.222222222219</v>
      </c>
      <c r="BD116" s="23">
        <v>44897.222222222219</v>
      </c>
      <c r="BF116" s="20" t="s">
        <v>754</v>
      </c>
      <c r="BH116" s="20" t="s">
        <v>698</v>
      </c>
      <c r="BV116" s="20" t="s">
        <v>696</v>
      </c>
      <c r="BW116" s="23">
        <v>44897.227083333331</v>
      </c>
      <c r="BX116" s="20" t="s">
        <v>698</v>
      </c>
      <c r="CA116" s="20">
        <v>0</v>
      </c>
      <c r="CB116" s="20" t="s">
        <v>1371</v>
      </c>
      <c r="CC116" s="20" t="s">
        <v>1372</v>
      </c>
      <c r="CD116" s="20" t="s">
        <v>694</v>
      </c>
      <c r="CE116" s="20">
        <v>79714</v>
      </c>
      <c r="CF116" s="20" t="s">
        <v>1373</v>
      </c>
      <c r="CG116" s="20" t="s">
        <v>1373</v>
      </c>
      <c r="CH116" s="20" t="s">
        <v>784</v>
      </c>
      <c r="CI116" s="20">
        <v>0</v>
      </c>
      <c r="CJ116" s="20" t="s">
        <v>698</v>
      </c>
      <c r="CK116" s="20" t="s">
        <v>712</v>
      </c>
      <c r="CL116" s="20" t="s">
        <v>713</v>
      </c>
      <c r="CM116" s="20" t="s">
        <v>758</v>
      </c>
      <c r="CP116" s="20" t="s">
        <v>698</v>
      </c>
      <c r="DM116" s="20" t="s">
        <v>743</v>
      </c>
      <c r="DN116" s="20" t="s">
        <v>1278</v>
      </c>
      <c r="FK116" s="20">
        <v>2016</v>
      </c>
      <c r="FL116" s="20">
        <v>2016</v>
      </c>
      <c r="FM116" s="20" t="s">
        <v>719</v>
      </c>
      <c r="FO116" s="20" t="s">
        <v>720</v>
      </c>
      <c r="FR116" s="20" t="s">
        <v>766</v>
      </c>
      <c r="FS116" s="20" t="s">
        <v>1658</v>
      </c>
      <c r="FY116" s="20" t="s">
        <v>698</v>
      </c>
      <c r="GC116" s="20" t="s">
        <v>696</v>
      </c>
      <c r="GD116" s="20" t="s">
        <v>698</v>
      </c>
      <c r="GE116" s="20" t="s">
        <v>696</v>
      </c>
      <c r="GH116" s="20" t="s">
        <v>696</v>
      </c>
      <c r="GK116" s="20" t="s">
        <v>698</v>
      </c>
      <c r="GT116" s="20" t="s">
        <v>696</v>
      </c>
      <c r="GU116" s="20" t="s">
        <v>696</v>
      </c>
      <c r="HD116" s="20" t="s">
        <v>696</v>
      </c>
      <c r="HE116" s="20" t="s">
        <v>696</v>
      </c>
      <c r="HF116" s="20">
        <v>0</v>
      </c>
      <c r="HG116" s="20">
        <v>192</v>
      </c>
      <c r="HH116" s="20">
        <v>703</v>
      </c>
      <c r="HI116" s="20">
        <v>1600</v>
      </c>
      <c r="HJ116" s="20">
        <v>1500</v>
      </c>
      <c r="HK116" s="20">
        <v>0</v>
      </c>
      <c r="HM116" s="20">
        <v>3995</v>
      </c>
      <c r="HN116" s="20">
        <v>0</v>
      </c>
      <c r="HO116" s="20">
        <v>0</v>
      </c>
      <c r="HP116" s="20">
        <v>0</v>
      </c>
      <c r="HQ116" s="20">
        <v>0</v>
      </c>
      <c r="HR116" s="20">
        <v>600</v>
      </c>
      <c r="HS116" s="20">
        <v>1480</v>
      </c>
      <c r="HT116" s="20" t="s">
        <v>943</v>
      </c>
      <c r="HV116" s="24">
        <v>42347</v>
      </c>
      <c r="HW116" s="20" t="s">
        <v>698</v>
      </c>
      <c r="HY116" s="20" t="s">
        <v>723</v>
      </c>
      <c r="HZ116" s="20" t="s">
        <v>698</v>
      </c>
      <c r="IS116" s="20" t="s">
        <v>724</v>
      </c>
      <c r="IT116" s="20" t="s">
        <v>696</v>
      </c>
      <c r="IU116" s="20" t="s">
        <v>696</v>
      </c>
      <c r="IV116" s="20" t="s">
        <v>696</v>
      </c>
      <c r="IW116" s="20" t="s">
        <v>698</v>
      </c>
      <c r="IX116" s="20" t="s">
        <v>698</v>
      </c>
      <c r="IY116" s="20" t="s">
        <v>696</v>
      </c>
      <c r="IZ116" s="20" t="s">
        <v>696</v>
      </c>
      <c r="JA116" s="20" t="s">
        <v>696</v>
      </c>
      <c r="JB116" s="20" t="s">
        <v>698</v>
      </c>
      <c r="JC116" s="20" t="s">
        <v>698</v>
      </c>
      <c r="JD116" s="20" t="s">
        <v>725</v>
      </c>
      <c r="JE116" s="20" t="s">
        <v>726</v>
      </c>
      <c r="JR116" s="20" t="s">
        <v>698</v>
      </c>
      <c r="JS116" s="20" t="s">
        <v>698</v>
      </c>
      <c r="JX116" s="20" t="s">
        <v>789</v>
      </c>
      <c r="JY116" s="20" t="s">
        <v>914</v>
      </c>
      <c r="QB116" s="20" t="s">
        <v>914</v>
      </c>
      <c r="QS116" s="20" t="s">
        <v>1659</v>
      </c>
      <c r="RK116" s="20" t="s">
        <v>696</v>
      </c>
      <c r="RL116" s="20" t="s">
        <v>1619</v>
      </c>
      <c r="XL116" s="20" t="s">
        <v>730</v>
      </c>
      <c r="XM116" s="20" t="s">
        <v>1360</v>
      </c>
      <c r="XN116" s="20" t="s">
        <v>732</v>
      </c>
      <c r="XO116" s="20" t="s">
        <v>733</v>
      </c>
      <c r="XQ116" s="24">
        <v>44924</v>
      </c>
      <c r="XU116" s="20" t="s">
        <v>730</v>
      </c>
      <c r="XV116" s="20" t="s">
        <v>733</v>
      </c>
      <c r="XW116" s="20" t="s">
        <v>1360</v>
      </c>
      <c r="XX116" s="20" t="s">
        <v>732</v>
      </c>
      <c r="XY116" s="20" t="s">
        <v>1660</v>
      </c>
    </row>
    <row r="117" spans="1:649" ht="13">
      <c r="A117" s="20">
        <v>738</v>
      </c>
      <c r="B117" s="21">
        <v>44910</v>
      </c>
      <c r="C117" s="20">
        <v>2022</v>
      </c>
      <c r="D117" s="20">
        <v>20220284</v>
      </c>
      <c r="E117" s="20">
        <v>37476</v>
      </c>
      <c r="F117" s="20" t="s">
        <v>885</v>
      </c>
      <c r="G117" s="20">
        <v>39706</v>
      </c>
      <c r="H117" s="20" t="s">
        <v>817</v>
      </c>
      <c r="I117" s="20" t="s">
        <v>692</v>
      </c>
      <c r="J117" s="20" t="s">
        <v>693</v>
      </c>
      <c r="K117" s="20" t="s">
        <v>694</v>
      </c>
      <c r="L117" s="20">
        <v>77002</v>
      </c>
      <c r="M117" s="22">
        <v>44895.125</v>
      </c>
      <c r="N117" s="20" t="s">
        <v>695</v>
      </c>
      <c r="O117" s="20" t="s">
        <v>698</v>
      </c>
      <c r="P117" s="20">
        <v>30.001142000000002</v>
      </c>
      <c r="Q117" s="20">
        <v>-93.986733000000001</v>
      </c>
      <c r="R117" s="20" t="s">
        <v>697</v>
      </c>
      <c r="W117" s="20">
        <v>0.12</v>
      </c>
      <c r="Y117" s="20">
        <v>0.12</v>
      </c>
      <c r="Z117" s="20" t="s">
        <v>698</v>
      </c>
      <c r="AF117" s="20">
        <v>0</v>
      </c>
      <c r="AG117" s="20" t="s">
        <v>698</v>
      </c>
      <c r="AM117" s="20">
        <v>0</v>
      </c>
      <c r="AN117" s="20" t="s">
        <v>699</v>
      </c>
      <c r="AP117" s="20" t="s">
        <v>700</v>
      </c>
      <c r="AQ117" s="23">
        <v>44895.125</v>
      </c>
      <c r="AR117" s="20" t="s">
        <v>736</v>
      </c>
      <c r="AS117" s="20" t="s">
        <v>702</v>
      </c>
      <c r="AT117" s="20" t="s">
        <v>703</v>
      </c>
      <c r="AU117" s="20" t="s">
        <v>698</v>
      </c>
      <c r="AV117" s="20" t="s">
        <v>1661</v>
      </c>
      <c r="AZ117" s="20" t="s">
        <v>698</v>
      </c>
      <c r="BC117" s="23">
        <v>44895.125</v>
      </c>
      <c r="BD117" s="23">
        <v>44895.125</v>
      </c>
      <c r="BF117" s="20" t="s">
        <v>754</v>
      </c>
      <c r="BH117" s="20" t="s">
        <v>698</v>
      </c>
      <c r="BV117" s="20" t="s">
        <v>698</v>
      </c>
      <c r="BX117" s="20" t="s">
        <v>698</v>
      </c>
      <c r="CA117" s="20">
        <v>0</v>
      </c>
      <c r="CB117" s="20" t="s">
        <v>818</v>
      </c>
      <c r="CC117" s="20" t="s">
        <v>1662</v>
      </c>
      <c r="CD117" s="20" t="s">
        <v>694</v>
      </c>
      <c r="CE117" s="20">
        <v>77627</v>
      </c>
      <c r="CF117" s="20" t="s">
        <v>820</v>
      </c>
      <c r="CG117" s="20" t="s">
        <v>821</v>
      </c>
      <c r="CH117" s="20" t="s">
        <v>710</v>
      </c>
      <c r="CI117" s="20" t="s">
        <v>711</v>
      </c>
      <c r="CJ117" s="20" t="s">
        <v>698</v>
      </c>
      <c r="CK117" s="20" t="s">
        <v>712</v>
      </c>
      <c r="CL117" s="20" t="s">
        <v>713</v>
      </c>
      <c r="CM117" s="20" t="s">
        <v>758</v>
      </c>
      <c r="CP117" s="20" t="s">
        <v>698</v>
      </c>
      <c r="DM117" s="20" t="s">
        <v>743</v>
      </c>
      <c r="DN117" s="20" t="s">
        <v>744</v>
      </c>
      <c r="DO117" s="20" t="s">
        <v>745</v>
      </c>
      <c r="DP117" s="20" t="s">
        <v>698</v>
      </c>
      <c r="DQ117" s="20">
        <v>10</v>
      </c>
      <c r="DR117" s="20">
        <v>0.375</v>
      </c>
      <c r="DS117" s="20">
        <v>52000</v>
      </c>
      <c r="DT117" s="20" t="s">
        <v>1198</v>
      </c>
      <c r="DU117" s="20" t="s">
        <v>766</v>
      </c>
      <c r="DV117" s="20" t="s">
        <v>1663</v>
      </c>
      <c r="DW117" s="20" t="s">
        <v>728</v>
      </c>
      <c r="DX117" s="20" t="s">
        <v>1441</v>
      </c>
      <c r="DZ117" s="20" t="s">
        <v>696</v>
      </c>
      <c r="FK117" s="20">
        <v>2007</v>
      </c>
      <c r="FL117" s="20" t="s">
        <v>728</v>
      </c>
      <c r="FM117" s="20" t="s">
        <v>719</v>
      </c>
      <c r="FO117" s="20" t="s">
        <v>720</v>
      </c>
      <c r="FR117" s="20" t="s">
        <v>749</v>
      </c>
      <c r="FY117" s="20" t="s">
        <v>698</v>
      </c>
      <c r="GC117" s="20" t="s">
        <v>696</v>
      </c>
      <c r="GD117" s="20" t="s">
        <v>698</v>
      </c>
      <c r="GE117" s="20" t="s">
        <v>696</v>
      </c>
      <c r="GH117" s="20" t="s">
        <v>696</v>
      </c>
      <c r="GK117" s="20" t="s">
        <v>698</v>
      </c>
      <c r="GT117" s="20" t="s">
        <v>696</v>
      </c>
      <c r="GU117" s="20" t="s">
        <v>696</v>
      </c>
      <c r="GX117" s="20" t="s">
        <v>696</v>
      </c>
      <c r="GY117" s="20" t="s">
        <v>696</v>
      </c>
      <c r="HF117" s="20">
        <v>0</v>
      </c>
      <c r="HG117" s="20">
        <v>20</v>
      </c>
      <c r="HH117" s="20">
        <v>600</v>
      </c>
      <c r="HI117" s="20">
        <v>400</v>
      </c>
      <c r="HJ117" s="20">
        <v>0</v>
      </c>
      <c r="HK117" s="20">
        <v>0</v>
      </c>
      <c r="HM117" s="20">
        <v>1020</v>
      </c>
      <c r="HN117" s="20">
        <v>0</v>
      </c>
      <c r="HO117" s="20">
        <v>0</v>
      </c>
      <c r="HP117" s="20">
        <v>0</v>
      </c>
      <c r="HQ117" s="20">
        <v>0</v>
      </c>
      <c r="HR117" s="20">
        <v>100</v>
      </c>
      <c r="HS117" s="20">
        <v>285</v>
      </c>
      <c r="HT117" s="20" t="s">
        <v>722</v>
      </c>
      <c r="HV117" s="24">
        <v>39083</v>
      </c>
      <c r="HW117" s="20" t="s">
        <v>698</v>
      </c>
      <c r="HY117" s="20" t="s">
        <v>723</v>
      </c>
      <c r="HZ117" s="20" t="s">
        <v>698</v>
      </c>
      <c r="IS117" s="20" t="s">
        <v>808</v>
      </c>
      <c r="IT117" s="20" t="s">
        <v>696</v>
      </c>
      <c r="IU117" s="20" t="s">
        <v>696</v>
      </c>
      <c r="IV117" s="20" t="s">
        <v>696</v>
      </c>
      <c r="IW117" s="20" t="s">
        <v>698</v>
      </c>
      <c r="IX117" s="20" t="s">
        <v>698</v>
      </c>
      <c r="IY117" s="20" t="s">
        <v>698</v>
      </c>
      <c r="JD117" s="20" t="s">
        <v>725</v>
      </c>
      <c r="JE117" s="20" t="s">
        <v>726</v>
      </c>
      <c r="JR117" s="20" t="s">
        <v>698</v>
      </c>
      <c r="JS117" s="20" t="s">
        <v>698</v>
      </c>
      <c r="JX117" s="20" t="s">
        <v>833</v>
      </c>
      <c r="JY117" s="20" t="s">
        <v>834</v>
      </c>
      <c r="JZ117" s="20" t="s">
        <v>834</v>
      </c>
      <c r="LD117" s="20" t="s">
        <v>766</v>
      </c>
      <c r="LE117" s="20" t="s">
        <v>749</v>
      </c>
      <c r="LG117" s="20" t="s">
        <v>696</v>
      </c>
      <c r="LL117" s="20" t="s">
        <v>696</v>
      </c>
      <c r="LN117" s="20" t="s">
        <v>696</v>
      </c>
      <c r="LO117" s="20" t="s">
        <v>1664</v>
      </c>
      <c r="LP117" s="20" t="s">
        <v>696</v>
      </c>
      <c r="LU117" s="20" t="s">
        <v>698</v>
      </c>
      <c r="LV117" s="20" t="s">
        <v>698</v>
      </c>
      <c r="LW117" s="20" t="s">
        <v>698</v>
      </c>
      <c r="LX117" s="20" t="s">
        <v>698</v>
      </c>
      <c r="SC117" s="20" t="s">
        <v>696</v>
      </c>
      <c r="SF117" s="20" t="s">
        <v>696</v>
      </c>
      <c r="TE117" s="20">
        <v>2022</v>
      </c>
      <c r="TF117" s="20" t="s">
        <v>1665</v>
      </c>
      <c r="TG117" s="20" t="s">
        <v>932</v>
      </c>
      <c r="TI117" s="20" t="s">
        <v>933</v>
      </c>
      <c r="UO117" s="20" t="s">
        <v>698</v>
      </c>
      <c r="UR117" s="20" t="s">
        <v>698</v>
      </c>
      <c r="UZ117" s="20" t="s">
        <v>698</v>
      </c>
      <c r="XL117" s="20" t="s">
        <v>730</v>
      </c>
      <c r="XM117" s="20" t="s">
        <v>1360</v>
      </c>
      <c r="XN117" s="20" t="s">
        <v>732</v>
      </c>
      <c r="XO117" s="20" t="s">
        <v>733</v>
      </c>
      <c r="XQ117" s="24">
        <v>44910</v>
      </c>
      <c r="XU117" s="20" t="s">
        <v>730</v>
      </c>
      <c r="XV117" s="20" t="s">
        <v>733</v>
      </c>
      <c r="XW117" s="20" t="s">
        <v>1360</v>
      </c>
      <c r="XX117" s="20" t="s">
        <v>732</v>
      </c>
      <c r="XY117" s="20" t="s">
        <v>1666</v>
      </c>
    </row>
    <row r="118" spans="1:649" ht="13">
      <c r="A118" s="20">
        <v>743</v>
      </c>
      <c r="B118" s="21">
        <v>44910</v>
      </c>
      <c r="C118" s="20">
        <v>2022</v>
      </c>
      <c r="D118" s="20">
        <v>20220285</v>
      </c>
      <c r="E118" s="20">
        <v>38380</v>
      </c>
      <c r="F118" s="20" t="s">
        <v>825</v>
      </c>
      <c r="G118" s="20">
        <v>39205</v>
      </c>
      <c r="H118" s="20" t="s">
        <v>957</v>
      </c>
      <c r="I118" s="20" t="s">
        <v>692</v>
      </c>
      <c r="J118" s="20" t="s">
        <v>693</v>
      </c>
      <c r="K118" s="20" t="s">
        <v>694</v>
      </c>
      <c r="L118" s="20">
        <v>77002</v>
      </c>
      <c r="M118" s="22">
        <v>44886.431250000001</v>
      </c>
      <c r="N118" s="20" t="s">
        <v>695</v>
      </c>
      <c r="O118" s="20" t="s">
        <v>698</v>
      </c>
      <c r="P118" s="20">
        <v>47.799284739999997</v>
      </c>
      <c r="Q118" s="20">
        <v>-102.923979</v>
      </c>
      <c r="R118" s="20" t="s">
        <v>697</v>
      </c>
      <c r="W118" s="20">
        <v>2.19</v>
      </c>
      <c r="Y118" s="20">
        <v>2.19</v>
      </c>
      <c r="Z118" s="20" t="s">
        <v>698</v>
      </c>
      <c r="AF118" s="20">
        <v>0</v>
      </c>
      <c r="AG118" s="20" t="s">
        <v>698</v>
      </c>
      <c r="AM118" s="20">
        <v>0</v>
      </c>
      <c r="AN118" s="20" t="s">
        <v>699</v>
      </c>
      <c r="AP118" s="20" t="s">
        <v>700</v>
      </c>
      <c r="AQ118" s="23">
        <v>44886.431250000001</v>
      </c>
      <c r="AR118" s="20" t="s">
        <v>701</v>
      </c>
      <c r="AS118" s="20" t="s">
        <v>702</v>
      </c>
      <c r="AT118" s="20" t="s">
        <v>703</v>
      </c>
      <c r="AU118" s="20" t="s">
        <v>696</v>
      </c>
      <c r="AW118" s="23">
        <v>44886.4375</v>
      </c>
      <c r="AX118" s="23">
        <v>44886.5</v>
      </c>
      <c r="AZ118" s="20" t="s">
        <v>696</v>
      </c>
      <c r="BA118" s="20" t="s">
        <v>753</v>
      </c>
      <c r="BB118" s="23">
        <v>44886.604861111111</v>
      </c>
      <c r="BC118" s="23">
        <v>44886.431250000001</v>
      </c>
      <c r="BD118" s="23">
        <v>44886.431250000001</v>
      </c>
      <c r="BF118" s="20" t="s">
        <v>754</v>
      </c>
      <c r="BH118" s="20" t="s">
        <v>698</v>
      </c>
      <c r="BV118" s="20" t="s">
        <v>696</v>
      </c>
      <c r="BW118" s="23">
        <v>44886.431250000001</v>
      </c>
      <c r="BX118" s="20" t="s">
        <v>698</v>
      </c>
      <c r="CA118" s="20">
        <v>0</v>
      </c>
      <c r="CB118" s="20" t="s">
        <v>1667</v>
      </c>
      <c r="CC118" s="20" t="s">
        <v>1668</v>
      </c>
      <c r="CD118" s="20" t="s">
        <v>707</v>
      </c>
      <c r="CE118" s="20">
        <v>58854</v>
      </c>
      <c r="CF118" s="20" t="s">
        <v>1669</v>
      </c>
      <c r="CG118" s="20" t="s">
        <v>709</v>
      </c>
      <c r="CH118" s="20" t="s">
        <v>710</v>
      </c>
      <c r="CI118" s="20" t="s">
        <v>711</v>
      </c>
      <c r="CJ118" s="20" t="s">
        <v>698</v>
      </c>
      <c r="CK118" s="20" t="s">
        <v>712</v>
      </c>
      <c r="CL118" s="20" t="s">
        <v>713</v>
      </c>
      <c r="CM118" s="20" t="s">
        <v>714</v>
      </c>
      <c r="CP118" s="20" t="s">
        <v>698</v>
      </c>
      <c r="DM118" s="20" t="s">
        <v>743</v>
      </c>
      <c r="DN118" s="20" t="s">
        <v>1141</v>
      </c>
      <c r="EA118" s="20" t="s">
        <v>1498</v>
      </c>
      <c r="FK118" s="20">
        <v>2021</v>
      </c>
      <c r="FL118" s="20">
        <v>2019</v>
      </c>
      <c r="FM118" s="20" t="s">
        <v>719</v>
      </c>
      <c r="FO118" s="20" t="s">
        <v>720</v>
      </c>
      <c r="FR118" s="20" t="s">
        <v>768</v>
      </c>
      <c r="FY118" s="20" t="s">
        <v>698</v>
      </c>
      <c r="GC118" s="20" t="s">
        <v>698</v>
      </c>
      <c r="GD118" s="20" t="s">
        <v>698</v>
      </c>
      <c r="GE118" s="20" t="s">
        <v>698</v>
      </c>
      <c r="GK118" s="20" t="s">
        <v>698</v>
      </c>
      <c r="GT118" s="20" t="s">
        <v>698</v>
      </c>
      <c r="GU118" s="20" t="s">
        <v>698</v>
      </c>
      <c r="HF118" s="20">
        <v>0</v>
      </c>
      <c r="HG118" s="20">
        <v>0</v>
      </c>
      <c r="HH118" s="20">
        <v>30268</v>
      </c>
      <c r="HI118" s="20">
        <v>2087</v>
      </c>
      <c r="HJ118" s="20">
        <v>0</v>
      </c>
      <c r="HK118" s="20">
        <v>0</v>
      </c>
      <c r="HM118" s="20">
        <v>32355</v>
      </c>
      <c r="HN118" s="20">
        <v>0</v>
      </c>
      <c r="HO118" s="20">
        <v>0</v>
      </c>
      <c r="HP118" s="20">
        <v>0</v>
      </c>
      <c r="HQ118" s="20">
        <v>0</v>
      </c>
      <c r="HR118" s="20">
        <v>820</v>
      </c>
      <c r="HS118" s="20">
        <v>1440</v>
      </c>
      <c r="HT118" s="20" t="s">
        <v>787</v>
      </c>
      <c r="HV118" s="24">
        <v>44354</v>
      </c>
      <c r="HW118" s="20" t="s">
        <v>698</v>
      </c>
      <c r="HY118" s="20" t="s">
        <v>723</v>
      </c>
      <c r="HZ118" s="20" t="s">
        <v>698</v>
      </c>
      <c r="IS118" s="20" t="s">
        <v>724</v>
      </c>
      <c r="IT118" s="20" t="s">
        <v>696</v>
      </c>
      <c r="IU118" s="20" t="s">
        <v>696</v>
      </c>
      <c r="IV118" s="20" t="s">
        <v>696</v>
      </c>
      <c r="IW118" s="20" t="s">
        <v>698</v>
      </c>
      <c r="IX118" s="20" t="s">
        <v>698</v>
      </c>
      <c r="IY118" s="20" t="s">
        <v>696</v>
      </c>
      <c r="IZ118" s="20" t="s">
        <v>696</v>
      </c>
      <c r="JA118" s="20" t="s">
        <v>696</v>
      </c>
      <c r="JB118" s="20" t="s">
        <v>698</v>
      </c>
      <c r="JC118" s="20" t="s">
        <v>698</v>
      </c>
      <c r="JD118" s="20" t="s">
        <v>725</v>
      </c>
      <c r="JE118" s="20" t="s">
        <v>726</v>
      </c>
      <c r="JR118" s="20" t="s">
        <v>698</v>
      </c>
      <c r="JS118" s="20" t="s">
        <v>698</v>
      </c>
      <c r="JX118" s="20" t="s">
        <v>929</v>
      </c>
      <c r="JY118" s="20" t="s">
        <v>1500</v>
      </c>
      <c r="PC118" s="20" t="s">
        <v>696</v>
      </c>
      <c r="PG118" s="20" t="s">
        <v>1500</v>
      </c>
      <c r="PH118" s="20" t="s">
        <v>696</v>
      </c>
      <c r="PI118" s="20" t="s">
        <v>1610</v>
      </c>
      <c r="PT118" s="20" t="s">
        <v>696</v>
      </c>
      <c r="SC118" s="20" t="s">
        <v>698</v>
      </c>
      <c r="UO118" s="20" t="s">
        <v>698</v>
      </c>
      <c r="UR118" s="20" t="s">
        <v>698</v>
      </c>
      <c r="UZ118" s="20" t="s">
        <v>696</v>
      </c>
      <c r="VA118" s="20">
        <v>2021</v>
      </c>
      <c r="VH118" s="20" t="s">
        <v>696</v>
      </c>
      <c r="XL118" s="20" t="s">
        <v>730</v>
      </c>
      <c r="XM118" s="20" t="s">
        <v>1360</v>
      </c>
      <c r="XN118" s="20" t="s">
        <v>732</v>
      </c>
      <c r="XO118" s="20" t="s">
        <v>733</v>
      </c>
      <c r="XQ118" s="24">
        <v>45148</v>
      </c>
      <c r="XU118" s="20" t="s">
        <v>730</v>
      </c>
      <c r="XV118" s="20" t="s">
        <v>733</v>
      </c>
      <c r="XW118" s="20" t="s">
        <v>1360</v>
      </c>
      <c r="XX118" s="20" t="s">
        <v>732</v>
      </c>
      <c r="XY118" s="20" t="s">
        <v>1670</v>
      </c>
    </row>
    <row r="119" spans="1:649" ht="13">
      <c r="A119" s="20">
        <v>771</v>
      </c>
      <c r="B119" s="21">
        <v>44887</v>
      </c>
      <c r="C119" s="20">
        <v>2022</v>
      </c>
      <c r="D119" s="20">
        <v>20220259</v>
      </c>
      <c r="E119" s="20">
        <v>37377</v>
      </c>
      <c r="F119" s="20" t="s">
        <v>885</v>
      </c>
      <c r="G119" s="20">
        <v>18718</v>
      </c>
      <c r="H119" s="20" t="s">
        <v>918</v>
      </c>
      <c r="I119" s="20" t="s">
        <v>692</v>
      </c>
      <c r="J119" s="20" t="s">
        <v>693</v>
      </c>
      <c r="K119" s="20" t="s">
        <v>694</v>
      </c>
      <c r="L119" s="20">
        <v>77002</v>
      </c>
      <c r="M119" s="22">
        <v>44860.291666666664</v>
      </c>
      <c r="N119" s="20" t="s">
        <v>695</v>
      </c>
      <c r="O119" s="20" t="s">
        <v>696</v>
      </c>
      <c r="P119" s="20">
        <v>35.987310000000001</v>
      </c>
      <c r="Q119" s="20">
        <v>-96.744943000000006</v>
      </c>
      <c r="R119" s="20" t="s">
        <v>697</v>
      </c>
      <c r="W119" s="20">
        <v>0.2</v>
      </c>
      <c r="Y119" s="20">
        <v>0.2</v>
      </c>
      <c r="Z119" s="20" t="s">
        <v>698</v>
      </c>
      <c r="AF119" s="20">
        <v>0</v>
      </c>
      <c r="AG119" s="20" t="s">
        <v>698</v>
      </c>
      <c r="AM119" s="20">
        <v>0</v>
      </c>
      <c r="AN119" s="20" t="s">
        <v>699</v>
      </c>
      <c r="AP119" s="20" t="s">
        <v>700</v>
      </c>
      <c r="AQ119" s="23">
        <v>44860.291666666664</v>
      </c>
      <c r="AR119" s="20" t="s">
        <v>776</v>
      </c>
      <c r="AS119" s="20" t="s">
        <v>702</v>
      </c>
      <c r="AT119" s="20" t="s">
        <v>703</v>
      </c>
      <c r="AU119" s="20" t="s">
        <v>698</v>
      </c>
      <c r="AV119" s="20" t="s">
        <v>1671</v>
      </c>
      <c r="AZ119" s="20" t="s">
        <v>698</v>
      </c>
      <c r="BC119" s="23">
        <v>44860.291666666664</v>
      </c>
      <c r="BD119" s="23">
        <v>44862.375</v>
      </c>
      <c r="BF119" s="20" t="s">
        <v>754</v>
      </c>
      <c r="BH119" s="20" t="s">
        <v>698</v>
      </c>
      <c r="BN119" s="20" t="s">
        <v>849</v>
      </c>
      <c r="BO119" s="20" t="s">
        <v>1672</v>
      </c>
      <c r="BR119" s="20" t="s">
        <v>849</v>
      </c>
      <c r="BS119" s="20" t="s">
        <v>1672</v>
      </c>
      <c r="BV119" s="20" t="s">
        <v>696</v>
      </c>
      <c r="BW119" s="23">
        <v>44860.291666666664</v>
      </c>
      <c r="BX119" s="20" t="s">
        <v>698</v>
      </c>
      <c r="CA119" s="20">
        <v>0</v>
      </c>
      <c r="CB119" s="20" t="s">
        <v>1673</v>
      </c>
      <c r="CC119" s="20" t="s">
        <v>1674</v>
      </c>
      <c r="CD119" s="20" t="s">
        <v>739</v>
      </c>
      <c r="CE119" s="20">
        <v>74023</v>
      </c>
      <c r="CF119" s="20" t="s">
        <v>1675</v>
      </c>
      <c r="CG119" s="20" t="s">
        <v>740</v>
      </c>
      <c r="CH119" s="20" t="s">
        <v>784</v>
      </c>
      <c r="CI119" s="20" t="s">
        <v>711</v>
      </c>
      <c r="CJ119" s="20" t="s">
        <v>698</v>
      </c>
      <c r="CK119" s="20" t="s">
        <v>712</v>
      </c>
      <c r="CL119" s="20" t="s">
        <v>741</v>
      </c>
      <c r="CM119" s="20" t="s">
        <v>742</v>
      </c>
      <c r="CO119" s="20">
        <v>36</v>
      </c>
      <c r="CP119" s="20" t="s">
        <v>698</v>
      </c>
      <c r="DM119" s="20" t="s">
        <v>715</v>
      </c>
      <c r="DN119" s="20" t="s">
        <v>759</v>
      </c>
      <c r="FK119" s="20">
        <v>1974</v>
      </c>
      <c r="FL119" s="20" t="s">
        <v>728</v>
      </c>
      <c r="FM119" s="20" t="s">
        <v>962</v>
      </c>
      <c r="FN119" s="20" t="s">
        <v>1676</v>
      </c>
      <c r="FO119" s="20" t="s">
        <v>720</v>
      </c>
      <c r="FR119" s="20" t="s">
        <v>721</v>
      </c>
      <c r="FY119" s="20" t="s">
        <v>698</v>
      </c>
      <c r="GC119" s="20" t="s">
        <v>696</v>
      </c>
      <c r="GD119" s="20" t="s">
        <v>698</v>
      </c>
      <c r="GE119" s="20" t="s">
        <v>698</v>
      </c>
      <c r="GK119" s="20" t="s">
        <v>698</v>
      </c>
      <c r="GT119" s="20" t="s">
        <v>696</v>
      </c>
      <c r="GU119" s="20" t="s">
        <v>696</v>
      </c>
      <c r="GZ119" s="20" t="s">
        <v>696</v>
      </c>
      <c r="HA119" s="20" t="s">
        <v>696</v>
      </c>
      <c r="HF119" s="20">
        <v>0</v>
      </c>
      <c r="HG119" s="20">
        <v>20</v>
      </c>
      <c r="HH119" s="20">
        <v>1500</v>
      </c>
      <c r="HI119" s="20">
        <v>1000</v>
      </c>
      <c r="HJ119" s="20">
        <v>0</v>
      </c>
      <c r="HK119" s="20">
        <v>0</v>
      </c>
      <c r="HM119" s="20">
        <v>2520</v>
      </c>
      <c r="HN119" s="20">
        <v>0</v>
      </c>
      <c r="HO119" s="20">
        <v>0</v>
      </c>
      <c r="HP119" s="20">
        <v>0</v>
      </c>
      <c r="HQ119" s="20">
        <v>0</v>
      </c>
      <c r="HR119" s="20">
        <v>140</v>
      </c>
      <c r="HS119" s="20">
        <v>275</v>
      </c>
      <c r="HT119" s="20" t="s">
        <v>787</v>
      </c>
      <c r="HV119" s="24">
        <v>27543</v>
      </c>
      <c r="HW119" s="20" t="s">
        <v>698</v>
      </c>
      <c r="HY119" s="20" t="s">
        <v>723</v>
      </c>
      <c r="HZ119" s="20" t="s">
        <v>698</v>
      </c>
      <c r="ID119" s="20" t="s">
        <v>696</v>
      </c>
      <c r="IL119" s="20" t="s">
        <v>698</v>
      </c>
      <c r="IS119" s="20" t="s">
        <v>808</v>
      </c>
      <c r="IT119" s="20" t="s">
        <v>696</v>
      </c>
      <c r="IU119" s="20" t="s">
        <v>696</v>
      </c>
      <c r="IV119" s="20" t="s">
        <v>696</v>
      </c>
      <c r="IW119" s="20" t="s">
        <v>698</v>
      </c>
      <c r="IX119" s="20" t="s">
        <v>698</v>
      </c>
      <c r="IY119" s="20" t="s">
        <v>696</v>
      </c>
      <c r="IZ119" s="20" t="s">
        <v>696</v>
      </c>
      <c r="JA119" s="20" t="s">
        <v>696</v>
      </c>
      <c r="JB119" s="20" t="s">
        <v>698</v>
      </c>
      <c r="JC119" s="20" t="s">
        <v>698</v>
      </c>
      <c r="JD119" s="20" t="s">
        <v>725</v>
      </c>
      <c r="JE119" s="20" t="s">
        <v>726</v>
      </c>
      <c r="JR119" s="20" t="s">
        <v>698</v>
      </c>
      <c r="JS119" s="20" t="s">
        <v>698</v>
      </c>
      <c r="JX119" s="20" t="s">
        <v>789</v>
      </c>
      <c r="JY119" s="20" t="s">
        <v>914</v>
      </c>
      <c r="QB119" s="20" t="s">
        <v>914</v>
      </c>
      <c r="QS119" s="20" t="s">
        <v>1017</v>
      </c>
      <c r="RK119" s="20" t="s">
        <v>696</v>
      </c>
      <c r="RL119" s="20" t="s">
        <v>1677</v>
      </c>
      <c r="XL119" s="20" t="s">
        <v>730</v>
      </c>
      <c r="XM119" s="20" t="s">
        <v>1360</v>
      </c>
      <c r="XN119" s="20" t="s">
        <v>732</v>
      </c>
      <c r="XO119" s="20" t="s">
        <v>733</v>
      </c>
      <c r="XQ119" s="24">
        <v>44887</v>
      </c>
      <c r="XU119" s="20" t="s">
        <v>730</v>
      </c>
      <c r="XV119" s="20" t="s">
        <v>733</v>
      </c>
      <c r="XW119" s="20" t="s">
        <v>1360</v>
      </c>
      <c r="XX119" s="20" t="s">
        <v>732</v>
      </c>
      <c r="XY119" s="20" t="s">
        <v>1678</v>
      </c>
    </row>
    <row r="120" spans="1:649" ht="13">
      <c r="A120" s="20">
        <v>775</v>
      </c>
      <c r="B120" s="21">
        <v>44887</v>
      </c>
      <c r="C120" s="20">
        <v>2022</v>
      </c>
      <c r="D120" s="20">
        <v>20220257</v>
      </c>
      <c r="E120" s="20">
        <v>37375</v>
      </c>
      <c r="F120" s="20" t="s">
        <v>825</v>
      </c>
      <c r="G120" s="20">
        <v>39706</v>
      </c>
      <c r="H120" s="20" t="s">
        <v>817</v>
      </c>
      <c r="I120" s="20" t="s">
        <v>692</v>
      </c>
      <c r="J120" s="20" t="s">
        <v>693</v>
      </c>
      <c r="K120" s="20" t="s">
        <v>694</v>
      </c>
      <c r="L120" s="20">
        <v>77002</v>
      </c>
      <c r="M120" s="22">
        <v>44858.395833333336</v>
      </c>
      <c r="N120" s="20" t="s">
        <v>695</v>
      </c>
      <c r="O120" s="20" t="s">
        <v>696</v>
      </c>
      <c r="P120" s="20">
        <v>29.997547000000001</v>
      </c>
      <c r="Q120" s="20">
        <v>-93.993622000000002</v>
      </c>
      <c r="R120" s="20" t="s">
        <v>697</v>
      </c>
      <c r="W120" s="20">
        <v>50</v>
      </c>
      <c r="Y120" s="20">
        <v>50</v>
      </c>
      <c r="Z120" s="20" t="s">
        <v>698</v>
      </c>
      <c r="AF120" s="20">
        <v>0</v>
      </c>
      <c r="AG120" s="20" t="s">
        <v>698</v>
      </c>
      <c r="AM120" s="20">
        <v>0</v>
      </c>
      <c r="AN120" s="20" t="s">
        <v>699</v>
      </c>
      <c r="AP120" s="20" t="s">
        <v>700</v>
      </c>
      <c r="AQ120" s="23">
        <v>44858.395833333336</v>
      </c>
      <c r="AR120" s="20" t="s">
        <v>736</v>
      </c>
      <c r="AS120" s="20" t="s">
        <v>702</v>
      </c>
      <c r="AT120" s="20" t="s">
        <v>703</v>
      </c>
      <c r="AU120" s="20" t="s">
        <v>696</v>
      </c>
      <c r="AW120" s="23">
        <v>44858.395833333336</v>
      </c>
      <c r="AX120" s="23">
        <v>44866.375</v>
      </c>
      <c r="AZ120" s="20" t="s">
        <v>696</v>
      </c>
      <c r="BA120" s="20" t="s">
        <v>753</v>
      </c>
      <c r="BB120" s="23">
        <v>44860.61041666667</v>
      </c>
      <c r="BC120" s="23">
        <v>44858.395833333336</v>
      </c>
      <c r="BD120" s="23">
        <v>44858.395833333336</v>
      </c>
      <c r="BE120" s="23">
        <v>44860.599305555559</v>
      </c>
      <c r="BF120" s="20">
        <v>1350926</v>
      </c>
      <c r="BG120" s="20">
        <v>1351116</v>
      </c>
      <c r="BH120" s="20" t="s">
        <v>698</v>
      </c>
      <c r="BV120" s="20" t="s">
        <v>696</v>
      </c>
      <c r="BW120" s="23">
        <v>44858.40625</v>
      </c>
      <c r="BX120" s="20" t="s">
        <v>696</v>
      </c>
      <c r="BY120" s="23">
        <v>44858.458333333336</v>
      </c>
      <c r="BZ120" s="23">
        <v>44858.5</v>
      </c>
      <c r="CA120" s="20">
        <v>0</v>
      </c>
      <c r="CB120" s="20" t="s">
        <v>818</v>
      </c>
      <c r="CC120" s="20" t="s">
        <v>1679</v>
      </c>
      <c r="CD120" s="20" t="s">
        <v>694</v>
      </c>
      <c r="CE120" s="20">
        <v>77627</v>
      </c>
      <c r="CF120" s="20" t="s">
        <v>820</v>
      </c>
      <c r="CG120" s="20" t="s">
        <v>821</v>
      </c>
      <c r="CH120" s="20" t="s">
        <v>710</v>
      </c>
      <c r="CI120" s="20" t="s">
        <v>711</v>
      </c>
      <c r="CJ120" s="20" t="s">
        <v>698</v>
      </c>
      <c r="CK120" s="20" t="s">
        <v>712</v>
      </c>
      <c r="CL120" s="20" t="s">
        <v>741</v>
      </c>
      <c r="CM120" s="20" t="s">
        <v>742</v>
      </c>
      <c r="CO120" s="20">
        <v>72</v>
      </c>
      <c r="CP120" s="20" t="s">
        <v>698</v>
      </c>
      <c r="DM120" s="20" t="s">
        <v>743</v>
      </c>
      <c r="DN120" s="20" t="s">
        <v>744</v>
      </c>
      <c r="DO120" s="20" t="s">
        <v>745</v>
      </c>
      <c r="DP120" s="20" t="s">
        <v>698</v>
      </c>
      <c r="DQ120" s="20">
        <v>36</v>
      </c>
      <c r="DR120" s="20">
        <v>0.375</v>
      </c>
      <c r="DS120" s="20">
        <v>24000</v>
      </c>
      <c r="DT120" s="20" t="s">
        <v>1103</v>
      </c>
      <c r="DU120" s="20" t="s">
        <v>1680</v>
      </c>
      <c r="DW120" s="20" t="s">
        <v>728</v>
      </c>
      <c r="DX120" s="20" t="s">
        <v>748</v>
      </c>
      <c r="DZ120" s="20" t="s">
        <v>728</v>
      </c>
      <c r="FK120" s="20" t="s">
        <v>728</v>
      </c>
      <c r="FL120" s="20" t="s">
        <v>728</v>
      </c>
      <c r="FM120" s="20" t="s">
        <v>719</v>
      </c>
      <c r="FO120" s="20" t="s">
        <v>720</v>
      </c>
      <c r="FR120" s="20" t="s">
        <v>749</v>
      </c>
      <c r="FY120" s="20" t="s">
        <v>698</v>
      </c>
      <c r="GC120" s="20" t="s">
        <v>696</v>
      </c>
      <c r="GD120" s="20" t="s">
        <v>698</v>
      </c>
      <c r="GE120" s="20" t="s">
        <v>696</v>
      </c>
      <c r="GH120" s="20" t="s">
        <v>696</v>
      </c>
      <c r="GK120" s="20" t="s">
        <v>698</v>
      </c>
      <c r="GT120" s="20" t="s">
        <v>696</v>
      </c>
      <c r="GU120" s="20" t="s">
        <v>698</v>
      </c>
      <c r="HF120" s="20">
        <v>0</v>
      </c>
      <c r="HG120" s="20">
        <v>4250</v>
      </c>
      <c r="HH120" s="20">
        <v>23000</v>
      </c>
      <c r="HI120" s="20">
        <v>10000</v>
      </c>
      <c r="HJ120" s="20">
        <v>324000</v>
      </c>
      <c r="HK120" s="20">
        <v>0</v>
      </c>
      <c r="HM120" s="20">
        <v>361250</v>
      </c>
      <c r="HN120" s="20">
        <v>0</v>
      </c>
      <c r="HO120" s="20">
        <v>0</v>
      </c>
      <c r="HP120" s="20">
        <v>0</v>
      </c>
      <c r="HQ120" s="20">
        <v>0</v>
      </c>
      <c r="HR120" s="20">
        <v>80</v>
      </c>
      <c r="HS120" s="20">
        <v>275</v>
      </c>
      <c r="HT120" s="20" t="s">
        <v>750</v>
      </c>
      <c r="HV120" s="24">
        <v>29221</v>
      </c>
      <c r="HW120" s="20" t="s">
        <v>698</v>
      </c>
      <c r="HY120" s="20" t="s">
        <v>723</v>
      </c>
      <c r="HZ120" s="20" t="s">
        <v>698</v>
      </c>
      <c r="IS120" s="20" t="s">
        <v>724</v>
      </c>
      <c r="IT120" s="20" t="s">
        <v>696</v>
      </c>
      <c r="IU120" s="20" t="s">
        <v>696</v>
      </c>
      <c r="IV120" s="20" t="s">
        <v>696</v>
      </c>
      <c r="IW120" s="20" t="s">
        <v>698</v>
      </c>
      <c r="IX120" s="20" t="s">
        <v>698</v>
      </c>
      <c r="IY120" s="20" t="s">
        <v>696</v>
      </c>
      <c r="IZ120" s="20" t="s">
        <v>696</v>
      </c>
      <c r="JA120" s="20" t="s">
        <v>696</v>
      </c>
      <c r="JB120" s="20" t="s">
        <v>698</v>
      </c>
      <c r="JC120" s="20" t="s">
        <v>698</v>
      </c>
      <c r="JD120" s="20" t="s">
        <v>725</v>
      </c>
      <c r="JE120" s="20" t="s">
        <v>726</v>
      </c>
      <c r="JR120" s="20" t="s">
        <v>698</v>
      </c>
      <c r="JS120" s="20" t="s">
        <v>698</v>
      </c>
      <c r="JX120" s="20" t="s">
        <v>833</v>
      </c>
      <c r="JY120" s="20" t="s">
        <v>834</v>
      </c>
      <c r="JZ120" s="20" t="s">
        <v>834</v>
      </c>
      <c r="LD120" s="20" t="s">
        <v>835</v>
      </c>
      <c r="LG120" s="20" t="s">
        <v>696</v>
      </c>
      <c r="LH120" s="20" t="s">
        <v>696</v>
      </c>
      <c r="LL120" s="20" t="s">
        <v>696</v>
      </c>
      <c r="LP120" s="20" t="s">
        <v>696</v>
      </c>
      <c r="LU120" s="20" t="s">
        <v>698</v>
      </c>
      <c r="LV120" s="20" t="s">
        <v>698</v>
      </c>
      <c r="LW120" s="20" t="s">
        <v>838</v>
      </c>
      <c r="LX120" s="20" t="s">
        <v>838</v>
      </c>
      <c r="SC120" s="20" t="s">
        <v>698</v>
      </c>
      <c r="UO120" s="20" t="s">
        <v>698</v>
      </c>
      <c r="UR120" s="20" t="s">
        <v>698</v>
      </c>
      <c r="UZ120" s="20" t="s">
        <v>698</v>
      </c>
      <c r="XL120" s="20" t="s">
        <v>730</v>
      </c>
      <c r="XM120" s="20" t="s">
        <v>1360</v>
      </c>
      <c r="XN120" s="20" t="s">
        <v>732</v>
      </c>
      <c r="XO120" s="20" t="s">
        <v>733</v>
      </c>
      <c r="XQ120" s="24">
        <v>44887</v>
      </c>
      <c r="XU120" s="20" t="s">
        <v>730</v>
      </c>
      <c r="XV120" s="20" t="s">
        <v>733</v>
      </c>
      <c r="XW120" s="20" t="s">
        <v>1360</v>
      </c>
      <c r="XX120" s="20" t="s">
        <v>732</v>
      </c>
      <c r="XY120" s="20" t="s">
        <v>1681</v>
      </c>
    </row>
    <row r="121" spans="1:649" ht="13">
      <c r="A121" s="20">
        <v>776</v>
      </c>
      <c r="B121" s="21">
        <v>44887</v>
      </c>
      <c r="C121" s="20">
        <v>2022</v>
      </c>
      <c r="D121" s="20">
        <v>20220258</v>
      </c>
      <c r="E121" s="20">
        <v>37376</v>
      </c>
      <c r="F121" s="20" t="s">
        <v>885</v>
      </c>
      <c r="G121" s="20">
        <v>39706</v>
      </c>
      <c r="H121" s="20" t="s">
        <v>817</v>
      </c>
      <c r="I121" s="20" t="s">
        <v>692</v>
      </c>
      <c r="J121" s="20" t="s">
        <v>693</v>
      </c>
      <c r="K121" s="20" t="s">
        <v>694</v>
      </c>
      <c r="L121" s="20">
        <v>77002</v>
      </c>
      <c r="M121" s="22">
        <v>44857.326388888891</v>
      </c>
      <c r="N121" s="20" t="s">
        <v>695</v>
      </c>
      <c r="O121" s="20" t="s">
        <v>696</v>
      </c>
      <c r="P121" s="20">
        <v>30.001169000000001</v>
      </c>
      <c r="Q121" s="20">
        <v>-93.992631000000003</v>
      </c>
      <c r="R121" s="20" t="s">
        <v>697</v>
      </c>
      <c r="W121" s="20">
        <v>0.64</v>
      </c>
      <c r="Y121" s="20">
        <v>0.64</v>
      </c>
      <c r="Z121" s="20" t="s">
        <v>698</v>
      </c>
      <c r="AF121" s="20">
        <v>0</v>
      </c>
      <c r="AG121" s="20" t="s">
        <v>698</v>
      </c>
      <c r="AM121" s="20">
        <v>0</v>
      </c>
      <c r="AN121" s="20" t="s">
        <v>699</v>
      </c>
      <c r="AP121" s="20" t="s">
        <v>700</v>
      </c>
      <c r="AQ121" s="23">
        <v>44857.326388888891</v>
      </c>
      <c r="AR121" s="20" t="s">
        <v>736</v>
      </c>
      <c r="AS121" s="20" t="s">
        <v>702</v>
      </c>
      <c r="AT121" s="20" t="s">
        <v>703</v>
      </c>
      <c r="AU121" s="20" t="s">
        <v>698</v>
      </c>
      <c r="AV121" s="20" t="s">
        <v>1682</v>
      </c>
      <c r="AZ121" s="20" t="s">
        <v>698</v>
      </c>
      <c r="BC121" s="23">
        <v>44857.326388888891</v>
      </c>
      <c r="BD121" s="23">
        <v>44857.326388888891</v>
      </c>
      <c r="BF121" s="20" t="s">
        <v>754</v>
      </c>
      <c r="BH121" s="20" t="s">
        <v>698</v>
      </c>
      <c r="BV121" s="20" t="s">
        <v>698</v>
      </c>
      <c r="BX121" s="20" t="s">
        <v>698</v>
      </c>
      <c r="CA121" s="20">
        <v>0</v>
      </c>
      <c r="CB121" s="20" t="s">
        <v>818</v>
      </c>
      <c r="CC121" s="20" t="s">
        <v>819</v>
      </c>
      <c r="CD121" s="20" t="s">
        <v>694</v>
      </c>
      <c r="CE121" s="20">
        <v>77267</v>
      </c>
      <c r="CF121" s="20" t="s">
        <v>820</v>
      </c>
      <c r="CG121" s="20" t="s">
        <v>821</v>
      </c>
      <c r="CH121" s="20" t="s">
        <v>710</v>
      </c>
      <c r="CI121" s="20" t="s">
        <v>711</v>
      </c>
      <c r="CJ121" s="20" t="s">
        <v>698</v>
      </c>
      <c r="CK121" s="20" t="s">
        <v>712</v>
      </c>
      <c r="CL121" s="20" t="s">
        <v>713</v>
      </c>
      <c r="CM121" s="20" t="s">
        <v>758</v>
      </c>
      <c r="CP121" s="20" t="s">
        <v>698</v>
      </c>
      <c r="DM121" s="20" t="s">
        <v>743</v>
      </c>
      <c r="DN121" s="20" t="s">
        <v>829</v>
      </c>
      <c r="EM121" s="20" t="s">
        <v>1683</v>
      </c>
      <c r="FK121" s="20" t="s">
        <v>728</v>
      </c>
      <c r="FL121" s="20" t="s">
        <v>728</v>
      </c>
      <c r="FM121" s="20" t="s">
        <v>719</v>
      </c>
      <c r="FO121" s="20" t="s">
        <v>720</v>
      </c>
      <c r="FR121" s="20" t="s">
        <v>766</v>
      </c>
      <c r="FS121" s="20" t="s">
        <v>1684</v>
      </c>
      <c r="FY121" s="20" t="s">
        <v>698</v>
      </c>
      <c r="GC121" s="20" t="s">
        <v>696</v>
      </c>
      <c r="GD121" s="20" t="s">
        <v>698</v>
      </c>
      <c r="GE121" s="20" t="s">
        <v>696</v>
      </c>
      <c r="GH121" s="20" t="s">
        <v>696</v>
      </c>
      <c r="GK121" s="20" t="s">
        <v>698</v>
      </c>
      <c r="GT121" s="20" t="s">
        <v>696</v>
      </c>
      <c r="GU121" s="20" t="s">
        <v>698</v>
      </c>
      <c r="HF121" s="20">
        <v>0</v>
      </c>
      <c r="HG121" s="20">
        <v>39</v>
      </c>
      <c r="HH121" s="20">
        <v>0</v>
      </c>
      <c r="HI121" s="20">
        <v>0</v>
      </c>
      <c r="HJ121" s="20">
        <v>200</v>
      </c>
      <c r="HK121" s="20">
        <v>0</v>
      </c>
      <c r="HM121" s="20">
        <v>239</v>
      </c>
      <c r="HN121" s="20">
        <v>0</v>
      </c>
      <c r="HO121" s="20">
        <v>0</v>
      </c>
      <c r="HP121" s="20">
        <v>0</v>
      </c>
      <c r="HQ121" s="20">
        <v>0</v>
      </c>
      <c r="HR121" s="20">
        <v>80</v>
      </c>
      <c r="HS121" s="20">
        <v>285</v>
      </c>
      <c r="HT121" s="20" t="s">
        <v>750</v>
      </c>
      <c r="HV121" s="24">
        <v>42005</v>
      </c>
      <c r="HW121" s="20" t="s">
        <v>698</v>
      </c>
      <c r="HY121" s="20" t="s">
        <v>723</v>
      </c>
      <c r="HZ121" s="20" t="s">
        <v>698</v>
      </c>
      <c r="IS121" s="20" t="s">
        <v>724</v>
      </c>
      <c r="IT121" s="20" t="s">
        <v>696</v>
      </c>
      <c r="IU121" s="20" t="s">
        <v>696</v>
      </c>
      <c r="IV121" s="20" t="s">
        <v>696</v>
      </c>
      <c r="IW121" s="20" t="s">
        <v>698</v>
      </c>
      <c r="IX121" s="20" t="s">
        <v>698</v>
      </c>
      <c r="IY121" s="20" t="s">
        <v>698</v>
      </c>
      <c r="JD121" s="20" t="s">
        <v>725</v>
      </c>
      <c r="JE121" s="20" t="s">
        <v>726</v>
      </c>
      <c r="JR121" s="20" t="s">
        <v>698</v>
      </c>
      <c r="JS121" s="20" t="s">
        <v>698</v>
      </c>
      <c r="JX121" s="20" t="s">
        <v>894</v>
      </c>
      <c r="JY121" s="20" t="s">
        <v>1685</v>
      </c>
      <c r="RM121" s="20" t="s">
        <v>1685</v>
      </c>
      <c r="RS121" s="20" t="s">
        <v>696</v>
      </c>
      <c r="RV121" s="20" t="s">
        <v>897</v>
      </c>
      <c r="RW121" s="20" t="s">
        <v>696</v>
      </c>
      <c r="RX121" s="20" t="s">
        <v>898</v>
      </c>
      <c r="XL121" s="20" t="s">
        <v>730</v>
      </c>
      <c r="XM121" s="20" t="s">
        <v>1360</v>
      </c>
      <c r="XN121" s="20" t="s">
        <v>732</v>
      </c>
      <c r="XO121" s="20" t="s">
        <v>733</v>
      </c>
      <c r="XQ121" s="24">
        <v>44887</v>
      </c>
      <c r="XU121" s="20" t="s">
        <v>730</v>
      </c>
      <c r="XV121" s="20" t="s">
        <v>733</v>
      </c>
      <c r="XW121" s="20" t="s">
        <v>1360</v>
      </c>
      <c r="XX121" s="20" t="s">
        <v>732</v>
      </c>
      <c r="XY121" s="20" t="s">
        <v>1686</v>
      </c>
    </row>
    <row r="122" spans="1:649" ht="13">
      <c r="A122" s="20">
        <v>781</v>
      </c>
      <c r="B122" s="21">
        <v>44874</v>
      </c>
      <c r="C122" s="20">
        <v>2022</v>
      </c>
      <c r="D122" s="20">
        <v>20220250</v>
      </c>
      <c r="E122" s="20">
        <v>37716</v>
      </c>
      <c r="F122" s="20" t="s">
        <v>825</v>
      </c>
      <c r="G122" s="20">
        <v>18718</v>
      </c>
      <c r="H122" s="20" t="s">
        <v>918</v>
      </c>
      <c r="I122" s="20" t="s">
        <v>692</v>
      </c>
      <c r="J122" s="20" t="s">
        <v>693</v>
      </c>
      <c r="K122" s="20" t="s">
        <v>694</v>
      </c>
      <c r="L122" s="20">
        <v>77002</v>
      </c>
      <c r="M122" s="22">
        <v>44844.75</v>
      </c>
      <c r="N122" s="20" t="s">
        <v>695</v>
      </c>
      <c r="O122" s="20" t="s">
        <v>696</v>
      </c>
      <c r="P122" s="20">
        <v>32.103628</v>
      </c>
      <c r="Q122" s="20">
        <v>-96.280635000000004</v>
      </c>
      <c r="R122" s="20" t="s">
        <v>697</v>
      </c>
      <c r="W122" s="20">
        <v>400</v>
      </c>
      <c r="Y122" s="20">
        <v>400</v>
      </c>
      <c r="Z122" s="20" t="s">
        <v>698</v>
      </c>
      <c r="AF122" s="20">
        <v>0</v>
      </c>
      <c r="AG122" s="20" t="s">
        <v>698</v>
      </c>
      <c r="AM122" s="20">
        <v>0</v>
      </c>
      <c r="AN122" s="20" t="s">
        <v>775</v>
      </c>
      <c r="AQ122" s="23">
        <v>44844.770833333336</v>
      </c>
      <c r="AR122" s="20" t="s">
        <v>776</v>
      </c>
      <c r="AS122" s="20" t="s">
        <v>702</v>
      </c>
      <c r="AT122" s="20" t="s">
        <v>703</v>
      </c>
      <c r="AU122" s="20" t="s">
        <v>696</v>
      </c>
      <c r="AW122" s="23">
        <v>44844.75</v>
      </c>
      <c r="AX122" s="23">
        <v>44847.854166666664</v>
      </c>
      <c r="AZ122" s="20" t="s">
        <v>696</v>
      </c>
      <c r="BA122" s="20" t="s">
        <v>753</v>
      </c>
      <c r="BB122" s="23">
        <v>44844.815972222219</v>
      </c>
      <c r="BC122" s="23">
        <v>44844.770833333336</v>
      </c>
      <c r="BD122" s="23">
        <v>44844.770833333336</v>
      </c>
      <c r="BE122" s="23">
        <v>44844.799305555556</v>
      </c>
      <c r="BF122" s="20">
        <v>1349534</v>
      </c>
      <c r="BG122" s="20">
        <v>1349728</v>
      </c>
      <c r="BH122" s="20" t="s">
        <v>698</v>
      </c>
      <c r="BN122" s="20" t="s">
        <v>777</v>
      </c>
      <c r="BP122" s="23">
        <v>44844.78125</v>
      </c>
      <c r="BQ122" s="20" t="s">
        <v>779</v>
      </c>
      <c r="BR122" s="20" t="s">
        <v>777</v>
      </c>
      <c r="BT122" s="23">
        <v>44844.788194444445</v>
      </c>
      <c r="BU122" s="20" t="s">
        <v>779</v>
      </c>
      <c r="BV122" s="20" t="s">
        <v>696</v>
      </c>
      <c r="BW122" s="23">
        <v>44844.753472222219</v>
      </c>
      <c r="BX122" s="20" t="s">
        <v>698</v>
      </c>
      <c r="CA122" s="20">
        <v>0</v>
      </c>
      <c r="CB122" s="20" t="s">
        <v>1687</v>
      </c>
      <c r="CC122" s="20" t="s">
        <v>1688</v>
      </c>
      <c r="CD122" s="20" t="s">
        <v>694</v>
      </c>
      <c r="CE122" s="20">
        <v>75110</v>
      </c>
      <c r="CF122" s="20" t="s">
        <v>708</v>
      </c>
      <c r="CG122" s="20" t="s">
        <v>1283</v>
      </c>
      <c r="CH122" s="20" t="s">
        <v>784</v>
      </c>
      <c r="CI122" s="20">
        <v>84.5</v>
      </c>
      <c r="CJ122" s="20" t="s">
        <v>698</v>
      </c>
      <c r="CK122" s="20" t="s">
        <v>785</v>
      </c>
      <c r="CL122" s="20" t="s">
        <v>741</v>
      </c>
      <c r="CM122" s="20" t="s">
        <v>742</v>
      </c>
      <c r="CO122" s="20">
        <v>10</v>
      </c>
      <c r="CP122" s="20" t="s">
        <v>698</v>
      </c>
      <c r="DM122" s="20" t="s">
        <v>715</v>
      </c>
      <c r="DN122" s="20" t="s">
        <v>744</v>
      </c>
      <c r="DO122" s="20" t="s">
        <v>745</v>
      </c>
      <c r="DP122" s="20" t="s">
        <v>698</v>
      </c>
      <c r="DQ122" s="20">
        <v>12.75</v>
      </c>
      <c r="DR122" s="20">
        <v>0.25</v>
      </c>
      <c r="DS122" s="20">
        <v>30000</v>
      </c>
      <c r="DT122" s="20" t="s">
        <v>1689</v>
      </c>
      <c r="DU122" s="20" t="s">
        <v>1422</v>
      </c>
      <c r="DW122" s="20" t="s">
        <v>728</v>
      </c>
      <c r="DX122" s="20" t="s">
        <v>805</v>
      </c>
      <c r="DZ122" s="20" t="s">
        <v>698</v>
      </c>
      <c r="FK122" s="20">
        <v>1931</v>
      </c>
      <c r="FL122" s="20" t="s">
        <v>728</v>
      </c>
      <c r="FM122" s="20" t="s">
        <v>719</v>
      </c>
      <c r="FO122" s="20" t="s">
        <v>720</v>
      </c>
      <c r="FR122" s="20" t="s">
        <v>749</v>
      </c>
      <c r="FY122" s="20" t="s">
        <v>698</v>
      </c>
      <c r="GC122" s="20" t="s">
        <v>696</v>
      </c>
      <c r="GD122" s="20" t="s">
        <v>698</v>
      </c>
      <c r="GE122" s="20" t="s">
        <v>696</v>
      </c>
      <c r="GH122" s="20" t="s">
        <v>696</v>
      </c>
      <c r="GK122" s="20" t="s">
        <v>698</v>
      </c>
      <c r="GT122" s="20" t="s">
        <v>696</v>
      </c>
      <c r="GU122" s="20" t="s">
        <v>698</v>
      </c>
      <c r="HF122" s="20">
        <v>100000</v>
      </c>
      <c r="HG122" s="20">
        <v>36800</v>
      </c>
      <c r="HH122" s="20">
        <v>0</v>
      </c>
      <c r="HI122" s="20">
        <v>21800</v>
      </c>
      <c r="HJ122" s="20">
        <v>250000</v>
      </c>
      <c r="HK122" s="20">
        <v>0</v>
      </c>
      <c r="HM122" s="20">
        <v>408600</v>
      </c>
      <c r="HN122" s="20">
        <v>0</v>
      </c>
      <c r="HO122" s="20">
        <v>0</v>
      </c>
      <c r="HP122" s="20">
        <v>0</v>
      </c>
      <c r="HQ122" s="20">
        <v>0</v>
      </c>
      <c r="HR122" s="20">
        <v>350</v>
      </c>
      <c r="HS122" s="20">
        <v>784</v>
      </c>
      <c r="HT122" s="20" t="s">
        <v>787</v>
      </c>
      <c r="HV122" s="24">
        <v>41360</v>
      </c>
      <c r="HW122" s="20" t="s">
        <v>698</v>
      </c>
      <c r="HY122" s="20" t="s">
        <v>723</v>
      </c>
      <c r="HZ122" s="20" t="s">
        <v>698</v>
      </c>
      <c r="IC122" s="20">
        <v>56216</v>
      </c>
      <c r="ID122" s="20" t="s">
        <v>696</v>
      </c>
      <c r="IL122" s="20" t="s">
        <v>698</v>
      </c>
      <c r="IS122" s="20" t="s">
        <v>724</v>
      </c>
      <c r="IT122" s="20" t="s">
        <v>696</v>
      </c>
      <c r="IU122" s="20" t="s">
        <v>696</v>
      </c>
      <c r="IV122" s="20" t="s">
        <v>696</v>
      </c>
      <c r="IW122" s="20" t="s">
        <v>698</v>
      </c>
      <c r="IX122" s="20" t="s">
        <v>696</v>
      </c>
      <c r="IY122" s="20" t="s">
        <v>696</v>
      </c>
      <c r="IZ122" s="20" t="s">
        <v>696</v>
      </c>
      <c r="JA122" s="20" t="s">
        <v>696</v>
      </c>
      <c r="JB122" s="20" t="s">
        <v>698</v>
      </c>
      <c r="JC122" s="20" t="s">
        <v>696</v>
      </c>
      <c r="JD122" s="20" t="s">
        <v>725</v>
      </c>
      <c r="JE122" s="20" t="s">
        <v>726</v>
      </c>
      <c r="JR122" s="20" t="s">
        <v>698</v>
      </c>
      <c r="JS122" s="20" t="s">
        <v>698</v>
      </c>
      <c r="JX122" s="20" t="s">
        <v>833</v>
      </c>
      <c r="JY122" s="20" t="s">
        <v>860</v>
      </c>
      <c r="JZ122" s="20" t="s">
        <v>860</v>
      </c>
      <c r="KA122" s="20" t="s">
        <v>835</v>
      </c>
      <c r="KC122" s="20" t="s">
        <v>696</v>
      </c>
      <c r="KL122" s="20" t="s">
        <v>696</v>
      </c>
      <c r="KP122" s="20" t="s">
        <v>696</v>
      </c>
      <c r="KQ122" s="20" t="s">
        <v>696</v>
      </c>
      <c r="KR122" s="20">
        <v>1952</v>
      </c>
      <c r="KS122" s="20" t="s">
        <v>698</v>
      </c>
      <c r="KT122" s="20" t="s">
        <v>696</v>
      </c>
      <c r="KU122" s="20" t="s">
        <v>696</v>
      </c>
      <c r="KV122" s="20" t="s">
        <v>696</v>
      </c>
      <c r="KX122" s="20">
        <v>2022</v>
      </c>
      <c r="KY122" s="20">
        <v>2019</v>
      </c>
      <c r="LC122" s="20" t="s">
        <v>1690</v>
      </c>
      <c r="SC122" s="20" t="s">
        <v>696</v>
      </c>
      <c r="SD122" s="20" t="s">
        <v>696</v>
      </c>
      <c r="SG122" s="20" t="s">
        <v>696</v>
      </c>
      <c r="SK122" s="20">
        <v>2022</v>
      </c>
      <c r="SL122" s="20" t="s">
        <v>863</v>
      </c>
      <c r="SM122" s="20" t="s">
        <v>864</v>
      </c>
      <c r="SO122" s="20" t="s">
        <v>933</v>
      </c>
      <c r="SQ122" s="20">
        <v>2020</v>
      </c>
      <c r="SR122" s="20" t="s">
        <v>863</v>
      </c>
      <c r="SS122" s="20" t="s">
        <v>864</v>
      </c>
      <c r="SU122" s="20" t="s">
        <v>933</v>
      </c>
      <c r="TQ122" s="20">
        <v>2022</v>
      </c>
      <c r="TR122" s="20" t="s">
        <v>863</v>
      </c>
      <c r="TS122" s="20" t="s">
        <v>933</v>
      </c>
      <c r="TU122" s="20" t="s">
        <v>866</v>
      </c>
      <c r="TV122" s="20">
        <v>2020</v>
      </c>
      <c r="TW122" s="20" t="s">
        <v>863</v>
      </c>
      <c r="TX122" s="20" t="s">
        <v>933</v>
      </c>
      <c r="TZ122" s="20" t="s">
        <v>866</v>
      </c>
      <c r="UO122" s="20" t="s">
        <v>696</v>
      </c>
      <c r="UP122" s="20">
        <v>2013</v>
      </c>
      <c r="UQ122" s="20">
        <v>1054</v>
      </c>
      <c r="UR122" s="20" t="s">
        <v>698</v>
      </c>
      <c r="UZ122" s="20" t="s">
        <v>698</v>
      </c>
      <c r="XL122" s="20" t="s">
        <v>730</v>
      </c>
      <c r="XM122" s="20" t="s">
        <v>1360</v>
      </c>
      <c r="XN122" s="20" t="s">
        <v>732</v>
      </c>
      <c r="XO122" s="20" t="s">
        <v>733</v>
      </c>
      <c r="XQ122" s="24">
        <v>44972</v>
      </c>
      <c r="XU122" s="20" t="s">
        <v>730</v>
      </c>
      <c r="XV122" s="20" t="s">
        <v>733</v>
      </c>
      <c r="XW122" s="20" t="s">
        <v>1360</v>
      </c>
      <c r="XX122" s="20" t="s">
        <v>732</v>
      </c>
      <c r="XY122" s="20" t="s">
        <v>1691</v>
      </c>
    </row>
    <row r="123" spans="1:649" ht="13">
      <c r="A123" s="20">
        <v>796</v>
      </c>
      <c r="B123" s="21">
        <v>44847</v>
      </c>
      <c r="C123" s="20">
        <v>2022</v>
      </c>
      <c r="D123" s="20">
        <v>20220233</v>
      </c>
      <c r="E123" s="20">
        <v>38127</v>
      </c>
      <c r="F123" s="20" t="s">
        <v>825</v>
      </c>
      <c r="G123" s="20">
        <v>18718</v>
      </c>
      <c r="H123" s="20" t="s">
        <v>918</v>
      </c>
      <c r="I123" s="20" t="s">
        <v>692</v>
      </c>
      <c r="J123" s="20" t="s">
        <v>693</v>
      </c>
      <c r="K123" s="20" t="s">
        <v>694</v>
      </c>
      <c r="L123" s="20">
        <v>77002</v>
      </c>
      <c r="M123" s="22">
        <v>44820.414583333331</v>
      </c>
      <c r="N123" s="20" t="s">
        <v>695</v>
      </c>
      <c r="O123" s="20" t="s">
        <v>696</v>
      </c>
      <c r="P123" s="20">
        <v>32.201379000000003</v>
      </c>
      <c r="Q123" s="20">
        <v>-95.723382000000001</v>
      </c>
      <c r="R123" s="20" t="s">
        <v>697</v>
      </c>
      <c r="W123" s="20">
        <v>200</v>
      </c>
      <c r="Y123" s="20">
        <v>200</v>
      </c>
      <c r="Z123" s="20" t="s">
        <v>698</v>
      </c>
      <c r="AF123" s="20">
        <v>0</v>
      </c>
      <c r="AG123" s="20" t="s">
        <v>698</v>
      </c>
      <c r="AM123" s="20">
        <v>0</v>
      </c>
      <c r="AN123" s="20" t="s">
        <v>766</v>
      </c>
      <c r="AO123" s="20" t="s">
        <v>1692</v>
      </c>
      <c r="AQ123" s="23">
        <v>44820.414583333331</v>
      </c>
      <c r="AR123" s="20" t="s">
        <v>776</v>
      </c>
      <c r="AS123" s="20" t="s">
        <v>702</v>
      </c>
      <c r="AT123" s="20" t="s">
        <v>703</v>
      </c>
      <c r="AU123" s="20" t="s">
        <v>696</v>
      </c>
      <c r="AW123" s="23">
        <v>44820.418055555558</v>
      </c>
      <c r="AX123" s="23">
        <v>44821.791666666664</v>
      </c>
      <c r="AZ123" s="20" t="s">
        <v>696</v>
      </c>
      <c r="BA123" s="20" t="s">
        <v>753</v>
      </c>
      <c r="BB123" s="23">
        <v>44820.520833333336</v>
      </c>
      <c r="BC123" s="23">
        <v>44820.414583333331</v>
      </c>
      <c r="BD123" s="23">
        <v>44820.414583333331</v>
      </c>
      <c r="BE123" s="23">
        <v>44820.503472222219</v>
      </c>
      <c r="BF123" s="20">
        <v>1347443</v>
      </c>
      <c r="BG123" s="20">
        <v>1347573</v>
      </c>
      <c r="BH123" s="20" t="s">
        <v>698</v>
      </c>
      <c r="BN123" s="20" t="s">
        <v>777</v>
      </c>
      <c r="BP123" s="23">
        <v>44820.415972222225</v>
      </c>
      <c r="BQ123" s="20" t="s">
        <v>779</v>
      </c>
      <c r="BR123" s="20" t="s">
        <v>777</v>
      </c>
      <c r="BT123" s="23">
        <v>44820.4375</v>
      </c>
      <c r="BU123" s="20" t="s">
        <v>779</v>
      </c>
      <c r="BV123" s="20" t="s">
        <v>696</v>
      </c>
      <c r="BW123" s="23">
        <v>44820.415277777778</v>
      </c>
      <c r="BX123" s="20" t="s">
        <v>696</v>
      </c>
      <c r="BY123" s="23">
        <v>44820.4375</v>
      </c>
      <c r="BZ123" s="23">
        <v>44820.5625</v>
      </c>
      <c r="CA123" s="20">
        <v>0</v>
      </c>
      <c r="CB123" s="20" t="s">
        <v>1687</v>
      </c>
      <c r="CC123" s="20" t="s">
        <v>1688</v>
      </c>
      <c r="CD123" s="20" t="s">
        <v>694</v>
      </c>
      <c r="CE123" s="20">
        <v>75752</v>
      </c>
      <c r="CF123" s="20" t="s">
        <v>1693</v>
      </c>
      <c r="CG123" s="20" t="s">
        <v>1694</v>
      </c>
      <c r="CH123" s="20" t="s">
        <v>784</v>
      </c>
      <c r="CI123" s="20" t="s">
        <v>1695</v>
      </c>
      <c r="CJ123" s="20" t="s">
        <v>698</v>
      </c>
      <c r="CK123" s="20" t="s">
        <v>785</v>
      </c>
      <c r="CL123" s="20" t="s">
        <v>713</v>
      </c>
      <c r="CM123" s="20" t="s">
        <v>1696</v>
      </c>
      <c r="CP123" s="20" t="s">
        <v>698</v>
      </c>
      <c r="DM123" s="20" t="s">
        <v>715</v>
      </c>
      <c r="DN123" s="20" t="s">
        <v>744</v>
      </c>
      <c r="DO123" s="20" t="s">
        <v>745</v>
      </c>
      <c r="DP123" s="20" t="s">
        <v>698</v>
      </c>
      <c r="DQ123" s="20">
        <v>12</v>
      </c>
      <c r="DR123" s="20">
        <v>0.25</v>
      </c>
      <c r="DS123" s="20">
        <v>30000</v>
      </c>
      <c r="DT123" s="20" t="s">
        <v>1689</v>
      </c>
      <c r="DU123" s="20" t="s">
        <v>1422</v>
      </c>
      <c r="DW123" s="20" t="s">
        <v>728</v>
      </c>
      <c r="DX123" s="20" t="s">
        <v>805</v>
      </c>
      <c r="DZ123" s="20" t="s">
        <v>698</v>
      </c>
      <c r="FK123" s="20">
        <v>1931</v>
      </c>
      <c r="FL123" s="20" t="s">
        <v>728</v>
      </c>
      <c r="FM123" s="20" t="s">
        <v>719</v>
      </c>
      <c r="FO123" s="20" t="s">
        <v>1061</v>
      </c>
      <c r="FP123" s="20">
        <v>6</v>
      </c>
      <c r="FQ123" s="20">
        <v>0.5</v>
      </c>
      <c r="FY123" s="20" t="s">
        <v>698</v>
      </c>
      <c r="GC123" s="20" t="s">
        <v>696</v>
      </c>
      <c r="GD123" s="20" t="s">
        <v>698</v>
      </c>
      <c r="GE123" s="20" t="s">
        <v>696</v>
      </c>
      <c r="GF123" s="20" t="s">
        <v>696</v>
      </c>
      <c r="GH123" s="20" t="s">
        <v>696</v>
      </c>
      <c r="GK123" s="20" t="s">
        <v>696</v>
      </c>
      <c r="GM123" s="20" t="s">
        <v>696</v>
      </c>
      <c r="GR123" s="20">
        <v>200</v>
      </c>
      <c r="GS123" s="20" t="s">
        <v>1697</v>
      </c>
      <c r="GT123" s="20" t="s">
        <v>696</v>
      </c>
      <c r="GU123" s="20" t="s">
        <v>698</v>
      </c>
      <c r="HF123" s="20">
        <v>0</v>
      </c>
      <c r="HG123" s="20">
        <v>550</v>
      </c>
      <c r="HH123" s="20">
        <v>25000</v>
      </c>
      <c r="HI123" s="20">
        <v>3700000</v>
      </c>
      <c r="HJ123" s="20">
        <v>20000</v>
      </c>
      <c r="HK123" s="20">
        <v>0</v>
      </c>
      <c r="HM123" s="20">
        <v>3745550</v>
      </c>
      <c r="HN123" s="20">
        <v>0</v>
      </c>
      <c r="HO123" s="20">
        <v>0</v>
      </c>
      <c r="HP123" s="20">
        <v>0</v>
      </c>
      <c r="HQ123" s="20">
        <v>0</v>
      </c>
      <c r="HR123" s="20">
        <v>419</v>
      </c>
      <c r="HS123" s="20">
        <v>784</v>
      </c>
      <c r="HT123" s="20" t="s">
        <v>787</v>
      </c>
      <c r="HV123" s="24">
        <v>41360</v>
      </c>
      <c r="HW123" s="20" t="s">
        <v>698</v>
      </c>
      <c r="HY123" s="20" t="s">
        <v>723</v>
      </c>
      <c r="HZ123" s="20" t="s">
        <v>698</v>
      </c>
      <c r="IC123" s="20">
        <v>38544</v>
      </c>
      <c r="ID123" s="20" t="s">
        <v>696</v>
      </c>
      <c r="IL123" s="20" t="s">
        <v>698</v>
      </c>
      <c r="IS123" s="20" t="s">
        <v>724</v>
      </c>
      <c r="IT123" s="20" t="s">
        <v>696</v>
      </c>
      <c r="IU123" s="20" t="s">
        <v>696</v>
      </c>
      <c r="IV123" s="20" t="s">
        <v>696</v>
      </c>
      <c r="IW123" s="20" t="s">
        <v>696</v>
      </c>
      <c r="IX123" s="20" t="s">
        <v>696</v>
      </c>
      <c r="IY123" s="20" t="s">
        <v>696</v>
      </c>
      <c r="IZ123" s="20" t="s">
        <v>696</v>
      </c>
      <c r="JA123" s="20" t="s">
        <v>696</v>
      </c>
      <c r="JB123" s="20" t="s">
        <v>698</v>
      </c>
      <c r="JC123" s="20" t="s">
        <v>696</v>
      </c>
      <c r="JD123" s="20" t="s">
        <v>725</v>
      </c>
      <c r="JE123" s="20" t="s">
        <v>1698</v>
      </c>
      <c r="JR123" s="20" t="s">
        <v>696</v>
      </c>
      <c r="JS123" s="20" t="s">
        <v>698</v>
      </c>
      <c r="JT123" s="20">
        <v>1</v>
      </c>
      <c r="JU123" s="20">
        <v>0</v>
      </c>
      <c r="JX123" s="20" t="s">
        <v>1062</v>
      </c>
      <c r="JY123" s="20" t="s">
        <v>1063</v>
      </c>
      <c r="NY123" s="20" t="s">
        <v>1063</v>
      </c>
      <c r="NZ123" s="20" t="s">
        <v>1064</v>
      </c>
      <c r="OJ123" s="20" t="s">
        <v>698</v>
      </c>
      <c r="OP123" s="20" t="s">
        <v>696</v>
      </c>
      <c r="OQ123" s="20">
        <v>5</v>
      </c>
      <c r="OS123" s="20" t="s">
        <v>1065</v>
      </c>
      <c r="OT123" s="20" t="s">
        <v>1066</v>
      </c>
      <c r="OU123" s="20">
        <v>0</v>
      </c>
      <c r="OV123" s="20" t="s">
        <v>698</v>
      </c>
      <c r="XL123" s="20" t="s">
        <v>730</v>
      </c>
      <c r="XM123" s="20" t="s">
        <v>1360</v>
      </c>
      <c r="XN123" s="20" t="s">
        <v>732</v>
      </c>
      <c r="XO123" s="20" t="s">
        <v>733</v>
      </c>
      <c r="XQ123" s="24">
        <v>45079</v>
      </c>
      <c r="XU123" s="20" t="s">
        <v>730</v>
      </c>
      <c r="XV123" s="20" t="s">
        <v>733</v>
      </c>
      <c r="XW123" s="20" t="s">
        <v>1360</v>
      </c>
      <c r="XX123" s="20" t="s">
        <v>732</v>
      </c>
      <c r="XY123" s="20" t="s">
        <v>1699</v>
      </c>
    </row>
    <row r="124" spans="1:649" ht="13">
      <c r="A124" s="20">
        <v>797</v>
      </c>
      <c r="B124" s="21">
        <v>44847</v>
      </c>
      <c r="C124" s="20">
        <v>2022</v>
      </c>
      <c r="D124" s="20">
        <v>20220232</v>
      </c>
      <c r="E124" s="20">
        <v>37478</v>
      </c>
      <c r="F124" s="20" t="s">
        <v>825</v>
      </c>
      <c r="G124" s="20">
        <v>18718</v>
      </c>
      <c r="H124" s="20" t="s">
        <v>918</v>
      </c>
      <c r="I124" s="20" t="s">
        <v>692</v>
      </c>
      <c r="J124" s="20" t="s">
        <v>693</v>
      </c>
      <c r="K124" s="20" t="s">
        <v>694</v>
      </c>
      <c r="L124" s="20">
        <v>77002</v>
      </c>
      <c r="M124" s="22">
        <v>44820.025694444441</v>
      </c>
      <c r="N124" s="20" t="s">
        <v>843</v>
      </c>
      <c r="O124" s="20" t="s">
        <v>696</v>
      </c>
      <c r="P124" s="20">
        <v>39.844873</v>
      </c>
      <c r="Q124" s="20">
        <v>-75.418313999999995</v>
      </c>
      <c r="R124" s="20" t="s">
        <v>773</v>
      </c>
      <c r="S124" s="20" t="s">
        <v>1700</v>
      </c>
      <c r="T124" s="20" t="s">
        <v>1701</v>
      </c>
      <c r="W124" s="20">
        <v>0.24</v>
      </c>
      <c r="X124" s="20">
        <v>0</v>
      </c>
      <c r="Y124" s="20">
        <v>0</v>
      </c>
      <c r="Z124" s="20" t="s">
        <v>698</v>
      </c>
      <c r="AF124" s="20">
        <v>0</v>
      </c>
      <c r="AG124" s="20" t="s">
        <v>698</v>
      </c>
      <c r="AM124" s="20">
        <v>0</v>
      </c>
      <c r="AN124" s="20" t="s">
        <v>797</v>
      </c>
      <c r="AQ124" s="23">
        <v>44820.068055555559</v>
      </c>
      <c r="AR124" s="20" t="s">
        <v>701</v>
      </c>
      <c r="AS124" s="20" t="s">
        <v>702</v>
      </c>
      <c r="AT124" s="20" t="s">
        <v>703</v>
      </c>
      <c r="AU124" s="20" t="s">
        <v>696</v>
      </c>
      <c r="AW124" s="23">
        <v>44820.009722222225</v>
      </c>
      <c r="AX124" s="23">
        <v>44820.145138888889</v>
      </c>
      <c r="AZ124" s="20" t="s">
        <v>696</v>
      </c>
      <c r="BA124" s="20" t="s">
        <v>753</v>
      </c>
      <c r="BB124" s="23">
        <v>44820.638888888891</v>
      </c>
      <c r="BC124" s="23">
        <v>44820.051388888889</v>
      </c>
      <c r="BD124" s="23">
        <v>44820.068055555559</v>
      </c>
      <c r="BF124" s="20" t="s">
        <v>754</v>
      </c>
      <c r="BH124" s="20" t="s">
        <v>698</v>
      </c>
      <c r="CA124" s="20">
        <v>0</v>
      </c>
      <c r="CB124" s="20" t="s">
        <v>1702</v>
      </c>
      <c r="CC124" s="20" t="s">
        <v>1703</v>
      </c>
      <c r="CD124" s="20" t="s">
        <v>921</v>
      </c>
      <c r="CE124" s="20">
        <v>19014</v>
      </c>
      <c r="CF124" s="20" t="s">
        <v>1179</v>
      </c>
      <c r="CG124" s="20" t="s">
        <v>1180</v>
      </c>
      <c r="CH124" s="20" t="s">
        <v>784</v>
      </c>
      <c r="CI124" s="20" t="s">
        <v>1704</v>
      </c>
      <c r="CJ124" s="20" t="s">
        <v>698</v>
      </c>
      <c r="CK124" s="20" t="s">
        <v>712</v>
      </c>
      <c r="CL124" s="20" t="s">
        <v>713</v>
      </c>
      <c r="CM124" s="20" t="s">
        <v>758</v>
      </c>
      <c r="CP124" s="20" t="s">
        <v>698</v>
      </c>
      <c r="DM124" s="20" t="s">
        <v>743</v>
      </c>
      <c r="DN124" s="20" t="s">
        <v>1086</v>
      </c>
      <c r="FK124" s="20">
        <v>2018</v>
      </c>
      <c r="FL124" s="20">
        <v>2016</v>
      </c>
      <c r="FM124" s="20" t="s">
        <v>719</v>
      </c>
      <c r="FO124" s="20" t="s">
        <v>720</v>
      </c>
      <c r="FR124" s="20" t="s">
        <v>823</v>
      </c>
      <c r="FY124" s="20" t="s">
        <v>698</v>
      </c>
      <c r="GC124" s="20" t="s">
        <v>698</v>
      </c>
      <c r="GD124" s="20" t="s">
        <v>698</v>
      </c>
      <c r="GE124" s="20" t="s">
        <v>698</v>
      </c>
      <c r="GK124" s="20" t="s">
        <v>698</v>
      </c>
      <c r="GT124" s="20" t="s">
        <v>696</v>
      </c>
      <c r="GU124" s="20" t="s">
        <v>696</v>
      </c>
      <c r="GX124" s="20" t="s">
        <v>696</v>
      </c>
      <c r="GY124" s="20" t="s">
        <v>696</v>
      </c>
      <c r="HD124" s="20" t="s">
        <v>696</v>
      </c>
      <c r="HE124" s="20" t="s">
        <v>696</v>
      </c>
      <c r="HF124" s="20">
        <v>0</v>
      </c>
      <c r="HG124" s="20">
        <v>10</v>
      </c>
      <c r="HH124" s="20">
        <v>0</v>
      </c>
      <c r="HI124" s="20">
        <v>3532</v>
      </c>
      <c r="HJ124" s="20">
        <v>0</v>
      </c>
      <c r="HK124" s="20">
        <v>0</v>
      </c>
      <c r="HM124" s="20">
        <v>3542</v>
      </c>
      <c r="HN124" s="20">
        <v>0</v>
      </c>
      <c r="HO124" s="20">
        <v>0</v>
      </c>
      <c r="HP124" s="20">
        <v>0</v>
      </c>
      <c r="HQ124" s="20">
        <v>0</v>
      </c>
      <c r="HR124" s="20">
        <v>943</v>
      </c>
      <c r="HS124" s="20">
        <v>1480</v>
      </c>
      <c r="HT124" s="20" t="s">
        <v>787</v>
      </c>
      <c r="HV124" s="24">
        <v>42382</v>
      </c>
      <c r="HW124" s="20" t="s">
        <v>698</v>
      </c>
      <c r="HY124" s="20" t="s">
        <v>723</v>
      </c>
      <c r="HZ124" s="20" t="s">
        <v>698</v>
      </c>
      <c r="IS124" s="20" t="s">
        <v>724</v>
      </c>
      <c r="IT124" s="20" t="s">
        <v>696</v>
      </c>
      <c r="IU124" s="20" t="s">
        <v>696</v>
      </c>
      <c r="IV124" s="20" t="s">
        <v>696</v>
      </c>
      <c r="IW124" s="20" t="s">
        <v>696</v>
      </c>
      <c r="IX124" s="20" t="s">
        <v>696</v>
      </c>
      <c r="IY124" s="20" t="s">
        <v>696</v>
      </c>
      <c r="IZ124" s="20" t="s">
        <v>696</v>
      </c>
      <c r="JA124" s="20" t="s">
        <v>696</v>
      </c>
      <c r="JB124" s="20" t="s">
        <v>698</v>
      </c>
      <c r="JC124" s="20" t="s">
        <v>698</v>
      </c>
      <c r="JD124" s="20" t="s">
        <v>859</v>
      </c>
      <c r="JI124" s="20" t="s">
        <v>696</v>
      </c>
      <c r="JJ124" s="20" t="s">
        <v>696</v>
      </c>
      <c r="JR124" s="20" t="s">
        <v>698</v>
      </c>
      <c r="JS124" s="20" t="s">
        <v>698</v>
      </c>
      <c r="JX124" s="20" t="s">
        <v>789</v>
      </c>
      <c r="JY124" s="20" t="s">
        <v>914</v>
      </c>
      <c r="QB124" s="20" t="s">
        <v>914</v>
      </c>
      <c r="QS124" s="20" t="s">
        <v>1659</v>
      </c>
      <c r="RK124" s="20" t="s">
        <v>696</v>
      </c>
      <c r="RL124" s="20" t="s">
        <v>1705</v>
      </c>
      <c r="XL124" s="20" t="s">
        <v>730</v>
      </c>
      <c r="XM124" s="20" t="s">
        <v>1360</v>
      </c>
      <c r="XN124" s="20" t="s">
        <v>732</v>
      </c>
      <c r="XO124" s="20" t="s">
        <v>733</v>
      </c>
      <c r="XQ124" s="24">
        <v>44910</v>
      </c>
      <c r="XU124" s="20" t="s">
        <v>730</v>
      </c>
      <c r="XV124" s="20" t="s">
        <v>733</v>
      </c>
      <c r="XW124" s="20" t="s">
        <v>1360</v>
      </c>
      <c r="XX124" s="20" t="s">
        <v>732</v>
      </c>
      <c r="XY124" s="20" t="s">
        <v>1706</v>
      </c>
    </row>
    <row r="125" spans="1:649" ht="13">
      <c r="A125" s="20">
        <v>814</v>
      </c>
      <c r="B125" s="21">
        <v>44825</v>
      </c>
      <c r="C125" s="20">
        <v>2022</v>
      </c>
      <c r="D125" s="20">
        <v>20220216</v>
      </c>
      <c r="E125" s="20">
        <v>37144</v>
      </c>
      <c r="F125" s="20" t="s">
        <v>885</v>
      </c>
      <c r="G125" s="20">
        <v>32099</v>
      </c>
      <c r="H125" s="20" t="s">
        <v>752</v>
      </c>
      <c r="I125" s="20" t="s">
        <v>692</v>
      </c>
      <c r="J125" s="20" t="s">
        <v>693</v>
      </c>
      <c r="K125" s="20" t="s">
        <v>694</v>
      </c>
      <c r="L125" s="20">
        <v>77002</v>
      </c>
      <c r="M125" s="22">
        <v>44798.468055555553</v>
      </c>
      <c r="N125" s="20" t="s">
        <v>695</v>
      </c>
      <c r="O125" s="20" t="s">
        <v>696</v>
      </c>
      <c r="P125" s="20">
        <v>31.663440000000001</v>
      </c>
      <c r="Q125" s="20">
        <v>-102.12748000000001</v>
      </c>
      <c r="R125" s="20" t="s">
        <v>773</v>
      </c>
      <c r="S125" s="20" t="s">
        <v>1098</v>
      </c>
      <c r="W125" s="20">
        <v>1600</v>
      </c>
      <c r="X125" s="20">
        <v>0</v>
      </c>
      <c r="Y125" s="20">
        <v>0</v>
      </c>
      <c r="Z125" s="20" t="s">
        <v>698</v>
      </c>
      <c r="AF125" s="20">
        <v>0</v>
      </c>
      <c r="AG125" s="20" t="s">
        <v>698</v>
      </c>
      <c r="AM125" s="20">
        <v>0</v>
      </c>
      <c r="AN125" s="20" t="s">
        <v>699</v>
      </c>
      <c r="AP125" s="20" t="s">
        <v>700</v>
      </c>
      <c r="AQ125" s="23">
        <v>44798.468055555553</v>
      </c>
      <c r="AR125" s="20" t="s">
        <v>701</v>
      </c>
      <c r="AS125" s="20" t="s">
        <v>702</v>
      </c>
      <c r="AT125" s="20" t="s">
        <v>703</v>
      </c>
      <c r="AU125" s="20" t="s">
        <v>696</v>
      </c>
      <c r="AW125" s="23">
        <v>44798.468055555553</v>
      </c>
      <c r="AX125" s="23">
        <v>44805.5625</v>
      </c>
      <c r="AZ125" s="20" t="s">
        <v>698</v>
      </c>
      <c r="BC125" s="23">
        <v>44798.468055555553</v>
      </c>
      <c r="BD125" s="23">
        <v>44798.468055555553</v>
      </c>
      <c r="BE125" s="23">
        <v>44798.57916666667</v>
      </c>
      <c r="BF125" s="20">
        <v>1345529</v>
      </c>
      <c r="BG125" s="20">
        <v>1345995</v>
      </c>
      <c r="BH125" s="20" t="s">
        <v>698</v>
      </c>
      <c r="CA125" s="20">
        <v>0</v>
      </c>
      <c r="CB125" s="20" t="s">
        <v>1707</v>
      </c>
      <c r="CC125" s="20" t="s">
        <v>1708</v>
      </c>
      <c r="CD125" s="20" t="s">
        <v>694</v>
      </c>
      <c r="CE125" s="20">
        <v>79755</v>
      </c>
      <c r="CF125" s="20" t="s">
        <v>1709</v>
      </c>
      <c r="CG125" s="20" t="s">
        <v>757</v>
      </c>
      <c r="CH125" s="20" t="s">
        <v>784</v>
      </c>
      <c r="CI125" s="20" t="s">
        <v>711</v>
      </c>
      <c r="CJ125" s="20" t="s">
        <v>698</v>
      </c>
      <c r="CK125" s="20" t="s">
        <v>712</v>
      </c>
      <c r="CL125" s="20" t="s">
        <v>713</v>
      </c>
      <c r="CM125" s="20" t="s">
        <v>758</v>
      </c>
      <c r="CP125" s="20" t="s">
        <v>698</v>
      </c>
      <c r="DM125" s="20" t="s">
        <v>715</v>
      </c>
      <c r="DN125" s="20" t="s">
        <v>1086</v>
      </c>
      <c r="FK125" s="20">
        <v>2017</v>
      </c>
      <c r="FL125" s="20">
        <v>2017</v>
      </c>
      <c r="FM125" s="20" t="s">
        <v>719</v>
      </c>
      <c r="FO125" s="20" t="s">
        <v>766</v>
      </c>
      <c r="FX125" s="20" t="s">
        <v>1710</v>
      </c>
      <c r="FY125" s="20" t="s">
        <v>698</v>
      </c>
      <c r="GC125" s="20" t="s">
        <v>698</v>
      </c>
      <c r="GD125" s="20" t="s">
        <v>698</v>
      </c>
      <c r="GE125" s="20" t="s">
        <v>698</v>
      </c>
      <c r="GK125" s="20" t="s">
        <v>698</v>
      </c>
      <c r="GT125" s="20" t="s">
        <v>698</v>
      </c>
      <c r="GU125" s="20" t="s">
        <v>698</v>
      </c>
      <c r="HF125" s="20">
        <v>0</v>
      </c>
      <c r="HG125" s="20">
        <v>74208</v>
      </c>
      <c r="HH125" s="20">
        <v>500000</v>
      </c>
      <c r="HI125" s="20">
        <v>25000</v>
      </c>
      <c r="HJ125" s="20">
        <v>0</v>
      </c>
      <c r="HK125" s="20">
        <v>0</v>
      </c>
      <c r="HM125" s="20">
        <v>599208</v>
      </c>
      <c r="HN125" s="20">
        <v>0</v>
      </c>
      <c r="HO125" s="20">
        <v>0</v>
      </c>
      <c r="HP125" s="20">
        <v>0</v>
      </c>
      <c r="HQ125" s="20">
        <v>0</v>
      </c>
      <c r="HR125" s="20">
        <v>794</v>
      </c>
      <c r="HS125" s="20">
        <v>1480</v>
      </c>
      <c r="HT125" s="20" t="s">
        <v>943</v>
      </c>
      <c r="HV125" s="24">
        <v>42895</v>
      </c>
      <c r="HW125" s="20" t="s">
        <v>698</v>
      </c>
      <c r="HY125" s="20" t="s">
        <v>723</v>
      </c>
      <c r="HZ125" s="20" t="s">
        <v>698</v>
      </c>
      <c r="IS125" s="20" t="s">
        <v>808</v>
      </c>
      <c r="IT125" s="20" t="s">
        <v>696</v>
      </c>
      <c r="IU125" s="20" t="s">
        <v>696</v>
      </c>
      <c r="IV125" s="20" t="s">
        <v>696</v>
      </c>
      <c r="IW125" s="20" t="s">
        <v>696</v>
      </c>
      <c r="IX125" s="20" t="s">
        <v>696</v>
      </c>
      <c r="IY125" s="20" t="s">
        <v>698</v>
      </c>
      <c r="JD125" s="20" t="s">
        <v>859</v>
      </c>
      <c r="JI125" s="20" t="s">
        <v>696</v>
      </c>
      <c r="JJ125" s="20" t="s">
        <v>696</v>
      </c>
      <c r="JR125" s="20" t="s">
        <v>698</v>
      </c>
      <c r="JS125" s="20" t="s">
        <v>698</v>
      </c>
      <c r="JX125" s="20" t="s">
        <v>894</v>
      </c>
      <c r="JY125" s="20" t="s">
        <v>1711</v>
      </c>
      <c r="RM125" s="20" t="s">
        <v>1711</v>
      </c>
      <c r="RR125" s="20" t="s">
        <v>696</v>
      </c>
      <c r="RV125" s="20" t="s">
        <v>1590</v>
      </c>
      <c r="RW125" s="20" t="s">
        <v>698</v>
      </c>
      <c r="XL125" s="20" t="s">
        <v>1712</v>
      </c>
      <c r="XM125" s="20" t="s">
        <v>1713</v>
      </c>
      <c r="XN125" s="20" t="s">
        <v>1714</v>
      </c>
      <c r="XO125" s="20" t="s">
        <v>1715</v>
      </c>
      <c r="XQ125" s="24">
        <v>44825</v>
      </c>
      <c r="XU125" s="20" t="s">
        <v>1624</v>
      </c>
      <c r="XV125" s="20" t="s">
        <v>1625</v>
      </c>
      <c r="XW125" s="20" t="s">
        <v>1626</v>
      </c>
      <c r="XX125" s="20" t="s">
        <v>1627</v>
      </c>
      <c r="XY125" s="20" t="s">
        <v>1716</v>
      </c>
    </row>
    <row r="126" spans="1:649" ht="13">
      <c r="A126" s="20">
        <v>824</v>
      </c>
      <c r="B126" s="21">
        <v>44811</v>
      </c>
      <c r="C126" s="20">
        <v>2022</v>
      </c>
      <c r="D126" s="20">
        <v>20220206</v>
      </c>
      <c r="E126" s="20">
        <v>37087</v>
      </c>
      <c r="F126" s="20" t="s">
        <v>885</v>
      </c>
      <c r="G126" s="20">
        <v>39706</v>
      </c>
      <c r="H126" s="20" t="s">
        <v>817</v>
      </c>
      <c r="I126" s="20" t="s">
        <v>692</v>
      </c>
      <c r="J126" s="20" t="s">
        <v>693</v>
      </c>
      <c r="K126" s="20" t="s">
        <v>694</v>
      </c>
      <c r="L126" s="20">
        <v>77002</v>
      </c>
      <c r="M126" s="22">
        <v>44781.829861111109</v>
      </c>
      <c r="N126" s="20" t="s">
        <v>695</v>
      </c>
      <c r="O126" s="20" t="s">
        <v>696</v>
      </c>
      <c r="P126" s="20">
        <v>29.997949999999999</v>
      </c>
      <c r="Q126" s="20">
        <v>-93.990179999999995</v>
      </c>
      <c r="R126" s="20" t="s">
        <v>697</v>
      </c>
      <c r="W126" s="20">
        <v>10</v>
      </c>
      <c r="Y126" s="20">
        <v>10</v>
      </c>
      <c r="Z126" s="20" t="s">
        <v>698</v>
      </c>
      <c r="AF126" s="20">
        <v>0</v>
      </c>
      <c r="AG126" s="20" t="s">
        <v>698</v>
      </c>
      <c r="AM126" s="20">
        <v>0</v>
      </c>
      <c r="AN126" s="20" t="s">
        <v>699</v>
      </c>
      <c r="AP126" s="20" t="s">
        <v>700</v>
      </c>
      <c r="AQ126" s="23">
        <v>44781.829861111109</v>
      </c>
      <c r="AR126" s="20" t="s">
        <v>736</v>
      </c>
      <c r="AS126" s="20" t="s">
        <v>702</v>
      </c>
      <c r="AT126" s="20" t="s">
        <v>703</v>
      </c>
      <c r="AU126" s="20" t="s">
        <v>696</v>
      </c>
      <c r="AW126" s="23">
        <v>44781.833333333336</v>
      </c>
      <c r="AX126" s="23">
        <v>44781.854166666664</v>
      </c>
      <c r="AZ126" s="20" t="s">
        <v>698</v>
      </c>
      <c r="BC126" s="23">
        <v>44781.829861111109</v>
      </c>
      <c r="BD126" s="23">
        <v>44781.833333333336</v>
      </c>
      <c r="BF126" s="20" t="s">
        <v>754</v>
      </c>
      <c r="BH126" s="20" t="s">
        <v>698</v>
      </c>
      <c r="BV126" s="20" t="s">
        <v>698</v>
      </c>
      <c r="BX126" s="20" t="s">
        <v>698</v>
      </c>
      <c r="CA126" s="20">
        <v>0</v>
      </c>
      <c r="CB126" s="20" t="s">
        <v>818</v>
      </c>
      <c r="CC126" s="20" t="s">
        <v>1717</v>
      </c>
      <c r="CD126" s="20" t="s">
        <v>694</v>
      </c>
      <c r="CE126" s="20">
        <v>77267</v>
      </c>
      <c r="CF126" s="20" t="s">
        <v>820</v>
      </c>
      <c r="CG126" s="20" t="s">
        <v>821</v>
      </c>
      <c r="CH126" s="20" t="s">
        <v>710</v>
      </c>
      <c r="CI126" s="20">
        <v>0</v>
      </c>
      <c r="CJ126" s="20" t="s">
        <v>698</v>
      </c>
      <c r="CK126" s="20" t="s">
        <v>712</v>
      </c>
      <c r="CL126" s="20" t="s">
        <v>713</v>
      </c>
      <c r="CM126" s="20" t="s">
        <v>758</v>
      </c>
      <c r="CP126" s="20" t="s">
        <v>698</v>
      </c>
      <c r="DM126" s="20" t="s">
        <v>743</v>
      </c>
      <c r="DN126" s="20" t="s">
        <v>892</v>
      </c>
      <c r="FK126" s="20" t="s">
        <v>728</v>
      </c>
      <c r="FL126" s="20" t="s">
        <v>728</v>
      </c>
      <c r="FM126" s="20" t="s">
        <v>719</v>
      </c>
      <c r="FO126" s="20" t="s">
        <v>893</v>
      </c>
      <c r="FY126" s="20" t="s">
        <v>698</v>
      </c>
      <c r="GC126" s="20" t="s">
        <v>698</v>
      </c>
      <c r="GD126" s="20" t="s">
        <v>698</v>
      </c>
      <c r="GE126" s="20" t="s">
        <v>698</v>
      </c>
      <c r="GK126" s="20" t="s">
        <v>698</v>
      </c>
      <c r="GT126" s="20" t="s">
        <v>696</v>
      </c>
      <c r="GU126" s="20" t="s">
        <v>696</v>
      </c>
      <c r="GX126" s="20" t="s">
        <v>696</v>
      </c>
      <c r="GY126" s="20" t="s">
        <v>696</v>
      </c>
      <c r="HF126" s="20">
        <v>0</v>
      </c>
      <c r="HG126" s="20">
        <v>1000</v>
      </c>
      <c r="HH126" s="20">
        <v>0</v>
      </c>
      <c r="HI126" s="20">
        <v>3500</v>
      </c>
      <c r="HJ126" s="20">
        <v>0</v>
      </c>
      <c r="HK126" s="20">
        <v>0</v>
      </c>
      <c r="HM126" s="20">
        <v>4500</v>
      </c>
      <c r="HN126" s="20">
        <v>0</v>
      </c>
      <c r="HO126" s="20">
        <v>0</v>
      </c>
      <c r="HP126" s="20">
        <v>0</v>
      </c>
      <c r="HQ126" s="20">
        <v>0</v>
      </c>
      <c r="HR126" s="20">
        <v>290</v>
      </c>
      <c r="HS126" s="20">
        <v>285</v>
      </c>
      <c r="HT126" s="20" t="s">
        <v>750</v>
      </c>
      <c r="HV126" s="24">
        <v>29221</v>
      </c>
      <c r="HW126" s="20" t="s">
        <v>698</v>
      </c>
      <c r="HY126" s="20" t="s">
        <v>1214</v>
      </c>
      <c r="HZ126" s="20" t="s">
        <v>698</v>
      </c>
      <c r="IS126" s="20" t="s">
        <v>724</v>
      </c>
      <c r="IT126" s="20" t="s">
        <v>698</v>
      </c>
      <c r="IY126" s="20" t="s">
        <v>698</v>
      </c>
      <c r="JD126" s="20" t="s">
        <v>725</v>
      </c>
      <c r="JE126" s="20" t="s">
        <v>726</v>
      </c>
      <c r="JR126" s="20" t="s">
        <v>698</v>
      </c>
      <c r="JS126" s="20" t="s">
        <v>698</v>
      </c>
      <c r="JX126" s="20" t="s">
        <v>894</v>
      </c>
      <c r="JY126" s="20" t="s">
        <v>895</v>
      </c>
      <c r="RM126" s="20" t="s">
        <v>895</v>
      </c>
      <c r="RN126" s="20" t="s">
        <v>766</v>
      </c>
      <c r="RO126" s="20" t="s">
        <v>1718</v>
      </c>
      <c r="RS126" s="20" t="s">
        <v>696</v>
      </c>
      <c r="RV126" s="20" t="s">
        <v>897</v>
      </c>
      <c r="RW126" s="20" t="s">
        <v>696</v>
      </c>
      <c r="RX126" s="20" t="s">
        <v>898</v>
      </c>
      <c r="XL126" s="20" t="s">
        <v>730</v>
      </c>
      <c r="XM126" s="20" t="s">
        <v>1360</v>
      </c>
      <c r="XN126" s="20" t="s">
        <v>732</v>
      </c>
      <c r="XO126" s="20" t="s">
        <v>733</v>
      </c>
      <c r="XQ126" s="24">
        <v>44811</v>
      </c>
      <c r="XU126" s="20" t="s">
        <v>730</v>
      </c>
      <c r="XV126" s="20" t="s">
        <v>733</v>
      </c>
      <c r="XW126" s="20" t="s">
        <v>1360</v>
      </c>
      <c r="XX126" s="20" t="s">
        <v>732</v>
      </c>
      <c r="XY126" s="20" t="s">
        <v>1719</v>
      </c>
    </row>
    <row r="127" spans="1:649" ht="13">
      <c r="A127" s="20">
        <v>834</v>
      </c>
      <c r="B127" s="21">
        <v>44799</v>
      </c>
      <c r="C127" s="20">
        <v>2022</v>
      </c>
      <c r="D127" s="20">
        <v>20220197</v>
      </c>
      <c r="E127" s="20">
        <v>37038</v>
      </c>
      <c r="F127" s="20" t="s">
        <v>885</v>
      </c>
      <c r="G127" s="20">
        <v>39706</v>
      </c>
      <c r="H127" s="20" t="s">
        <v>817</v>
      </c>
      <c r="I127" s="20" t="s">
        <v>692</v>
      </c>
      <c r="J127" s="20" t="s">
        <v>693</v>
      </c>
      <c r="K127" s="20" t="s">
        <v>694</v>
      </c>
      <c r="L127" s="20">
        <v>77002</v>
      </c>
      <c r="M127" s="22">
        <v>44773.322916666664</v>
      </c>
      <c r="N127" s="20" t="s">
        <v>695</v>
      </c>
      <c r="O127" s="20" t="s">
        <v>696</v>
      </c>
      <c r="P127" s="20">
        <v>29.995290000000001</v>
      </c>
      <c r="Q127" s="20">
        <v>-93.992959999999997</v>
      </c>
      <c r="R127" s="20" t="s">
        <v>697</v>
      </c>
      <c r="W127" s="20">
        <v>0.64</v>
      </c>
      <c r="Y127" s="20">
        <v>0.64</v>
      </c>
      <c r="Z127" s="20" t="s">
        <v>698</v>
      </c>
      <c r="AF127" s="20">
        <v>0</v>
      </c>
      <c r="AG127" s="20" t="s">
        <v>698</v>
      </c>
      <c r="AM127" s="20">
        <v>0</v>
      </c>
      <c r="AN127" s="20" t="s">
        <v>699</v>
      </c>
      <c r="AP127" s="20" t="s">
        <v>700</v>
      </c>
      <c r="AQ127" s="23">
        <v>44773.333333333336</v>
      </c>
      <c r="AR127" s="20" t="s">
        <v>736</v>
      </c>
      <c r="AS127" s="20" t="s">
        <v>702</v>
      </c>
      <c r="AT127" s="20" t="s">
        <v>703</v>
      </c>
      <c r="AU127" s="20" t="s">
        <v>698</v>
      </c>
      <c r="AV127" s="20" t="s">
        <v>1720</v>
      </c>
      <c r="AZ127" s="20" t="s">
        <v>698</v>
      </c>
      <c r="BC127" s="23">
        <v>44773.333333333336</v>
      </c>
      <c r="BD127" s="23">
        <v>44773.333333333336</v>
      </c>
      <c r="BF127" s="20" t="s">
        <v>754</v>
      </c>
      <c r="BH127" s="20" t="s">
        <v>698</v>
      </c>
      <c r="BV127" s="20" t="s">
        <v>698</v>
      </c>
      <c r="BX127" s="20" t="s">
        <v>698</v>
      </c>
      <c r="CA127" s="20">
        <v>0</v>
      </c>
      <c r="CB127" s="20" t="s">
        <v>818</v>
      </c>
      <c r="CC127" s="20" t="s">
        <v>1440</v>
      </c>
      <c r="CD127" s="20" t="s">
        <v>694</v>
      </c>
      <c r="CE127" s="20">
        <v>77627</v>
      </c>
      <c r="CF127" s="20" t="s">
        <v>820</v>
      </c>
      <c r="CG127" s="20" t="s">
        <v>821</v>
      </c>
      <c r="CH127" s="20" t="s">
        <v>710</v>
      </c>
      <c r="CI127" s="20" t="s">
        <v>711</v>
      </c>
      <c r="CJ127" s="20" t="s">
        <v>698</v>
      </c>
      <c r="CK127" s="20" t="s">
        <v>712</v>
      </c>
      <c r="CL127" s="20" t="s">
        <v>713</v>
      </c>
      <c r="CM127" s="20" t="s">
        <v>758</v>
      </c>
      <c r="CP127" s="20" t="s">
        <v>698</v>
      </c>
      <c r="DM127" s="20" t="s">
        <v>743</v>
      </c>
      <c r="DN127" s="20" t="s">
        <v>759</v>
      </c>
      <c r="FK127" s="20" t="s">
        <v>728</v>
      </c>
      <c r="FL127" s="20" t="s">
        <v>728</v>
      </c>
      <c r="FM127" s="20" t="s">
        <v>962</v>
      </c>
      <c r="FN127" s="20" t="s">
        <v>1721</v>
      </c>
      <c r="FO127" s="20" t="s">
        <v>720</v>
      </c>
      <c r="FR127" s="20" t="s">
        <v>823</v>
      </c>
      <c r="FY127" s="20" t="s">
        <v>698</v>
      </c>
      <c r="GC127" s="20" t="s">
        <v>698</v>
      </c>
      <c r="GD127" s="20" t="s">
        <v>698</v>
      </c>
      <c r="GE127" s="20" t="s">
        <v>698</v>
      </c>
      <c r="GK127" s="20" t="s">
        <v>698</v>
      </c>
      <c r="GT127" s="20" t="s">
        <v>698</v>
      </c>
      <c r="GU127" s="20" t="s">
        <v>696</v>
      </c>
      <c r="GX127" s="20" t="s">
        <v>696</v>
      </c>
      <c r="GY127" s="20" t="s">
        <v>696</v>
      </c>
      <c r="HF127" s="20">
        <v>0</v>
      </c>
      <c r="HG127" s="20">
        <v>70</v>
      </c>
      <c r="HH127" s="20">
        <v>50</v>
      </c>
      <c r="HI127" s="20">
        <v>1000</v>
      </c>
      <c r="HJ127" s="20">
        <v>0</v>
      </c>
      <c r="HK127" s="20">
        <v>0</v>
      </c>
      <c r="HM127" s="20">
        <v>1120</v>
      </c>
      <c r="HN127" s="20">
        <v>0</v>
      </c>
      <c r="HO127" s="20">
        <v>0</v>
      </c>
      <c r="HP127" s="20">
        <v>0</v>
      </c>
      <c r="HQ127" s="20">
        <v>0</v>
      </c>
      <c r="HR127" s="20">
        <v>300</v>
      </c>
      <c r="HS127" s="20">
        <v>285</v>
      </c>
      <c r="HT127" s="20" t="s">
        <v>787</v>
      </c>
      <c r="HV127" s="24">
        <v>43228</v>
      </c>
      <c r="HW127" s="20" t="s">
        <v>698</v>
      </c>
      <c r="HY127" s="20" t="s">
        <v>1214</v>
      </c>
      <c r="HZ127" s="20" t="s">
        <v>698</v>
      </c>
      <c r="IS127" s="20" t="s">
        <v>724</v>
      </c>
      <c r="IT127" s="20" t="s">
        <v>696</v>
      </c>
      <c r="IU127" s="20" t="s">
        <v>696</v>
      </c>
      <c r="IV127" s="20" t="s">
        <v>696</v>
      </c>
      <c r="IW127" s="20" t="s">
        <v>698</v>
      </c>
      <c r="IX127" s="20" t="s">
        <v>698</v>
      </c>
      <c r="IY127" s="20" t="s">
        <v>696</v>
      </c>
      <c r="IZ127" s="20" t="s">
        <v>696</v>
      </c>
      <c r="JA127" s="20" t="s">
        <v>696</v>
      </c>
      <c r="JB127" s="20" t="s">
        <v>698</v>
      </c>
      <c r="JC127" s="20" t="s">
        <v>698</v>
      </c>
      <c r="JD127" s="20" t="s">
        <v>725</v>
      </c>
      <c r="JE127" s="20" t="s">
        <v>726</v>
      </c>
      <c r="JR127" s="20" t="s">
        <v>696</v>
      </c>
      <c r="JS127" s="20" t="s">
        <v>698</v>
      </c>
      <c r="JT127" s="20">
        <v>1</v>
      </c>
      <c r="JU127" s="20">
        <v>0</v>
      </c>
      <c r="JX127" s="20" t="s">
        <v>894</v>
      </c>
      <c r="JY127" s="20" t="s">
        <v>1215</v>
      </c>
      <c r="RM127" s="20" t="s">
        <v>1215</v>
      </c>
      <c r="RS127" s="20" t="s">
        <v>696</v>
      </c>
      <c r="RV127" s="20" t="s">
        <v>897</v>
      </c>
      <c r="RW127" s="20" t="s">
        <v>696</v>
      </c>
      <c r="RX127" s="20" t="s">
        <v>898</v>
      </c>
      <c r="XL127" s="20" t="s">
        <v>730</v>
      </c>
      <c r="XM127" s="20" t="s">
        <v>1360</v>
      </c>
      <c r="XN127" s="20" t="s">
        <v>732</v>
      </c>
      <c r="XO127" s="20">
        <v>7139897126</v>
      </c>
      <c r="XQ127" s="24">
        <v>44799</v>
      </c>
      <c r="XU127" s="20" t="s">
        <v>730</v>
      </c>
      <c r="XV127" s="20" t="s">
        <v>733</v>
      </c>
      <c r="XW127" s="20" t="s">
        <v>1360</v>
      </c>
      <c r="XX127" s="20" t="s">
        <v>732</v>
      </c>
      <c r="XY127" s="20" t="s">
        <v>1722</v>
      </c>
    </row>
    <row r="128" spans="1:649" ht="13">
      <c r="A128" s="20">
        <v>843</v>
      </c>
      <c r="B128" s="21">
        <v>44791</v>
      </c>
      <c r="C128" s="20">
        <v>2022</v>
      </c>
      <c r="D128" s="20">
        <v>20220185</v>
      </c>
      <c r="E128" s="20">
        <v>38301</v>
      </c>
      <c r="F128" s="20" t="s">
        <v>825</v>
      </c>
      <c r="G128" s="20">
        <v>18718</v>
      </c>
      <c r="H128" s="20" t="s">
        <v>918</v>
      </c>
      <c r="I128" s="20" t="s">
        <v>692</v>
      </c>
      <c r="J128" s="20" t="s">
        <v>693</v>
      </c>
      <c r="K128" s="20" t="s">
        <v>694</v>
      </c>
      <c r="L128" s="20">
        <v>77002</v>
      </c>
      <c r="M128" s="22">
        <v>44761.755555555559</v>
      </c>
      <c r="N128" s="20" t="s">
        <v>695</v>
      </c>
      <c r="O128" s="20" t="s">
        <v>696</v>
      </c>
      <c r="P128" s="20">
        <v>35.259413000000002</v>
      </c>
      <c r="Q128" s="20">
        <v>-100.938225</v>
      </c>
      <c r="R128" s="20" t="s">
        <v>697</v>
      </c>
      <c r="W128" s="20">
        <v>83</v>
      </c>
      <c r="Y128" s="20">
        <v>83</v>
      </c>
      <c r="Z128" s="20" t="s">
        <v>698</v>
      </c>
      <c r="AF128" s="20">
        <v>0</v>
      </c>
      <c r="AG128" s="20" t="s">
        <v>698</v>
      </c>
      <c r="AM128" s="20">
        <v>0</v>
      </c>
      <c r="AN128" s="20" t="s">
        <v>846</v>
      </c>
      <c r="AQ128" s="23">
        <v>44761.755555555559</v>
      </c>
      <c r="AR128" s="20" t="s">
        <v>776</v>
      </c>
      <c r="AS128" s="20" t="s">
        <v>702</v>
      </c>
      <c r="AT128" s="20" t="s">
        <v>703</v>
      </c>
      <c r="AU128" s="20" t="s">
        <v>696</v>
      </c>
      <c r="AW128" s="23">
        <v>44761.835416666669</v>
      </c>
      <c r="AX128" s="23">
        <v>44764.520833333336</v>
      </c>
      <c r="AZ128" s="20" t="s">
        <v>696</v>
      </c>
      <c r="BA128" s="20" t="s">
        <v>753</v>
      </c>
      <c r="BB128" s="23">
        <v>44762.480555555558</v>
      </c>
      <c r="BC128" s="23">
        <v>44761.948611111111</v>
      </c>
      <c r="BD128" s="23">
        <v>44761.948611111111</v>
      </c>
      <c r="BE128" s="23">
        <v>44762.005555555559</v>
      </c>
      <c r="BF128" s="20">
        <v>1341998</v>
      </c>
      <c r="BG128" s="20">
        <v>1342167</v>
      </c>
      <c r="BH128" s="20" t="s">
        <v>698</v>
      </c>
      <c r="BN128" s="20" t="s">
        <v>777</v>
      </c>
      <c r="BP128" s="23">
        <v>44761.9375</v>
      </c>
      <c r="BQ128" s="20" t="s">
        <v>779</v>
      </c>
      <c r="BR128" s="20" t="s">
        <v>777</v>
      </c>
      <c r="BT128" s="23">
        <v>44761.967361111114</v>
      </c>
      <c r="BU128" s="20" t="s">
        <v>779</v>
      </c>
      <c r="BV128" s="20" t="s">
        <v>696</v>
      </c>
      <c r="BW128" s="23">
        <v>44761.947916666664</v>
      </c>
      <c r="BX128" s="20" t="s">
        <v>698</v>
      </c>
      <c r="CA128" s="20">
        <v>0</v>
      </c>
      <c r="CB128" s="20" t="s">
        <v>1723</v>
      </c>
      <c r="CC128" s="20" t="s">
        <v>1724</v>
      </c>
      <c r="CD128" s="20" t="s">
        <v>694</v>
      </c>
      <c r="CE128" s="20">
        <v>79002</v>
      </c>
      <c r="CF128" s="20" t="s">
        <v>1725</v>
      </c>
      <c r="CG128" s="20" t="s">
        <v>1187</v>
      </c>
      <c r="CH128" s="20" t="s">
        <v>710</v>
      </c>
      <c r="CI128" s="20">
        <v>83172.2</v>
      </c>
      <c r="CJ128" s="20" t="s">
        <v>698</v>
      </c>
      <c r="CK128" s="20" t="s">
        <v>785</v>
      </c>
      <c r="CL128" s="20" t="s">
        <v>741</v>
      </c>
      <c r="CM128" s="20" t="s">
        <v>742</v>
      </c>
      <c r="CO128" s="20">
        <v>6</v>
      </c>
      <c r="CP128" s="20" t="s">
        <v>698</v>
      </c>
      <c r="DM128" s="20" t="s">
        <v>715</v>
      </c>
      <c r="DN128" s="20" t="s">
        <v>744</v>
      </c>
      <c r="DO128" s="20" t="s">
        <v>745</v>
      </c>
      <c r="DP128" s="20" t="s">
        <v>698</v>
      </c>
      <c r="DQ128" s="20">
        <v>8.625</v>
      </c>
      <c r="DR128" s="20">
        <v>0.32200000000000001</v>
      </c>
      <c r="DS128" s="20">
        <v>30000</v>
      </c>
      <c r="DT128" s="20" t="s">
        <v>1726</v>
      </c>
      <c r="DU128" s="20" t="s">
        <v>1048</v>
      </c>
      <c r="DW128" s="20" t="s">
        <v>728</v>
      </c>
      <c r="DX128" s="20" t="s">
        <v>1542</v>
      </c>
      <c r="DZ128" s="20" t="s">
        <v>698</v>
      </c>
      <c r="FK128" s="20">
        <v>1942</v>
      </c>
      <c r="FL128" s="20" t="s">
        <v>728</v>
      </c>
      <c r="FM128" s="20" t="s">
        <v>719</v>
      </c>
      <c r="FO128" s="20" t="s">
        <v>1061</v>
      </c>
      <c r="FP128" s="20">
        <v>3.9</v>
      </c>
      <c r="FQ128" s="20">
        <v>3.6</v>
      </c>
      <c r="FY128" s="20" t="s">
        <v>698</v>
      </c>
      <c r="GC128" s="20" t="s">
        <v>696</v>
      </c>
      <c r="GD128" s="20" t="s">
        <v>698</v>
      </c>
      <c r="GE128" s="20" t="s">
        <v>696</v>
      </c>
      <c r="GH128" s="20" t="s">
        <v>696</v>
      </c>
      <c r="GK128" s="20" t="s">
        <v>698</v>
      </c>
      <c r="GT128" s="20" t="s">
        <v>698</v>
      </c>
      <c r="GU128" s="20" t="s">
        <v>698</v>
      </c>
      <c r="HF128" s="20">
        <v>0</v>
      </c>
      <c r="HG128" s="20">
        <v>7150</v>
      </c>
      <c r="HH128" s="20">
        <v>200000</v>
      </c>
      <c r="HI128" s="20">
        <v>100000</v>
      </c>
      <c r="HJ128" s="20">
        <v>75000</v>
      </c>
      <c r="HK128" s="20">
        <v>0</v>
      </c>
      <c r="HM128" s="20">
        <v>382150</v>
      </c>
      <c r="HN128" s="20">
        <v>0</v>
      </c>
      <c r="HO128" s="20">
        <v>0</v>
      </c>
      <c r="HP128" s="20">
        <v>0</v>
      </c>
      <c r="HQ128" s="20">
        <v>0</v>
      </c>
      <c r="HR128" s="20">
        <v>295</v>
      </c>
      <c r="HS128" s="20">
        <v>707</v>
      </c>
      <c r="HT128" s="20" t="s">
        <v>787</v>
      </c>
      <c r="HV128" s="24">
        <v>42444</v>
      </c>
      <c r="HW128" s="20" t="s">
        <v>698</v>
      </c>
      <c r="HY128" s="20" t="s">
        <v>723</v>
      </c>
      <c r="HZ128" s="20" t="s">
        <v>698</v>
      </c>
      <c r="IC128" s="20">
        <v>44626</v>
      </c>
      <c r="ID128" s="20" t="s">
        <v>696</v>
      </c>
      <c r="IL128" s="20" t="s">
        <v>698</v>
      </c>
      <c r="IS128" s="20" t="s">
        <v>724</v>
      </c>
      <c r="IT128" s="20" t="s">
        <v>696</v>
      </c>
      <c r="IU128" s="20" t="s">
        <v>696</v>
      </c>
      <c r="IV128" s="20" t="s">
        <v>696</v>
      </c>
      <c r="IW128" s="20" t="s">
        <v>698</v>
      </c>
      <c r="IX128" s="20" t="s">
        <v>698</v>
      </c>
      <c r="IY128" s="20" t="s">
        <v>696</v>
      </c>
      <c r="IZ128" s="20" t="s">
        <v>696</v>
      </c>
      <c r="JA128" s="20" t="s">
        <v>696</v>
      </c>
      <c r="JB128" s="20" t="s">
        <v>696</v>
      </c>
      <c r="JC128" s="20" t="s">
        <v>698</v>
      </c>
      <c r="JD128" s="20" t="s">
        <v>859</v>
      </c>
      <c r="JF128" s="20" t="s">
        <v>696</v>
      </c>
      <c r="JI128" s="20" t="s">
        <v>696</v>
      </c>
      <c r="JJ128" s="20" t="s">
        <v>696</v>
      </c>
      <c r="JR128" s="20" t="s">
        <v>696</v>
      </c>
      <c r="JS128" s="20" t="s">
        <v>698</v>
      </c>
      <c r="JT128" s="20">
        <v>1</v>
      </c>
      <c r="JU128" s="20">
        <v>0</v>
      </c>
      <c r="JX128" s="20" t="s">
        <v>990</v>
      </c>
      <c r="JY128" s="20" t="s">
        <v>1454</v>
      </c>
      <c r="MK128" s="20" t="s">
        <v>1454</v>
      </c>
      <c r="ML128" s="20" t="s">
        <v>698</v>
      </c>
      <c r="MQ128" s="20" t="s">
        <v>696</v>
      </c>
      <c r="MR128" s="20" t="s">
        <v>1727</v>
      </c>
      <c r="MT128" s="20" t="s">
        <v>1728</v>
      </c>
      <c r="MU128" s="20" t="s">
        <v>1729</v>
      </c>
      <c r="MV128" s="20" t="s">
        <v>698</v>
      </c>
      <c r="MY128" s="20" t="s">
        <v>696</v>
      </c>
      <c r="MZ128" s="20" t="s">
        <v>992</v>
      </c>
      <c r="NG128" s="20" t="s">
        <v>698</v>
      </c>
      <c r="NH128" s="20" t="s">
        <v>698</v>
      </c>
      <c r="NI128" s="20" t="s">
        <v>993</v>
      </c>
      <c r="NK128" s="20" t="s">
        <v>1483</v>
      </c>
      <c r="NL128" s="20" t="s">
        <v>1484</v>
      </c>
      <c r="NM128" s="20" t="s">
        <v>1485</v>
      </c>
      <c r="NN128" s="20" t="s">
        <v>698</v>
      </c>
      <c r="NR128" s="20" t="s">
        <v>994</v>
      </c>
      <c r="NS128" s="20" t="s">
        <v>698</v>
      </c>
      <c r="NT128" s="20" t="s">
        <v>696</v>
      </c>
      <c r="NU128" s="20">
        <v>96</v>
      </c>
      <c r="NV128" s="20" t="s">
        <v>1730</v>
      </c>
      <c r="NW128" s="20" t="s">
        <v>1731</v>
      </c>
      <c r="NX128" s="20" t="s">
        <v>1732</v>
      </c>
      <c r="XL128" s="20" t="s">
        <v>730</v>
      </c>
      <c r="XM128" s="20" t="s">
        <v>1360</v>
      </c>
      <c r="XN128" s="20" t="s">
        <v>732</v>
      </c>
      <c r="XO128" s="20" t="s">
        <v>733</v>
      </c>
      <c r="XQ128" s="24">
        <v>45128</v>
      </c>
      <c r="XU128" s="20" t="s">
        <v>730</v>
      </c>
      <c r="XV128" s="20" t="s">
        <v>733</v>
      </c>
      <c r="XW128" s="20" t="s">
        <v>1360</v>
      </c>
      <c r="XX128" s="20" t="s">
        <v>732</v>
      </c>
      <c r="XY128" s="20" t="s">
        <v>1733</v>
      </c>
    </row>
    <row r="129" spans="1:649" ht="13">
      <c r="A129" s="20">
        <v>844</v>
      </c>
      <c r="B129" s="21">
        <v>44790</v>
      </c>
      <c r="C129" s="20">
        <v>2022</v>
      </c>
      <c r="D129" s="20">
        <v>20220184</v>
      </c>
      <c r="E129" s="20">
        <v>38308</v>
      </c>
      <c r="F129" s="20" t="s">
        <v>825</v>
      </c>
      <c r="G129" s="20">
        <v>32099</v>
      </c>
      <c r="H129" s="20" t="s">
        <v>752</v>
      </c>
      <c r="I129" s="20" t="s">
        <v>692</v>
      </c>
      <c r="J129" s="20" t="s">
        <v>693</v>
      </c>
      <c r="K129" s="20" t="s">
        <v>694</v>
      </c>
      <c r="L129" s="20">
        <v>77002</v>
      </c>
      <c r="M129" s="22">
        <v>44760.354166666664</v>
      </c>
      <c r="N129" s="20" t="s">
        <v>695</v>
      </c>
      <c r="O129" s="20" t="s">
        <v>696</v>
      </c>
      <c r="P129" s="20">
        <v>31.944481</v>
      </c>
      <c r="Q129" s="20">
        <v>-101.91901900000001</v>
      </c>
      <c r="R129" s="20" t="s">
        <v>697</v>
      </c>
      <c r="W129" s="20">
        <v>4.8600000000000003</v>
      </c>
      <c r="Y129" s="20">
        <v>4.8600000000000003</v>
      </c>
      <c r="Z129" s="20" t="s">
        <v>698</v>
      </c>
      <c r="AF129" s="20">
        <v>0</v>
      </c>
      <c r="AG129" s="20" t="s">
        <v>698</v>
      </c>
      <c r="AM129" s="20">
        <v>0</v>
      </c>
      <c r="AN129" s="20" t="s">
        <v>699</v>
      </c>
      <c r="AP129" s="20" t="s">
        <v>700</v>
      </c>
      <c r="AQ129" s="23">
        <v>44760.354166666664</v>
      </c>
      <c r="AR129" s="20" t="s">
        <v>736</v>
      </c>
      <c r="AS129" s="20" t="s">
        <v>702</v>
      </c>
      <c r="AT129" s="20" t="s">
        <v>703</v>
      </c>
      <c r="AU129" s="20" t="s">
        <v>696</v>
      </c>
      <c r="AW129" s="23">
        <v>44760.354166666664</v>
      </c>
      <c r="AX129" s="23">
        <v>44866.333333333336</v>
      </c>
      <c r="AZ129" s="20" t="s">
        <v>696</v>
      </c>
      <c r="BA129" s="20" t="s">
        <v>753</v>
      </c>
      <c r="BB129" s="23">
        <v>44760.357638888891</v>
      </c>
      <c r="BC129" s="23">
        <v>44760.354166666664</v>
      </c>
      <c r="BD129" s="23">
        <v>44760.691666666666</v>
      </c>
      <c r="BF129" s="20" t="s">
        <v>754</v>
      </c>
      <c r="BH129" s="20" t="s">
        <v>698</v>
      </c>
      <c r="BV129" s="20" t="s">
        <v>698</v>
      </c>
      <c r="BX129" s="20" t="s">
        <v>698</v>
      </c>
      <c r="CA129" s="20">
        <v>0</v>
      </c>
      <c r="CB129" s="20" t="s">
        <v>1650</v>
      </c>
      <c r="CC129" s="20" t="s">
        <v>1734</v>
      </c>
      <c r="CD129" s="20" t="s">
        <v>694</v>
      </c>
      <c r="CE129" s="20">
        <v>79706</v>
      </c>
      <c r="CF129" s="20" t="s">
        <v>757</v>
      </c>
      <c r="CG129" s="20" t="s">
        <v>757</v>
      </c>
      <c r="CH129" s="20" t="s">
        <v>710</v>
      </c>
      <c r="CI129" s="20">
        <v>0</v>
      </c>
      <c r="CJ129" s="20" t="s">
        <v>698</v>
      </c>
      <c r="CK129" s="20" t="s">
        <v>712</v>
      </c>
      <c r="CL129" s="20" t="s">
        <v>741</v>
      </c>
      <c r="CM129" s="20" t="s">
        <v>742</v>
      </c>
      <c r="CO129" s="20">
        <v>48</v>
      </c>
      <c r="CP129" s="20" t="s">
        <v>698</v>
      </c>
      <c r="DM129" s="20" t="s">
        <v>715</v>
      </c>
      <c r="DN129" s="20" t="s">
        <v>744</v>
      </c>
      <c r="DO129" s="20" t="s">
        <v>745</v>
      </c>
      <c r="DP129" s="20" t="s">
        <v>698</v>
      </c>
      <c r="DQ129" s="20">
        <v>16</v>
      </c>
      <c r="DR129" s="20">
        <v>0.25</v>
      </c>
      <c r="DS129" s="20">
        <v>42000</v>
      </c>
      <c r="DT129" s="20" t="s">
        <v>1103</v>
      </c>
      <c r="DU129" s="20" t="s">
        <v>747</v>
      </c>
      <c r="DW129" s="20" t="s">
        <v>1653</v>
      </c>
      <c r="DX129" s="20" t="s">
        <v>748</v>
      </c>
      <c r="DZ129" s="20" t="s">
        <v>698</v>
      </c>
      <c r="FK129" s="20">
        <v>2017</v>
      </c>
      <c r="FL129" s="20">
        <v>2013</v>
      </c>
      <c r="FM129" s="20" t="s">
        <v>719</v>
      </c>
      <c r="FO129" s="20" t="s">
        <v>720</v>
      </c>
      <c r="FR129" s="20" t="s">
        <v>749</v>
      </c>
      <c r="FY129" s="20" t="s">
        <v>698</v>
      </c>
      <c r="GC129" s="20" t="s">
        <v>696</v>
      </c>
      <c r="GD129" s="20" t="s">
        <v>698</v>
      </c>
      <c r="GE129" s="20" t="s">
        <v>696</v>
      </c>
      <c r="GH129" s="20" t="s">
        <v>696</v>
      </c>
      <c r="GK129" s="20" t="s">
        <v>698</v>
      </c>
      <c r="GT129" s="20" t="s">
        <v>698</v>
      </c>
      <c r="GU129" s="20" t="s">
        <v>698</v>
      </c>
      <c r="HF129" s="20">
        <v>0</v>
      </c>
      <c r="HG129" s="20">
        <v>303</v>
      </c>
      <c r="HH129" s="20">
        <v>35000</v>
      </c>
      <c r="HI129" s="20">
        <v>10000</v>
      </c>
      <c r="HJ129" s="20">
        <v>1000</v>
      </c>
      <c r="HK129" s="20">
        <v>0</v>
      </c>
      <c r="HM129" s="20">
        <v>46303</v>
      </c>
      <c r="HN129" s="20">
        <v>0</v>
      </c>
      <c r="HO129" s="20">
        <v>0</v>
      </c>
      <c r="HP129" s="20">
        <v>0</v>
      </c>
      <c r="HQ129" s="20">
        <v>0</v>
      </c>
      <c r="HR129" s="20">
        <v>10.5</v>
      </c>
      <c r="HS129" s="20">
        <v>285</v>
      </c>
      <c r="HT129" s="20" t="s">
        <v>750</v>
      </c>
      <c r="HV129" s="24">
        <v>42856</v>
      </c>
      <c r="HW129" s="20" t="s">
        <v>698</v>
      </c>
      <c r="HY129" s="20" t="s">
        <v>723</v>
      </c>
      <c r="HZ129" s="20" t="s">
        <v>698</v>
      </c>
      <c r="IS129" s="20" t="s">
        <v>724</v>
      </c>
      <c r="IT129" s="20" t="s">
        <v>696</v>
      </c>
      <c r="IU129" s="20" t="s">
        <v>696</v>
      </c>
      <c r="IV129" s="20" t="s">
        <v>696</v>
      </c>
      <c r="IW129" s="20" t="s">
        <v>698</v>
      </c>
      <c r="IX129" s="20" t="s">
        <v>698</v>
      </c>
      <c r="IY129" s="20" t="s">
        <v>696</v>
      </c>
      <c r="IZ129" s="20" t="s">
        <v>696</v>
      </c>
      <c r="JA129" s="20" t="s">
        <v>696</v>
      </c>
      <c r="JB129" s="20" t="s">
        <v>698</v>
      </c>
      <c r="JC129" s="20" t="s">
        <v>698</v>
      </c>
      <c r="JD129" s="20" t="s">
        <v>725</v>
      </c>
      <c r="JE129" s="20" t="s">
        <v>1326</v>
      </c>
      <c r="JR129" s="20" t="s">
        <v>698</v>
      </c>
      <c r="JS129" s="20" t="s">
        <v>698</v>
      </c>
      <c r="JX129" s="20" t="s">
        <v>833</v>
      </c>
      <c r="JY129" s="20" t="s">
        <v>834</v>
      </c>
      <c r="JZ129" s="20" t="s">
        <v>834</v>
      </c>
      <c r="LD129" s="20" t="s">
        <v>835</v>
      </c>
      <c r="LG129" s="20" t="s">
        <v>696</v>
      </c>
      <c r="LL129" s="20" t="s">
        <v>696</v>
      </c>
      <c r="LP129" s="20" t="s">
        <v>696</v>
      </c>
      <c r="LU129" s="20" t="s">
        <v>696</v>
      </c>
      <c r="LV129" s="20" t="s">
        <v>698</v>
      </c>
      <c r="LW129" s="20" t="s">
        <v>838</v>
      </c>
      <c r="LX129" s="20" t="s">
        <v>838</v>
      </c>
      <c r="SC129" s="20" t="s">
        <v>698</v>
      </c>
      <c r="UO129" s="20" t="s">
        <v>698</v>
      </c>
      <c r="UR129" s="20" t="s">
        <v>698</v>
      </c>
      <c r="UZ129" s="20" t="s">
        <v>698</v>
      </c>
      <c r="XL129" s="20" t="s">
        <v>730</v>
      </c>
      <c r="XM129" s="20" t="s">
        <v>1360</v>
      </c>
      <c r="XN129" s="20" t="s">
        <v>732</v>
      </c>
      <c r="XO129" s="20" t="s">
        <v>733</v>
      </c>
      <c r="XQ129" s="24">
        <v>45130</v>
      </c>
      <c r="XU129" s="20" t="s">
        <v>730</v>
      </c>
      <c r="XV129" s="20" t="s">
        <v>733</v>
      </c>
      <c r="XW129" s="20" t="s">
        <v>1360</v>
      </c>
      <c r="XX129" s="20" t="s">
        <v>732</v>
      </c>
      <c r="XY129" s="20" t="s">
        <v>1735</v>
      </c>
    </row>
    <row r="130" spans="1:649" ht="13">
      <c r="A130" s="20">
        <v>851</v>
      </c>
      <c r="B130" s="21">
        <v>44768</v>
      </c>
      <c r="C130" s="20">
        <v>2022</v>
      </c>
      <c r="D130" s="20">
        <v>20220160</v>
      </c>
      <c r="E130" s="20">
        <v>37559</v>
      </c>
      <c r="F130" s="20" t="s">
        <v>825</v>
      </c>
      <c r="G130" s="20">
        <v>32099</v>
      </c>
      <c r="H130" s="20" t="s">
        <v>752</v>
      </c>
      <c r="I130" s="20" t="s">
        <v>692</v>
      </c>
      <c r="J130" s="20" t="s">
        <v>693</v>
      </c>
      <c r="K130" s="20" t="s">
        <v>694</v>
      </c>
      <c r="L130" s="20">
        <v>77002</v>
      </c>
      <c r="M130" s="22">
        <v>44753.375</v>
      </c>
      <c r="N130" s="20" t="s">
        <v>695</v>
      </c>
      <c r="O130" s="20" t="s">
        <v>696</v>
      </c>
      <c r="P130" s="20">
        <v>31.346503999999999</v>
      </c>
      <c r="Q130" s="20">
        <v>-102.59080899999999</v>
      </c>
      <c r="R130" s="20" t="s">
        <v>773</v>
      </c>
      <c r="S130" s="20" t="s">
        <v>1098</v>
      </c>
      <c r="W130" s="20">
        <v>5000</v>
      </c>
      <c r="X130" s="20">
        <v>0</v>
      </c>
      <c r="Y130" s="20">
        <v>0</v>
      </c>
      <c r="Z130" s="20" t="s">
        <v>698</v>
      </c>
      <c r="AF130" s="20">
        <v>0</v>
      </c>
      <c r="AG130" s="20" t="s">
        <v>698</v>
      </c>
      <c r="AM130" s="20">
        <v>0</v>
      </c>
      <c r="AN130" s="20" t="s">
        <v>699</v>
      </c>
      <c r="AP130" s="20" t="s">
        <v>1013</v>
      </c>
      <c r="AQ130" s="23">
        <v>44742.385416666664</v>
      </c>
      <c r="AR130" s="20" t="s">
        <v>776</v>
      </c>
      <c r="AS130" s="20" t="s">
        <v>702</v>
      </c>
      <c r="AT130" s="20" t="s">
        <v>847</v>
      </c>
      <c r="AZ130" s="20" t="s">
        <v>698</v>
      </c>
      <c r="BC130" s="23">
        <v>44742.385416666664</v>
      </c>
      <c r="BD130" s="23">
        <v>44742.385416666664</v>
      </c>
      <c r="BE130" s="23">
        <v>44753.399305555555</v>
      </c>
      <c r="BF130" s="20">
        <v>1341177</v>
      </c>
      <c r="BG130" s="20">
        <v>1341354</v>
      </c>
      <c r="BH130" s="20" t="s">
        <v>698</v>
      </c>
      <c r="BN130" s="20" t="s">
        <v>777</v>
      </c>
      <c r="BP130" s="23">
        <v>44742.40625</v>
      </c>
      <c r="BQ130" s="20" t="s">
        <v>779</v>
      </c>
      <c r="BR130" s="20" t="s">
        <v>777</v>
      </c>
      <c r="BT130" s="23">
        <v>44742.409722222219</v>
      </c>
      <c r="BU130" s="20" t="s">
        <v>779</v>
      </c>
      <c r="CA130" s="20">
        <v>0</v>
      </c>
      <c r="CB130" s="20" t="s">
        <v>1736</v>
      </c>
      <c r="CC130" s="20" t="s">
        <v>1737</v>
      </c>
      <c r="CD130" s="20" t="s">
        <v>694</v>
      </c>
      <c r="CE130" s="20">
        <v>79731</v>
      </c>
      <c r="CF130" s="20" t="s">
        <v>1738</v>
      </c>
      <c r="CG130" s="20" t="s">
        <v>1738</v>
      </c>
      <c r="CH130" s="20" t="s">
        <v>784</v>
      </c>
      <c r="CI130" s="20" t="s">
        <v>1739</v>
      </c>
      <c r="CJ130" s="20" t="s">
        <v>698</v>
      </c>
      <c r="CK130" s="20" t="s">
        <v>785</v>
      </c>
      <c r="CL130" s="20" t="s">
        <v>741</v>
      </c>
      <c r="CM130" s="20" t="s">
        <v>1541</v>
      </c>
      <c r="CO130" s="20">
        <v>16</v>
      </c>
      <c r="CP130" s="20" t="s">
        <v>698</v>
      </c>
      <c r="DM130" s="20" t="s">
        <v>715</v>
      </c>
      <c r="DN130" s="20" t="s">
        <v>829</v>
      </c>
      <c r="EM130" s="20" t="s">
        <v>1188</v>
      </c>
      <c r="EN130" s="20" t="s">
        <v>1740</v>
      </c>
      <c r="EP130" s="20" t="s">
        <v>728</v>
      </c>
      <c r="FK130" s="20">
        <v>1990</v>
      </c>
      <c r="FL130" s="20" t="s">
        <v>728</v>
      </c>
      <c r="FM130" s="20" t="s">
        <v>719</v>
      </c>
      <c r="FO130" s="20" t="s">
        <v>720</v>
      </c>
      <c r="FR130" s="20" t="s">
        <v>721</v>
      </c>
      <c r="FY130" s="20" t="s">
        <v>698</v>
      </c>
      <c r="GC130" s="20" t="s">
        <v>698</v>
      </c>
      <c r="GD130" s="20" t="s">
        <v>698</v>
      </c>
      <c r="GE130" s="20" t="s">
        <v>698</v>
      </c>
      <c r="GK130" s="20" t="s">
        <v>698</v>
      </c>
      <c r="GT130" s="20" t="s">
        <v>698</v>
      </c>
      <c r="GU130" s="20" t="s">
        <v>698</v>
      </c>
      <c r="HF130" s="20">
        <v>0</v>
      </c>
      <c r="HG130" s="20">
        <v>231900</v>
      </c>
      <c r="HH130" s="20">
        <v>87000</v>
      </c>
      <c r="HI130" s="20">
        <v>1000</v>
      </c>
      <c r="HJ130" s="20">
        <v>0</v>
      </c>
      <c r="HK130" s="20">
        <v>0</v>
      </c>
      <c r="HM130" s="20">
        <v>319900</v>
      </c>
      <c r="HN130" s="20">
        <v>0</v>
      </c>
      <c r="HO130" s="20">
        <v>0</v>
      </c>
      <c r="HP130" s="20">
        <v>0</v>
      </c>
      <c r="HQ130" s="20">
        <v>0</v>
      </c>
      <c r="HR130" s="20">
        <v>900</v>
      </c>
      <c r="HS130" s="20">
        <v>1440</v>
      </c>
      <c r="HT130" s="20" t="s">
        <v>943</v>
      </c>
      <c r="HV130" s="24">
        <v>32365</v>
      </c>
      <c r="HW130" s="20" t="s">
        <v>698</v>
      </c>
      <c r="HY130" s="20" t="s">
        <v>723</v>
      </c>
      <c r="HZ130" s="20" t="s">
        <v>698</v>
      </c>
      <c r="IC130" s="20">
        <v>69970</v>
      </c>
      <c r="ID130" s="20" t="s">
        <v>696</v>
      </c>
      <c r="IL130" s="20" t="s">
        <v>696</v>
      </c>
      <c r="IO130" s="20" t="s">
        <v>696</v>
      </c>
      <c r="IS130" s="20" t="s">
        <v>808</v>
      </c>
      <c r="IT130" s="20" t="s">
        <v>696</v>
      </c>
      <c r="IU130" s="20" t="s">
        <v>696</v>
      </c>
      <c r="IV130" s="20" t="s">
        <v>696</v>
      </c>
      <c r="IW130" s="20" t="s">
        <v>698</v>
      </c>
      <c r="IX130" s="20" t="s">
        <v>698</v>
      </c>
      <c r="IY130" s="20" t="s">
        <v>698</v>
      </c>
      <c r="JD130" s="20" t="s">
        <v>725</v>
      </c>
      <c r="JE130" s="20" t="s">
        <v>1326</v>
      </c>
      <c r="JR130" s="20" t="s">
        <v>698</v>
      </c>
      <c r="JS130" s="20" t="s">
        <v>698</v>
      </c>
      <c r="JX130" s="20" t="s">
        <v>789</v>
      </c>
      <c r="JY130" s="20" t="s">
        <v>790</v>
      </c>
      <c r="QB130" s="20" t="s">
        <v>790</v>
      </c>
      <c r="QG130" s="20" t="s">
        <v>696</v>
      </c>
      <c r="RF130" s="20" t="s">
        <v>696</v>
      </c>
      <c r="XL130" s="20" t="s">
        <v>1712</v>
      </c>
      <c r="XM130" s="20" t="s">
        <v>1713</v>
      </c>
      <c r="XN130" s="20" t="s">
        <v>1714</v>
      </c>
      <c r="XO130" s="20" t="s">
        <v>1741</v>
      </c>
      <c r="XQ130" s="24">
        <v>44935</v>
      </c>
      <c r="XU130" s="20" t="s">
        <v>1624</v>
      </c>
      <c r="XV130" s="20" t="s">
        <v>1625</v>
      </c>
      <c r="XW130" s="20" t="s">
        <v>1742</v>
      </c>
      <c r="XX130" s="20" t="s">
        <v>1627</v>
      </c>
      <c r="XY130" s="20" t="s">
        <v>1743</v>
      </c>
    </row>
    <row r="131" spans="1:649" ht="13">
      <c r="A131" s="20">
        <v>864</v>
      </c>
      <c r="B131" s="21">
        <v>44770</v>
      </c>
      <c r="C131" s="20">
        <v>2022</v>
      </c>
      <c r="D131" s="20">
        <v>20220162</v>
      </c>
      <c r="E131" s="20">
        <v>38128</v>
      </c>
      <c r="F131" s="20" t="s">
        <v>825</v>
      </c>
      <c r="G131" s="20">
        <v>12470</v>
      </c>
      <c r="H131" s="20" t="s">
        <v>1070</v>
      </c>
      <c r="I131" s="20" t="s">
        <v>692</v>
      </c>
      <c r="J131" s="20" t="s">
        <v>693</v>
      </c>
      <c r="K131" s="20" t="s">
        <v>694</v>
      </c>
      <c r="L131" s="20">
        <v>77002</v>
      </c>
      <c r="M131" s="22">
        <v>44741.523611111108</v>
      </c>
      <c r="N131" s="20" t="s">
        <v>695</v>
      </c>
      <c r="O131" s="20" t="s">
        <v>696</v>
      </c>
      <c r="P131" s="20">
        <v>35.389943000000002</v>
      </c>
      <c r="Q131" s="20">
        <v>-88.628399000000002</v>
      </c>
      <c r="R131" s="20" t="s">
        <v>697</v>
      </c>
      <c r="W131" s="20">
        <v>4345</v>
      </c>
      <c r="Y131" s="20">
        <v>3339</v>
      </c>
      <c r="Z131" s="20" t="s">
        <v>698</v>
      </c>
      <c r="AF131" s="20">
        <v>0</v>
      </c>
      <c r="AG131" s="20" t="s">
        <v>698</v>
      </c>
      <c r="AM131" s="20">
        <v>0</v>
      </c>
      <c r="AN131" s="20" t="s">
        <v>699</v>
      </c>
      <c r="AP131" s="20" t="s">
        <v>1013</v>
      </c>
      <c r="AQ131" s="23">
        <v>44741.523611111108</v>
      </c>
      <c r="AR131" s="20" t="s">
        <v>776</v>
      </c>
      <c r="AS131" s="20" t="s">
        <v>702</v>
      </c>
      <c r="AT131" s="20" t="s">
        <v>703</v>
      </c>
      <c r="AU131" s="20" t="s">
        <v>696</v>
      </c>
      <c r="AW131" s="23">
        <v>44741.527083333334</v>
      </c>
      <c r="AX131" s="23">
        <v>44743.793055555558</v>
      </c>
      <c r="AZ131" s="20" t="s">
        <v>696</v>
      </c>
      <c r="BA131" s="20" t="s">
        <v>753</v>
      </c>
      <c r="BB131" s="23">
        <v>44741.675694444442</v>
      </c>
      <c r="BC131" s="23">
        <v>44741.552083333336</v>
      </c>
      <c r="BD131" s="23">
        <v>44741.523611111108</v>
      </c>
      <c r="BE131" s="23">
        <v>44741.677083333336</v>
      </c>
      <c r="BF131" s="20">
        <v>1340161</v>
      </c>
      <c r="BG131" s="20">
        <v>1340355</v>
      </c>
      <c r="BH131" s="20" t="s">
        <v>698</v>
      </c>
      <c r="BN131" s="20" t="s">
        <v>777</v>
      </c>
      <c r="BP131" s="23">
        <v>44741.540277777778</v>
      </c>
      <c r="BQ131" s="20" t="s">
        <v>798</v>
      </c>
      <c r="BR131" s="20" t="s">
        <v>777</v>
      </c>
      <c r="BT131" s="23">
        <v>44741.544444444444</v>
      </c>
      <c r="BU131" s="20" t="s">
        <v>798</v>
      </c>
      <c r="BV131" s="20" t="s">
        <v>696</v>
      </c>
      <c r="BW131" s="23">
        <v>44741.526388888888</v>
      </c>
      <c r="BX131" s="20" t="s">
        <v>696</v>
      </c>
      <c r="BY131" s="23">
        <v>44741.529166666667</v>
      </c>
      <c r="BZ131" s="23">
        <v>44741.6875</v>
      </c>
      <c r="CA131" s="20">
        <v>0</v>
      </c>
      <c r="CB131" s="20" t="s">
        <v>1744</v>
      </c>
      <c r="CC131" s="20" t="s">
        <v>1745</v>
      </c>
      <c r="CD131" s="20" t="s">
        <v>1746</v>
      </c>
      <c r="CE131" s="20">
        <v>38340</v>
      </c>
      <c r="CF131" s="20" t="s">
        <v>1694</v>
      </c>
      <c r="CG131" s="20" t="s">
        <v>1747</v>
      </c>
      <c r="CH131" s="20" t="s">
        <v>784</v>
      </c>
      <c r="CI131" s="20">
        <v>450</v>
      </c>
      <c r="CJ131" s="20" t="s">
        <v>698</v>
      </c>
      <c r="CK131" s="20" t="s">
        <v>785</v>
      </c>
      <c r="CL131" s="20" t="s">
        <v>741</v>
      </c>
      <c r="CM131" s="20" t="s">
        <v>1058</v>
      </c>
      <c r="CO131" s="20">
        <v>42</v>
      </c>
      <c r="CP131" s="20" t="s">
        <v>698</v>
      </c>
      <c r="DM131" s="20" t="s">
        <v>743</v>
      </c>
      <c r="DN131" s="20" t="s">
        <v>744</v>
      </c>
      <c r="DO131" s="20" t="s">
        <v>745</v>
      </c>
      <c r="DP131" s="20" t="s">
        <v>698</v>
      </c>
      <c r="DQ131" s="20">
        <v>22</v>
      </c>
      <c r="DR131" s="20">
        <v>0.32500000000000001</v>
      </c>
      <c r="DS131" s="20">
        <v>52000</v>
      </c>
      <c r="DT131" s="20" t="s">
        <v>1568</v>
      </c>
      <c r="DU131" s="20" t="s">
        <v>926</v>
      </c>
      <c r="DW131" s="20" t="s">
        <v>927</v>
      </c>
      <c r="DX131" s="20" t="s">
        <v>805</v>
      </c>
      <c r="DZ131" s="20" t="s">
        <v>696</v>
      </c>
      <c r="FK131" s="20">
        <v>1950</v>
      </c>
      <c r="FL131" s="20" t="s">
        <v>728</v>
      </c>
      <c r="FM131" s="20" t="s">
        <v>719</v>
      </c>
      <c r="FO131" s="20" t="s">
        <v>1061</v>
      </c>
      <c r="FP131" s="20">
        <v>7</v>
      </c>
      <c r="FQ131" s="20">
        <v>1</v>
      </c>
      <c r="FY131" s="20" t="s">
        <v>696</v>
      </c>
      <c r="FZ131" s="20" t="s">
        <v>696</v>
      </c>
      <c r="GB131" s="20" t="s">
        <v>696</v>
      </c>
      <c r="GC131" s="20" t="s">
        <v>696</v>
      </c>
      <c r="GD131" s="20" t="s">
        <v>696</v>
      </c>
      <c r="GE131" s="20" t="s">
        <v>696</v>
      </c>
      <c r="GF131" s="20" t="s">
        <v>696</v>
      </c>
      <c r="GG131" s="20" t="s">
        <v>696</v>
      </c>
      <c r="GH131" s="20" t="s">
        <v>696</v>
      </c>
      <c r="GK131" s="20" t="s">
        <v>696</v>
      </c>
      <c r="GM131" s="20" t="s">
        <v>696</v>
      </c>
      <c r="GN131" s="20" t="s">
        <v>696</v>
      </c>
      <c r="GR131" s="20">
        <v>3300</v>
      </c>
      <c r="GS131" s="20" t="s">
        <v>1748</v>
      </c>
      <c r="GT131" s="20" t="s">
        <v>698</v>
      </c>
      <c r="GU131" s="20" t="s">
        <v>698</v>
      </c>
      <c r="HF131" s="20">
        <v>40000</v>
      </c>
      <c r="HG131" s="20">
        <v>114684</v>
      </c>
      <c r="HH131" s="20">
        <v>150000</v>
      </c>
      <c r="HI131" s="20">
        <v>2251713</v>
      </c>
      <c r="HJ131" s="20">
        <v>2095000</v>
      </c>
      <c r="HK131" s="20">
        <v>0</v>
      </c>
      <c r="HM131" s="20">
        <v>4651397</v>
      </c>
      <c r="HN131" s="20">
        <v>0</v>
      </c>
      <c r="HO131" s="20">
        <v>0</v>
      </c>
      <c r="HP131" s="20">
        <v>0</v>
      </c>
      <c r="HQ131" s="20">
        <v>0</v>
      </c>
      <c r="HR131" s="20">
        <v>300</v>
      </c>
      <c r="HS131" s="20">
        <v>956</v>
      </c>
      <c r="HT131" s="20" t="s">
        <v>750</v>
      </c>
      <c r="HV131" s="24">
        <v>43389</v>
      </c>
      <c r="HW131" s="20" t="s">
        <v>698</v>
      </c>
      <c r="HY131" s="20" t="s">
        <v>723</v>
      </c>
      <c r="HZ131" s="20" t="s">
        <v>698</v>
      </c>
      <c r="IC131" s="20">
        <v>343200</v>
      </c>
      <c r="ID131" s="20" t="s">
        <v>696</v>
      </c>
      <c r="IL131" s="20" t="s">
        <v>698</v>
      </c>
      <c r="IS131" s="20" t="s">
        <v>724</v>
      </c>
      <c r="IT131" s="20" t="s">
        <v>696</v>
      </c>
      <c r="IU131" s="20" t="s">
        <v>696</v>
      </c>
      <c r="IV131" s="20" t="s">
        <v>696</v>
      </c>
      <c r="IW131" s="20" t="s">
        <v>698</v>
      </c>
      <c r="IX131" s="20" t="s">
        <v>698</v>
      </c>
      <c r="IY131" s="20" t="s">
        <v>696</v>
      </c>
      <c r="IZ131" s="20" t="s">
        <v>696</v>
      </c>
      <c r="JA131" s="20" t="s">
        <v>696</v>
      </c>
      <c r="JB131" s="20" t="s">
        <v>698</v>
      </c>
      <c r="JC131" s="20" t="s">
        <v>698</v>
      </c>
      <c r="JD131" s="20" t="s">
        <v>725</v>
      </c>
      <c r="JE131" s="20" t="s">
        <v>726</v>
      </c>
      <c r="JR131" s="20" t="s">
        <v>698</v>
      </c>
      <c r="JS131" s="20" t="s">
        <v>696</v>
      </c>
      <c r="JV131" s="20">
        <v>1</v>
      </c>
      <c r="JW131" s="20">
        <v>0</v>
      </c>
      <c r="JX131" s="20" t="s">
        <v>1062</v>
      </c>
      <c r="JY131" s="20" t="s">
        <v>1063</v>
      </c>
      <c r="NY131" s="20" t="s">
        <v>1063</v>
      </c>
      <c r="NZ131" s="20" t="s">
        <v>1064</v>
      </c>
      <c r="OJ131" s="20" t="s">
        <v>698</v>
      </c>
      <c r="OP131" s="20" t="s">
        <v>696</v>
      </c>
      <c r="OQ131" s="20">
        <v>5</v>
      </c>
      <c r="OS131" s="20" t="s">
        <v>1065</v>
      </c>
      <c r="OT131" s="20" t="s">
        <v>1066</v>
      </c>
      <c r="OU131" s="20">
        <v>0</v>
      </c>
      <c r="OV131" s="20" t="s">
        <v>698</v>
      </c>
      <c r="XL131" s="20" t="s">
        <v>730</v>
      </c>
      <c r="XM131" s="20" t="s">
        <v>1360</v>
      </c>
      <c r="XN131" s="20" t="s">
        <v>732</v>
      </c>
      <c r="XO131" s="20" t="s">
        <v>733</v>
      </c>
      <c r="XQ131" s="24">
        <v>45079</v>
      </c>
      <c r="XU131" s="20" t="s">
        <v>730</v>
      </c>
      <c r="XV131" s="20" t="s">
        <v>733</v>
      </c>
      <c r="XW131" s="20" t="s">
        <v>1360</v>
      </c>
      <c r="XX131" s="20" t="s">
        <v>732</v>
      </c>
      <c r="XY131" s="20" t="s">
        <v>1749</v>
      </c>
    </row>
    <row r="132" spans="1:649" ht="13">
      <c r="A132" s="20">
        <v>868</v>
      </c>
      <c r="B132" s="21">
        <v>44762</v>
      </c>
      <c r="C132" s="20">
        <v>2022</v>
      </c>
      <c r="D132" s="20">
        <v>20220154</v>
      </c>
      <c r="E132" s="20">
        <v>36879</v>
      </c>
      <c r="F132" s="20" t="s">
        <v>885</v>
      </c>
      <c r="G132" s="20">
        <v>32099</v>
      </c>
      <c r="H132" s="20" t="s">
        <v>752</v>
      </c>
      <c r="I132" s="20" t="s">
        <v>692</v>
      </c>
      <c r="J132" s="20" t="s">
        <v>693</v>
      </c>
      <c r="K132" s="20" t="s">
        <v>694</v>
      </c>
      <c r="L132" s="20">
        <v>77002</v>
      </c>
      <c r="M132" s="22">
        <v>44738.347222222219</v>
      </c>
      <c r="N132" s="20" t="s">
        <v>695</v>
      </c>
      <c r="O132" s="20" t="s">
        <v>696</v>
      </c>
      <c r="P132" s="20">
        <v>31.248090000000001</v>
      </c>
      <c r="Q132" s="20">
        <v>-103.35072</v>
      </c>
      <c r="R132" s="20" t="s">
        <v>697</v>
      </c>
      <c r="W132" s="20">
        <v>3.8</v>
      </c>
      <c r="Y132" s="20">
        <v>0</v>
      </c>
      <c r="Z132" s="20" t="s">
        <v>698</v>
      </c>
      <c r="AF132" s="20">
        <v>0</v>
      </c>
      <c r="AG132" s="20" t="s">
        <v>698</v>
      </c>
      <c r="AM132" s="20">
        <v>0</v>
      </c>
      <c r="AN132" s="20" t="s">
        <v>887</v>
      </c>
      <c r="AP132" s="20" t="s">
        <v>700</v>
      </c>
      <c r="AQ132" s="23">
        <v>44738.306250000001</v>
      </c>
      <c r="AR132" s="20" t="s">
        <v>701</v>
      </c>
      <c r="AS132" s="20" t="s">
        <v>702</v>
      </c>
      <c r="AT132" s="20" t="s">
        <v>703</v>
      </c>
      <c r="AU132" s="20" t="s">
        <v>696</v>
      </c>
      <c r="AW132" s="23">
        <v>44738.306250000001</v>
      </c>
      <c r="AX132" s="23">
        <v>44738.638888888891</v>
      </c>
      <c r="AZ132" s="20" t="s">
        <v>696</v>
      </c>
      <c r="BA132" s="20" t="s">
        <v>1239</v>
      </c>
      <c r="BB132" s="23">
        <v>44738.481944444444</v>
      </c>
      <c r="BC132" s="23">
        <v>44738.347222222219</v>
      </c>
      <c r="BD132" s="23">
        <v>44738.359027777777</v>
      </c>
      <c r="BF132" s="20" t="s">
        <v>754</v>
      </c>
      <c r="BH132" s="20" t="s">
        <v>698</v>
      </c>
      <c r="BV132" s="20" t="s">
        <v>696</v>
      </c>
      <c r="BW132" s="23">
        <v>44738.359027777777</v>
      </c>
      <c r="BX132" s="20" t="s">
        <v>698</v>
      </c>
      <c r="CA132" s="20">
        <v>0</v>
      </c>
      <c r="CB132" s="20" t="s">
        <v>1750</v>
      </c>
      <c r="CC132" s="20" t="s">
        <v>1751</v>
      </c>
      <c r="CD132" s="20" t="s">
        <v>694</v>
      </c>
      <c r="CE132" s="20">
        <v>79772</v>
      </c>
      <c r="CF132" s="20" t="s">
        <v>1359</v>
      </c>
      <c r="CG132" s="20" t="s">
        <v>1752</v>
      </c>
      <c r="CH132" s="20" t="s">
        <v>710</v>
      </c>
      <c r="CI132" s="20" t="s">
        <v>711</v>
      </c>
      <c r="CJ132" s="20" t="s">
        <v>698</v>
      </c>
      <c r="CK132" s="20" t="s">
        <v>712</v>
      </c>
      <c r="CL132" s="20" t="s">
        <v>713</v>
      </c>
      <c r="CM132" s="20" t="s">
        <v>758</v>
      </c>
      <c r="CP132" s="20" t="s">
        <v>698</v>
      </c>
      <c r="DM132" s="20" t="s">
        <v>715</v>
      </c>
      <c r="DN132" s="20" t="s">
        <v>1011</v>
      </c>
      <c r="FK132" s="20">
        <v>2012</v>
      </c>
      <c r="FL132" s="20" t="s">
        <v>728</v>
      </c>
      <c r="FM132" s="20" t="s">
        <v>962</v>
      </c>
      <c r="FN132" s="20" t="s">
        <v>1753</v>
      </c>
      <c r="FO132" s="20" t="s">
        <v>720</v>
      </c>
      <c r="FR132" s="20" t="s">
        <v>766</v>
      </c>
      <c r="FS132" s="20" t="s">
        <v>1754</v>
      </c>
      <c r="FY132" s="20" t="s">
        <v>698</v>
      </c>
      <c r="GC132" s="20" t="s">
        <v>696</v>
      </c>
      <c r="GD132" s="20" t="s">
        <v>698</v>
      </c>
      <c r="GE132" s="20" t="s">
        <v>696</v>
      </c>
      <c r="GH132" s="20" t="s">
        <v>696</v>
      </c>
      <c r="GK132" s="20" t="s">
        <v>698</v>
      </c>
      <c r="GT132" s="20" t="s">
        <v>698</v>
      </c>
      <c r="GU132" s="20" t="s">
        <v>698</v>
      </c>
      <c r="HF132" s="20">
        <v>0</v>
      </c>
      <c r="HG132" s="20">
        <v>437</v>
      </c>
      <c r="HH132" s="20">
        <v>5000</v>
      </c>
      <c r="HI132" s="20">
        <v>0</v>
      </c>
      <c r="HJ132" s="20">
        <v>24000</v>
      </c>
      <c r="HK132" s="20">
        <v>0</v>
      </c>
      <c r="HM132" s="20">
        <v>29437</v>
      </c>
      <c r="HN132" s="20">
        <v>0</v>
      </c>
      <c r="HO132" s="20">
        <v>0</v>
      </c>
      <c r="HP132" s="20">
        <v>0</v>
      </c>
      <c r="HQ132" s="20">
        <v>0</v>
      </c>
      <c r="HR132" s="20">
        <v>75</v>
      </c>
      <c r="HS132" s="20">
        <v>285</v>
      </c>
      <c r="HT132" s="20" t="s">
        <v>750</v>
      </c>
      <c r="HV132" s="24">
        <v>41000</v>
      </c>
      <c r="HW132" s="20" t="s">
        <v>698</v>
      </c>
      <c r="HY132" s="20" t="s">
        <v>723</v>
      </c>
      <c r="HZ132" s="20" t="s">
        <v>698</v>
      </c>
      <c r="IS132" s="20" t="s">
        <v>724</v>
      </c>
      <c r="IT132" s="20" t="s">
        <v>696</v>
      </c>
      <c r="IU132" s="20" t="s">
        <v>696</v>
      </c>
      <c r="IV132" s="20" t="s">
        <v>696</v>
      </c>
      <c r="IW132" s="20" t="s">
        <v>698</v>
      </c>
      <c r="IX132" s="20" t="s">
        <v>698</v>
      </c>
      <c r="IY132" s="20" t="s">
        <v>696</v>
      </c>
      <c r="IZ132" s="20" t="s">
        <v>696</v>
      </c>
      <c r="JA132" s="20" t="s">
        <v>696</v>
      </c>
      <c r="JB132" s="20" t="s">
        <v>698</v>
      </c>
      <c r="JC132" s="20" t="s">
        <v>698</v>
      </c>
      <c r="JD132" s="20" t="s">
        <v>725</v>
      </c>
      <c r="JE132" s="20" t="s">
        <v>726</v>
      </c>
      <c r="JR132" s="20" t="s">
        <v>698</v>
      </c>
      <c r="JS132" s="20" t="s">
        <v>698</v>
      </c>
      <c r="JX132" s="20" t="s">
        <v>789</v>
      </c>
      <c r="JY132" s="20" t="s">
        <v>790</v>
      </c>
      <c r="QB132" s="20" t="s">
        <v>790</v>
      </c>
      <c r="QC132" s="20" t="s">
        <v>696</v>
      </c>
      <c r="QM132" s="20" t="s">
        <v>696</v>
      </c>
      <c r="QN132" s="20" t="s">
        <v>1755</v>
      </c>
      <c r="RK132" s="20" t="s">
        <v>696</v>
      </c>
      <c r="RL132" s="20" t="s">
        <v>1756</v>
      </c>
      <c r="XL132" s="20" t="s">
        <v>730</v>
      </c>
      <c r="XM132" s="20" t="s">
        <v>1360</v>
      </c>
      <c r="XN132" s="20" t="s">
        <v>732</v>
      </c>
      <c r="XO132" s="20" t="s">
        <v>733</v>
      </c>
      <c r="XQ132" s="24">
        <v>44762</v>
      </c>
      <c r="XU132" s="20" t="s">
        <v>730</v>
      </c>
      <c r="XV132" s="20" t="s">
        <v>733</v>
      </c>
      <c r="XW132" s="20" t="s">
        <v>1360</v>
      </c>
      <c r="XX132" s="20" t="s">
        <v>732</v>
      </c>
      <c r="XY132" s="20" t="s">
        <v>1757</v>
      </c>
    </row>
    <row r="133" spans="1:649" ht="13">
      <c r="A133" s="20">
        <v>871</v>
      </c>
      <c r="B133" s="21">
        <v>44762</v>
      </c>
      <c r="C133" s="20">
        <v>2022</v>
      </c>
      <c r="D133" s="20">
        <v>20220155</v>
      </c>
      <c r="E133" s="20">
        <v>37008</v>
      </c>
      <c r="F133" s="20" t="s">
        <v>825</v>
      </c>
      <c r="G133" s="20">
        <v>18718</v>
      </c>
      <c r="H133" s="20" t="s">
        <v>918</v>
      </c>
      <c r="I133" s="20" t="s">
        <v>692</v>
      </c>
      <c r="J133" s="20" t="s">
        <v>693</v>
      </c>
      <c r="K133" s="20" t="s">
        <v>694</v>
      </c>
      <c r="L133" s="20">
        <v>77002</v>
      </c>
      <c r="M133" s="22">
        <v>44736.418055555558</v>
      </c>
      <c r="N133" s="20" t="s">
        <v>695</v>
      </c>
      <c r="O133" s="20" t="s">
        <v>696</v>
      </c>
      <c r="P133" s="20">
        <v>34.699972000000002</v>
      </c>
      <c r="Q133" s="20">
        <v>-97.440217000000004</v>
      </c>
      <c r="R133" s="20" t="s">
        <v>697</v>
      </c>
      <c r="W133" s="20">
        <v>15</v>
      </c>
      <c r="Y133" s="20">
        <v>15</v>
      </c>
      <c r="Z133" s="20" t="s">
        <v>698</v>
      </c>
      <c r="AF133" s="20">
        <v>0</v>
      </c>
      <c r="AG133" s="20" t="s">
        <v>698</v>
      </c>
      <c r="AM133" s="20">
        <v>0</v>
      </c>
      <c r="AN133" s="20" t="s">
        <v>887</v>
      </c>
      <c r="AP133" s="20" t="s">
        <v>700</v>
      </c>
      <c r="AQ133" s="23">
        <v>44736.418055555558</v>
      </c>
      <c r="AR133" s="20" t="s">
        <v>776</v>
      </c>
      <c r="AS133" s="20" t="s">
        <v>702</v>
      </c>
      <c r="AT133" s="20" t="s">
        <v>703</v>
      </c>
      <c r="AU133" s="20" t="s">
        <v>696</v>
      </c>
      <c r="AW133" s="23">
        <v>44736.418055555558</v>
      </c>
      <c r="AX133" s="23">
        <v>44740.333333333336</v>
      </c>
      <c r="AZ133" s="20" t="s">
        <v>696</v>
      </c>
      <c r="BA133" s="20" t="s">
        <v>753</v>
      </c>
      <c r="BB133" s="23">
        <v>44736.613888888889</v>
      </c>
      <c r="BC133" s="23">
        <v>44736.4375</v>
      </c>
      <c r="BD133" s="23">
        <v>44736.552083333336</v>
      </c>
      <c r="BF133" s="20" t="s">
        <v>754</v>
      </c>
      <c r="BH133" s="20" t="s">
        <v>698</v>
      </c>
      <c r="BN133" s="20" t="s">
        <v>849</v>
      </c>
      <c r="BO133" s="20" t="s">
        <v>1758</v>
      </c>
      <c r="BR133" s="20" t="s">
        <v>849</v>
      </c>
      <c r="BS133" s="20" t="s">
        <v>1759</v>
      </c>
      <c r="BV133" s="20" t="s">
        <v>696</v>
      </c>
      <c r="BW133" s="23">
        <v>44736.554861111108</v>
      </c>
      <c r="BX133" s="20" t="s">
        <v>698</v>
      </c>
      <c r="CA133" s="20">
        <v>0</v>
      </c>
      <c r="CB133" s="20" t="s">
        <v>1760</v>
      </c>
      <c r="CC133" s="20" t="s">
        <v>1761</v>
      </c>
      <c r="CD133" s="20" t="s">
        <v>739</v>
      </c>
      <c r="CE133" s="20">
        <v>73057</v>
      </c>
      <c r="CF133" s="20" t="s">
        <v>1725</v>
      </c>
      <c r="CG133" s="20" t="s">
        <v>1567</v>
      </c>
      <c r="CH133" s="20" t="s">
        <v>784</v>
      </c>
      <c r="CI133" s="20">
        <v>9.4600000000000009</v>
      </c>
      <c r="CJ133" s="20" t="s">
        <v>698</v>
      </c>
      <c r="CK133" s="20" t="s">
        <v>785</v>
      </c>
      <c r="CL133" s="20" t="s">
        <v>741</v>
      </c>
      <c r="CM133" s="20" t="s">
        <v>742</v>
      </c>
      <c r="CO133" s="20">
        <v>48</v>
      </c>
      <c r="CP133" s="20" t="s">
        <v>698</v>
      </c>
      <c r="DM133" s="20" t="s">
        <v>715</v>
      </c>
      <c r="DN133" s="20" t="s">
        <v>744</v>
      </c>
      <c r="DO133" s="20" t="s">
        <v>745</v>
      </c>
      <c r="DP133" s="20" t="s">
        <v>698</v>
      </c>
      <c r="DQ133" s="20">
        <v>10.75</v>
      </c>
      <c r="DR133" s="20">
        <v>0.27900000000000003</v>
      </c>
      <c r="DS133" s="20">
        <v>35000</v>
      </c>
      <c r="DT133" s="20" t="s">
        <v>1762</v>
      </c>
      <c r="DU133" s="20" t="s">
        <v>804</v>
      </c>
      <c r="DW133" s="20" t="s">
        <v>728</v>
      </c>
      <c r="DX133" s="20" t="s">
        <v>805</v>
      </c>
      <c r="DZ133" s="20" t="s">
        <v>698</v>
      </c>
      <c r="FK133" s="20">
        <v>1959</v>
      </c>
      <c r="FL133" s="20" t="s">
        <v>728</v>
      </c>
      <c r="FM133" s="20" t="s">
        <v>719</v>
      </c>
      <c r="FO133" s="20" t="s">
        <v>720</v>
      </c>
      <c r="FR133" s="20" t="s">
        <v>749</v>
      </c>
      <c r="FY133" s="20" t="s">
        <v>698</v>
      </c>
      <c r="GC133" s="20" t="s">
        <v>696</v>
      </c>
      <c r="GD133" s="20" t="s">
        <v>698</v>
      </c>
      <c r="GE133" s="20" t="s">
        <v>696</v>
      </c>
      <c r="GH133" s="20" t="s">
        <v>696</v>
      </c>
      <c r="GK133" s="20" t="s">
        <v>698</v>
      </c>
      <c r="GT133" s="20" t="s">
        <v>698</v>
      </c>
      <c r="GU133" s="20" t="s">
        <v>698</v>
      </c>
      <c r="HF133" s="20">
        <v>1500</v>
      </c>
      <c r="HG133" s="20">
        <v>1500</v>
      </c>
      <c r="HH133" s="20">
        <v>25000</v>
      </c>
      <c r="HI133" s="20">
        <v>10000</v>
      </c>
      <c r="HJ133" s="20">
        <v>6500</v>
      </c>
      <c r="HK133" s="20">
        <v>0</v>
      </c>
      <c r="HM133" s="20">
        <v>44500</v>
      </c>
      <c r="HN133" s="20">
        <v>0</v>
      </c>
      <c r="HO133" s="20">
        <v>0</v>
      </c>
      <c r="HP133" s="20">
        <v>0</v>
      </c>
      <c r="HQ133" s="20">
        <v>0</v>
      </c>
      <c r="HR133" s="20">
        <v>161</v>
      </c>
      <c r="HS133" s="20">
        <v>780</v>
      </c>
      <c r="HT133" s="20" t="s">
        <v>750</v>
      </c>
      <c r="HV133" s="24">
        <v>27211</v>
      </c>
      <c r="HW133" s="20" t="s">
        <v>698</v>
      </c>
      <c r="HY133" s="20" t="s">
        <v>723</v>
      </c>
      <c r="HZ133" s="20" t="s">
        <v>698</v>
      </c>
      <c r="ID133" s="20" t="s">
        <v>696</v>
      </c>
      <c r="IL133" s="20" t="s">
        <v>698</v>
      </c>
      <c r="IS133" s="20" t="s">
        <v>724</v>
      </c>
      <c r="IT133" s="20" t="s">
        <v>696</v>
      </c>
      <c r="IU133" s="20" t="s">
        <v>696</v>
      </c>
      <c r="IV133" s="20" t="s">
        <v>696</v>
      </c>
      <c r="IW133" s="20" t="s">
        <v>696</v>
      </c>
      <c r="IX133" s="20" t="s">
        <v>696</v>
      </c>
      <c r="IY133" s="20" t="s">
        <v>696</v>
      </c>
      <c r="IZ133" s="20" t="s">
        <v>696</v>
      </c>
      <c r="JA133" s="20" t="s">
        <v>696</v>
      </c>
      <c r="JB133" s="20" t="s">
        <v>698</v>
      </c>
      <c r="JC133" s="20" t="s">
        <v>698</v>
      </c>
      <c r="JD133" s="20" t="s">
        <v>725</v>
      </c>
      <c r="JE133" s="20" t="s">
        <v>1763</v>
      </c>
      <c r="JR133" s="20" t="s">
        <v>698</v>
      </c>
      <c r="JS133" s="20" t="s">
        <v>698</v>
      </c>
      <c r="JX133" s="20" t="s">
        <v>833</v>
      </c>
      <c r="JY133" s="20" t="s">
        <v>834</v>
      </c>
      <c r="JZ133" s="20" t="s">
        <v>834</v>
      </c>
      <c r="LD133" s="20" t="s">
        <v>835</v>
      </c>
      <c r="LG133" s="20" t="s">
        <v>696</v>
      </c>
      <c r="LL133" s="20" t="s">
        <v>696</v>
      </c>
      <c r="LP133" s="20" t="s">
        <v>696</v>
      </c>
      <c r="LU133" s="20" t="s">
        <v>696</v>
      </c>
      <c r="LV133" s="20" t="s">
        <v>698</v>
      </c>
      <c r="LW133" s="20" t="s">
        <v>696</v>
      </c>
      <c r="LX133" s="20" t="s">
        <v>696</v>
      </c>
      <c r="SC133" s="20" t="s">
        <v>696</v>
      </c>
      <c r="SD133" s="20" t="s">
        <v>696</v>
      </c>
      <c r="SG133" s="20" t="s">
        <v>696</v>
      </c>
      <c r="SK133" s="20">
        <v>2022</v>
      </c>
      <c r="SL133" s="20" t="s">
        <v>863</v>
      </c>
      <c r="SM133" s="20" t="s">
        <v>864</v>
      </c>
      <c r="SO133" s="20" t="s">
        <v>865</v>
      </c>
      <c r="SQ133" s="20">
        <v>2019</v>
      </c>
      <c r="SR133" s="20" t="s">
        <v>863</v>
      </c>
      <c r="SS133" s="20" t="s">
        <v>864</v>
      </c>
      <c r="SU133" s="20" t="s">
        <v>865</v>
      </c>
      <c r="TQ133" s="20">
        <v>2022</v>
      </c>
      <c r="TR133" s="20" t="s">
        <v>863</v>
      </c>
      <c r="TS133" s="20" t="s">
        <v>865</v>
      </c>
      <c r="TU133" s="20" t="s">
        <v>866</v>
      </c>
      <c r="TV133" s="20">
        <v>2019</v>
      </c>
      <c r="TW133" s="20" t="s">
        <v>863</v>
      </c>
      <c r="TX133" s="20" t="s">
        <v>865</v>
      </c>
      <c r="TZ133" s="20" t="s">
        <v>866</v>
      </c>
      <c r="UO133" s="20" t="s">
        <v>696</v>
      </c>
      <c r="UP133" s="20">
        <v>1974</v>
      </c>
      <c r="UQ133" s="20">
        <v>1445</v>
      </c>
      <c r="UR133" s="20" t="s">
        <v>698</v>
      </c>
      <c r="UZ133" s="20" t="s">
        <v>698</v>
      </c>
      <c r="XL133" s="20" t="s">
        <v>730</v>
      </c>
      <c r="XM133" s="20" t="s">
        <v>1360</v>
      </c>
      <c r="XN133" s="20" t="s">
        <v>732</v>
      </c>
      <c r="XO133" s="20" t="s">
        <v>733</v>
      </c>
      <c r="XQ133" s="24">
        <v>44796</v>
      </c>
      <c r="XU133" s="20" t="s">
        <v>730</v>
      </c>
      <c r="XV133" s="20" t="s">
        <v>733</v>
      </c>
      <c r="XW133" s="20" t="s">
        <v>1360</v>
      </c>
      <c r="XX133" s="20" t="s">
        <v>732</v>
      </c>
      <c r="XY133" s="20" t="s">
        <v>1764</v>
      </c>
    </row>
    <row r="134" spans="1:649" ht="13">
      <c r="A134" s="20">
        <v>882</v>
      </c>
      <c r="B134" s="21">
        <v>44756</v>
      </c>
      <c r="C134" s="20">
        <v>2022</v>
      </c>
      <c r="D134" s="20">
        <v>20220148</v>
      </c>
      <c r="E134" s="20">
        <v>36858</v>
      </c>
      <c r="F134" s="20" t="s">
        <v>885</v>
      </c>
      <c r="G134" s="20">
        <v>32683</v>
      </c>
      <c r="H134" s="20" t="s">
        <v>1206</v>
      </c>
      <c r="I134" s="20" t="s">
        <v>692</v>
      </c>
      <c r="J134" s="20" t="s">
        <v>693</v>
      </c>
      <c r="K134" s="20" t="s">
        <v>694</v>
      </c>
      <c r="L134" s="20">
        <v>77002</v>
      </c>
      <c r="M134" s="22">
        <v>44726.638888888891</v>
      </c>
      <c r="N134" s="20" t="s">
        <v>843</v>
      </c>
      <c r="O134" s="20" t="s">
        <v>696</v>
      </c>
      <c r="P134" s="20">
        <v>40.709248000000002</v>
      </c>
      <c r="Q134" s="20">
        <v>-84.131349999999998</v>
      </c>
      <c r="R134" s="20" t="s">
        <v>844</v>
      </c>
      <c r="S134" s="20" t="s">
        <v>936</v>
      </c>
      <c r="W134" s="20">
        <v>75.5</v>
      </c>
      <c r="Y134" s="20">
        <v>54</v>
      </c>
      <c r="Z134" s="20" t="s">
        <v>698</v>
      </c>
      <c r="AF134" s="20">
        <v>0</v>
      </c>
      <c r="AG134" s="20" t="s">
        <v>698</v>
      </c>
      <c r="AM134" s="20">
        <v>0</v>
      </c>
      <c r="AN134" s="20" t="s">
        <v>699</v>
      </c>
      <c r="AP134" s="20" t="s">
        <v>700</v>
      </c>
      <c r="AQ134" s="23">
        <v>44726.638888888891</v>
      </c>
      <c r="AR134" s="20" t="s">
        <v>701</v>
      </c>
      <c r="AS134" s="20" t="s">
        <v>702</v>
      </c>
      <c r="AT134" s="20" t="s">
        <v>703</v>
      </c>
      <c r="AU134" s="20" t="s">
        <v>696</v>
      </c>
      <c r="AW134" s="23">
        <v>44726.638888888891</v>
      </c>
      <c r="AX134" s="23">
        <v>44728.552083333336</v>
      </c>
      <c r="AZ134" s="20" t="s">
        <v>696</v>
      </c>
      <c r="BA134" s="20" t="s">
        <v>753</v>
      </c>
      <c r="BB134" s="23">
        <v>44726.843055555553</v>
      </c>
      <c r="BC134" s="23">
        <v>44726.6875</v>
      </c>
      <c r="BD134" s="23">
        <v>44726.638888888891</v>
      </c>
      <c r="BE134" s="23">
        <v>44726.799305555556</v>
      </c>
      <c r="BF134" s="20">
        <v>1338773</v>
      </c>
      <c r="BG134" s="20">
        <v>1338962</v>
      </c>
      <c r="BH134" s="20" t="s">
        <v>698</v>
      </c>
      <c r="BV134" s="20" t="s">
        <v>696</v>
      </c>
      <c r="BW134" s="23">
        <v>44726.668055555558</v>
      </c>
      <c r="BX134" s="20" t="s">
        <v>696</v>
      </c>
      <c r="BY134" s="23">
        <v>44726.875</v>
      </c>
      <c r="BZ134" s="23">
        <v>44726.875</v>
      </c>
      <c r="CA134" s="20">
        <v>0</v>
      </c>
      <c r="CB134" s="20" t="s">
        <v>1073</v>
      </c>
      <c r="CC134" s="20" t="s">
        <v>1765</v>
      </c>
      <c r="CD134" s="20" t="s">
        <v>1075</v>
      </c>
      <c r="CE134" s="20">
        <v>45804</v>
      </c>
      <c r="CF134" s="20" t="s">
        <v>1118</v>
      </c>
      <c r="CG134" s="20" t="s">
        <v>1076</v>
      </c>
      <c r="CH134" s="20" t="s">
        <v>710</v>
      </c>
      <c r="CI134" s="20" t="s">
        <v>711</v>
      </c>
      <c r="CJ134" s="20" t="s">
        <v>698</v>
      </c>
      <c r="CK134" s="20" t="s">
        <v>712</v>
      </c>
      <c r="CL134" s="20" t="s">
        <v>741</v>
      </c>
      <c r="CM134" s="20" t="s">
        <v>742</v>
      </c>
      <c r="CO134" s="20">
        <v>40</v>
      </c>
      <c r="CP134" s="20" t="s">
        <v>698</v>
      </c>
      <c r="DM134" s="20" t="s">
        <v>743</v>
      </c>
      <c r="DN134" s="20" t="s">
        <v>759</v>
      </c>
      <c r="FK134" s="20" t="s">
        <v>728</v>
      </c>
      <c r="FL134" s="20" t="s">
        <v>728</v>
      </c>
      <c r="FM134" s="20" t="s">
        <v>962</v>
      </c>
      <c r="FN134" s="20" t="s">
        <v>1766</v>
      </c>
      <c r="FO134" s="20" t="s">
        <v>720</v>
      </c>
      <c r="FR134" s="20" t="s">
        <v>823</v>
      </c>
      <c r="FY134" s="20" t="s">
        <v>698</v>
      </c>
      <c r="GC134" s="20" t="s">
        <v>696</v>
      </c>
      <c r="GD134" s="20" t="s">
        <v>698</v>
      </c>
      <c r="GE134" s="20" t="s">
        <v>698</v>
      </c>
      <c r="GK134" s="20" t="s">
        <v>698</v>
      </c>
      <c r="GT134" s="20" t="s">
        <v>696</v>
      </c>
      <c r="GU134" s="20" t="s">
        <v>698</v>
      </c>
      <c r="HF134" s="20">
        <v>0</v>
      </c>
      <c r="HG134" s="20">
        <v>7000</v>
      </c>
      <c r="HH134" s="20">
        <v>500</v>
      </c>
      <c r="HI134" s="20">
        <v>85000</v>
      </c>
      <c r="HJ134" s="20">
        <v>0</v>
      </c>
      <c r="HK134" s="20">
        <v>0</v>
      </c>
      <c r="HM134" s="20">
        <v>92500</v>
      </c>
      <c r="HN134" s="20">
        <v>0</v>
      </c>
      <c r="HO134" s="20">
        <v>0</v>
      </c>
      <c r="HP134" s="20">
        <v>0</v>
      </c>
      <c r="HQ134" s="20">
        <v>0</v>
      </c>
      <c r="HR134" s="20">
        <v>150</v>
      </c>
      <c r="HS134" s="20">
        <v>720</v>
      </c>
      <c r="HT134" s="20" t="s">
        <v>750</v>
      </c>
      <c r="HV134" s="24">
        <v>23377</v>
      </c>
      <c r="HW134" s="20" t="s">
        <v>698</v>
      </c>
      <c r="HY134" s="20" t="s">
        <v>723</v>
      </c>
      <c r="HZ134" s="20" t="s">
        <v>698</v>
      </c>
      <c r="IS134" s="20" t="s">
        <v>724</v>
      </c>
      <c r="IT134" s="20" t="s">
        <v>696</v>
      </c>
      <c r="IU134" s="20" t="s">
        <v>696</v>
      </c>
      <c r="IV134" s="20" t="s">
        <v>696</v>
      </c>
      <c r="IW134" s="20" t="s">
        <v>698</v>
      </c>
      <c r="IX134" s="20" t="s">
        <v>698</v>
      </c>
      <c r="IY134" s="20" t="s">
        <v>698</v>
      </c>
      <c r="JD134" s="20" t="s">
        <v>725</v>
      </c>
      <c r="JE134" s="20" t="s">
        <v>1209</v>
      </c>
      <c r="JR134" s="20" t="s">
        <v>696</v>
      </c>
      <c r="JS134" s="20" t="s">
        <v>698</v>
      </c>
      <c r="JT134" s="20">
        <v>1</v>
      </c>
      <c r="JU134" s="20">
        <v>0</v>
      </c>
      <c r="JX134" s="20" t="s">
        <v>789</v>
      </c>
      <c r="JY134" s="20" t="s">
        <v>914</v>
      </c>
      <c r="QB134" s="20" t="s">
        <v>914</v>
      </c>
      <c r="QS134" s="20" t="s">
        <v>1017</v>
      </c>
      <c r="RK134" s="20" t="s">
        <v>696</v>
      </c>
      <c r="RL134" s="20" t="s">
        <v>1767</v>
      </c>
      <c r="XF134" s="20" t="s">
        <v>696</v>
      </c>
      <c r="XL134" s="20" t="s">
        <v>730</v>
      </c>
      <c r="XM134" s="20" t="s">
        <v>1360</v>
      </c>
      <c r="XN134" s="20" t="s">
        <v>732</v>
      </c>
      <c r="XO134" s="20" t="s">
        <v>733</v>
      </c>
      <c r="XQ134" s="24">
        <v>44756</v>
      </c>
      <c r="XU134" s="20" t="s">
        <v>730</v>
      </c>
      <c r="XV134" s="20" t="s">
        <v>733</v>
      </c>
      <c r="XW134" s="20" t="s">
        <v>1360</v>
      </c>
      <c r="XX134" s="20" t="s">
        <v>732</v>
      </c>
      <c r="XY134" s="20" t="s">
        <v>1768</v>
      </c>
    </row>
    <row r="135" spans="1:649" ht="13">
      <c r="A135" s="20">
        <v>889</v>
      </c>
      <c r="B135" s="21">
        <v>44747</v>
      </c>
      <c r="C135" s="20">
        <v>2022</v>
      </c>
      <c r="D135" s="20">
        <v>20220140</v>
      </c>
      <c r="E135" s="20">
        <v>36827</v>
      </c>
      <c r="F135" s="20" t="s">
        <v>885</v>
      </c>
      <c r="G135" s="20">
        <v>39706</v>
      </c>
      <c r="H135" s="20" t="s">
        <v>817</v>
      </c>
      <c r="I135" s="20" t="s">
        <v>692</v>
      </c>
      <c r="J135" s="20" t="s">
        <v>693</v>
      </c>
      <c r="K135" s="20" t="s">
        <v>694</v>
      </c>
      <c r="L135" s="20">
        <v>77002</v>
      </c>
      <c r="M135" s="22">
        <v>44717.697916666664</v>
      </c>
      <c r="N135" s="20" t="s">
        <v>695</v>
      </c>
      <c r="O135" s="20" t="s">
        <v>696</v>
      </c>
      <c r="P135" s="20">
        <v>29.998059999999999</v>
      </c>
      <c r="Q135" s="20">
        <v>-93.989980000000003</v>
      </c>
      <c r="R135" s="20" t="s">
        <v>697</v>
      </c>
      <c r="W135" s="20">
        <v>4</v>
      </c>
      <c r="Y135" s="20">
        <v>4</v>
      </c>
      <c r="Z135" s="20" t="s">
        <v>698</v>
      </c>
      <c r="AF135" s="20">
        <v>0</v>
      </c>
      <c r="AG135" s="20" t="s">
        <v>698</v>
      </c>
      <c r="AM135" s="20">
        <v>0</v>
      </c>
      <c r="AN135" s="20" t="s">
        <v>1438</v>
      </c>
      <c r="AP135" s="20" t="s">
        <v>700</v>
      </c>
      <c r="AQ135" s="23">
        <v>44717.697916666664</v>
      </c>
      <c r="AR135" s="20" t="s">
        <v>736</v>
      </c>
      <c r="AS135" s="20" t="s">
        <v>702</v>
      </c>
      <c r="AT135" s="20" t="s">
        <v>703</v>
      </c>
      <c r="AU135" s="20" t="s">
        <v>698</v>
      </c>
      <c r="AV135" s="20" t="s">
        <v>1769</v>
      </c>
      <c r="AZ135" s="20" t="s">
        <v>698</v>
      </c>
      <c r="BC135" s="23">
        <v>44717.697916666664</v>
      </c>
      <c r="BD135" s="23">
        <v>44717.697916666664</v>
      </c>
      <c r="BF135" s="20" t="s">
        <v>754</v>
      </c>
      <c r="BH135" s="20" t="s">
        <v>698</v>
      </c>
      <c r="BV135" s="20" t="s">
        <v>698</v>
      </c>
      <c r="BX135" s="20" t="s">
        <v>698</v>
      </c>
      <c r="CA135" s="20">
        <v>0</v>
      </c>
      <c r="CB135" s="20" t="s">
        <v>818</v>
      </c>
      <c r="CC135" s="20" t="s">
        <v>1770</v>
      </c>
      <c r="CD135" s="20" t="s">
        <v>694</v>
      </c>
      <c r="CE135" s="20">
        <v>77627</v>
      </c>
      <c r="CF135" s="20" t="s">
        <v>820</v>
      </c>
      <c r="CG135" s="20" t="s">
        <v>821</v>
      </c>
      <c r="CH135" s="20" t="s">
        <v>710</v>
      </c>
      <c r="CI135" s="20" t="s">
        <v>711</v>
      </c>
      <c r="CJ135" s="20" t="s">
        <v>698</v>
      </c>
      <c r="CK135" s="20" t="s">
        <v>712</v>
      </c>
      <c r="CL135" s="20" t="s">
        <v>713</v>
      </c>
      <c r="CM135" s="20" t="s">
        <v>758</v>
      </c>
      <c r="CP135" s="20" t="s">
        <v>698</v>
      </c>
      <c r="DM135" s="20" t="s">
        <v>743</v>
      </c>
      <c r="DN135" s="20" t="s">
        <v>822</v>
      </c>
      <c r="FK135" s="20" t="s">
        <v>728</v>
      </c>
      <c r="FL135" s="20" t="s">
        <v>728</v>
      </c>
      <c r="FM135" s="20" t="s">
        <v>962</v>
      </c>
      <c r="FN135" s="20" t="s">
        <v>1771</v>
      </c>
      <c r="FO135" s="20" t="s">
        <v>720</v>
      </c>
      <c r="FR135" s="20" t="s">
        <v>768</v>
      </c>
      <c r="FY135" s="20" t="s">
        <v>698</v>
      </c>
      <c r="GC135" s="20" t="s">
        <v>698</v>
      </c>
      <c r="GD135" s="20" t="s">
        <v>698</v>
      </c>
      <c r="GE135" s="20" t="s">
        <v>698</v>
      </c>
      <c r="GK135" s="20" t="s">
        <v>698</v>
      </c>
      <c r="GT135" s="20" t="s">
        <v>696</v>
      </c>
      <c r="GU135" s="20" t="s">
        <v>696</v>
      </c>
      <c r="GX135" s="20" t="s">
        <v>696</v>
      </c>
      <c r="GY135" s="20" t="s">
        <v>696</v>
      </c>
      <c r="HF135" s="20">
        <v>0</v>
      </c>
      <c r="HG135" s="20">
        <v>440</v>
      </c>
      <c r="HH135" s="20">
        <v>0</v>
      </c>
      <c r="HI135" s="20">
        <v>2000</v>
      </c>
      <c r="HJ135" s="20">
        <v>0</v>
      </c>
      <c r="HK135" s="20">
        <v>0</v>
      </c>
      <c r="HM135" s="20">
        <v>2440</v>
      </c>
      <c r="HN135" s="20">
        <v>0</v>
      </c>
      <c r="HO135" s="20">
        <v>0</v>
      </c>
      <c r="HP135" s="20">
        <v>0</v>
      </c>
      <c r="HQ135" s="20">
        <v>0</v>
      </c>
      <c r="HR135" s="20">
        <v>90</v>
      </c>
      <c r="HS135" s="20">
        <v>285</v>
      </c>
      <c r="HT135" s="20" t="s">
        <v>750</v>
      </c>
      <c r="HV135" s="24">
        <v>29221</v>
      </c>
      <c r="HW135" s="20" t="s">
        <v>698</v>
      </c>
      <c r="HY135" s="20" t="s">
        <v>723</v>
      </c>
      <c r="HZ135" s="20" t="s">
        <v>698</v>
      </c>
      <c r="IS135" s="20" t="s">
        <v>724</v>
      </c>
      <c r="IT135" s="20" t="s">
        <v>698</v>
      </c>
      <c r="IY135" s="20" t="s">
        <v>698</v>
      </c>
      <c r="JD135" s="20" t="s">
        <v>725</v>
      </c>
      <c r="JE135" s="20" t="s">
        <v>726</v>
      </c>
      <c r="JR135" s="20" t="s">
        <v>698</v>
      </c>
      <c r="JS135" s="20" t="s">
        <v>698</v>
      </c>
      <c r="JX135" s="20" t="s">
        <v>789</v>
      </c>
      <c r="JY135" s="20" t="s">
        <v>790</v>
      </c>
      <c r="QB135" s="20" t="s">
        <v>790</v>
      </c>
      <c r="QM135" s="20" t="s">
        <v>696</v>
      </c>
      <c r="QN135" s="20" t="s">
        <v>1772</v>
      </c>
      <c r="RK135" s="20" t="s">
        <v>696</v>
      </c>
      <c r="RL135" s="20" t="s">
        <v>1773</v>
      </c>
      <c r="XL135" s="20" t="s">
        <v>730</v>
      </c>
      <c r="XM135" s="20" t="s">
        <v>1360</v>
      </c>
      <c r="XN135" s="20" t="s">
        <v>732</v>
      </c>
      <c r="XO135" s="20" t="s">
        <v>733</v>
      </c>
      <c r="XQ135" s="24">
        <v>44747</v>
      </c>
      <c r="XU135" s="20" t="s">
        <v>730</v>
      </c>
      <c r="XV135" s="20" t="s">
        <v>733</v>
      </c>
      <c r="XW135" s="20" t="s">
        <v>1360</v>
      </c>
      <c r="XX135" s="20" t="s">
        <v>732</v>
      </c>
      <c r="XY135" s="20" t="s">
        <v>1774</v>
      </c>
    </row>
    <row r="136" spans="1:649" ht="13">
      <c r="A136" s="20">
        <v>891</v>
      </c>
      <c r="B136" s="21">
        <v>44743</v>
      </c>
      <c r="C136" s="20">
        <v>2022</v>
      </c>
      <c r="D136" s="20">
        <v>20220137</v>
      </c>
      <c r="E136" s="20">
        <v>36822</v>
      </c>
      <c r="F136" s="20" t="s">
        <v>885</v>
      </c>
      <c r="G136" s="20">
        <v>22442</v>
      </c>
      <c r="H136" s="20" t="s">
        <v>886</v>
      </c>
      <c r="I136" s="20" t="s">
        <v>692</v>
      </c>
      <c r="J136" s="20" t="s">
        <v>693</v>
      </c>
      <c r="K136" s="20" t="s">
        <v>694</v>
      </c>
      <c r="L136" s="20">
        <v>77002</v>
      </c>
      <c r="M136" s="22">
        <v>44714.645833333336</v>
      </c>
      <c r="N136" s="20" t="s">
        <v>695</v>
      </c>
      <c r="O136" s="20" t="s">
        <v>696</v>
      </c>
      <c r="P136" s="20">
        <v>32.532488000000001</v>
      </c>
      <c r="Q136" s="20">
        <v>-100.829735</v>
      </c>
      <c r="R136" s="20" t="s">
        <v>697</v>
      </c>
      <c r="W136" s="20">
        <v>2</v>
      </c>
      <c r="Y136" s="20">
        <v>2</v>
      </c>
      <c r="Z136" s="20" t="s">
        <v>698</v>
      </c>
      <c r="AF136" s="20">
        <v>0</v>
      </c>
      <c r="AG136" s="20" t="s">
        <v>698</v>
      </c>
      <c r="AM136" s="20">
        <v>0</v>
      </c>
      <c r="AN136" s="20" t="s">
        <v>699</v>
      </c>
      <c r="AP136" s="20" t="s">
        <v>700</v>
      </c>
      <c r="AQ136" s="23">
        <v>44714.645833333336</v>
      </c>
      <c r="AR136" s="20" t="s">
        <v>701</v>
      </c>
      <c r="AS136" s="20" t="s">
        <v>702</v>
      </c>
      <c r="AT136" s="20" t="s">
        <v>703</v>
      </c>
      <c r="AU136" s="20" t="s">
        <v>698</v>
      </c>
      <c r="AV136" s="20" t="s">
        <v>1775</v>
      </c>
      <c r="AZ136" s="20" t="s">
        <v>698</v>
      </c>
      <c r="BC136" s="23">
        <v>44714.645833333336</v>
      </c>
      <c r="BD136" s="23">
        <v>44714.645833333336</v>
      </c>
      <c r="BF136" s="20" t="s">
        <v>754</v>
      </c>
      <c r="BH136" s="20" t="s">
        <v>698</v>
      </c>
      <c r="BV136" s="20" t="s">
        <v>698</v>
      </c>
      <c r="BX136" s="20" t="s">
        <v>698</v>
      </c>
      <c r="CA136" s="20">
        <v>0</v>
      </c>
      <c r="CB136" s="20" t="s">
        <v>1318</v>
      </c>
      <c r="CC136" s="20" t="s">
        <v>1776</v>
      </c>
      <c r="CD136" s="20" t="s">
        <v>694</v>
      </c>
      <c r="CE136" s="20">
        <v>79526</v>
      </c>
      <c r="CF136" s="20" t="s">
        <v>1203</v>
      </c>
      <c r="CG136" s="20" t="s">
        <v>1204</v>
      </c>
      <c r="CH136" s="20" t="s">
        <v>710</v>
      </c>
      <c r="CI136" s="20" t="s">
        <v>711</v>
      </c>
      <c r="CJ136" s="20" t="s">
        <v>698</v>
      </c>
      <c r="CK136" s="20" t="s">
        <v>712</v>
      </c>
      <c r="CL136" s="20" t="s">
        <v>713</v>
      </c>
      <c r="CM136" s="20" t="s">
        <v>758</v>
      </c>
      <c r="CP136" s="20" t="s">
        <v>698</v>
      </c>
      <c r="DM136" s="20" t="s">
        <v>743</v>
      </c>
      <c r="DN136" s="20" t="s">
        <v>744</v>
      </c>
      <c r="DO136" s="20" t="s">
        <v>745</v>
      </c>
      <c r="DP136" s="20" t="s">
        <v>698</v>
      </c>
      <c r="DQ136" s="20">
        <v>6</v>
      </c>
      <c r="DR136" s="20">
        <v>0.23699999999999999</v>
      </c>
      <c r="DS136" s="20">
        <v>35000</v>
      </c>
      <c r="DT136" s="20" t="s">
        <v>970</v>
      </c>
      <c r="DU136" s="20" t="s">
        <v>1680</v>
      </c>
      <c r="DW136" s="20" t="s">
        <v>728</v>
      </c>
      <c r="DX136" s="20" t="s">
        <v>904</v>
      </c>
      <c r="DZ136" s="20" t="s">
        <v>696</v>
      </c>
      <c r="FK136" s="20" t="s">
        <v>728</v>
      </c>
      <c r="FL136" s="20" t="s">
        <v>728</v>
      </c>
      <c r="FM136" s="20" t="s">
        <v>719</v>
      </c>
      <c r="FO136" s="20" t="s">
        <v>720</v>
      </c>
      <c r="FR136" s="20" t="s">
        <v>749</v>
      </c>
      <c r="FY136" s="20" t="s">
        <v>698</v>
      </c>
      <c r="GC136" s="20" t="s">
        <v>698</v>
      </c>
      <c r="GD136" s="20" t="s">
        <v>698</v>
      </c>
      <c r="GE136" s="20" t="s">
        <v>698</v>
      </c>
      <c r="GK136" s="20" t="s">
        <v>698</v>
      </c>
      <c r="GT136" s="20" t="s">
        <v>698</v>
      </c>
      <c r="GU136" s="20" t="s">
        <v>698</v>
      </c>
      <c r="HF136" s="20">
        <v>0</v>
      </c>
      <c r="HG136" s="20">
        <v>0</v>
      </c>
      <c r="HH136" s="20">
        <v>15000</v>
      </c>
      <c r="HI136" s="20">
        <v>1000</v>
      </c>
      <c r="HJ136" s="20">
        <v>0</v>
      </c>
      <c r="HK136" s="20">
        <v>0</v>
      </c>
      <c r="HM136" s="20">
        <v>16000</v>
      </c>
      <c r="HN136" s="20">
        <v>0</v>
      </c>
      <c r="HO136" s="20">
        <v>0</v>
      </c>
      <c r="HP136" s="20">
        <v>0</v>
      </c>
      <c r="HQ136" s="20">
        <v>0</v>
      </c>
      <c r="HR136" s="20">
        <v>40</v>
      </c>
      <c r="HS136" s="20">
        <v>285</v>
      </c>
      <c r="HT136" s="20" t="s">
        <v>787</v>
      </c>
      <c r="HV136" s="24">
        <v>42284</v>
      </c>
      <c r="HW136" s="20" t="s">
        <v>698</v>
      </c>
      <c r="HY136" s="20" t="s">
        <v>723</v>
      </c>
      <c r="HZ136" s="20" t="s">
        <v>698</v>
      </c>
      <c r="IS136" s="20" t="s">
        <v>724</v>
      </c>
      <c r="IT136" s="20" t="s">
        <v>698</v>
      </c>
      <c r="IY136" s="20" t="s">
        <v>698</v>
      </c>
      <c r="JD136" s="20" t="s">
        <v>725</v>
      </c>
      <c r="JE136" s="20" t="s">
        <v>726</v>
      </c>
      <c r="JR136" s="20" t="s">
        <v>698</v>
      </c>
      <c r="JS136" s="20" t="s">
        <v>698</v>
      </c>
      <c r="JX136" s="20" t="s">
        <v>833</v>
      </c>
      <c r="JY136" s="20" t="s">
        <v>834</v>
      </c>
      <c r="JZ136" s="20" t="s">
        <v>834</v>
      </c>
      <c r="LD136" s="20" t="s">
        <v>835</v>
      </c>
      <c r="LG136" s="20" t="s">
        <v>696</v>
      </c>
      <c r="LL136" s="20" t="s">
        <v>696</v>
      </c>
      <c r="LP136" s="20" t="s">
        <v>696</v>
      </c>
      <c r="LU136" s="20" t="s">
        <v>698</v>
      </c>
      <c r="LV136" s="20" t="s">
        <v>698</v>
      </c>
      <c r="LW136" s="20" t="s">
        <v>838</v>
      </c>
      <c r="LX136" s="20" t="s">
        <v>838</v>
      </c>
      <c r="SC136" s="20" t="s">
        <v>698</v>
      </c>
      <c r="UO136" s="20" t="s">
        <v>698</v>
      </c>
      <c r="UR136" s="20" t="s">
        <v>698</v>
      </c>
      <c r="UZ136" s="20" t="s">
        <v>696</v>
      </c>
      <c r="VC136" s="20">
        <v>2015</v>
      </c>
      <c r="VJ136" s="20" t="s">
        <v>696</v>
      </c>
      <c r="XL136" s="20" t="s">
        <v>730</v>
      </c>
      <c r="XM136" s="20" t="s">
        <v>1360</v>
      </c>
      <c r="XN136" s="20" t="s">
        <v>732</v>
      </c>
      <c r="XO136" s="20" t="s">
        <v>733</v>
      </c>
      <c r="XQ136" s="24">
        <v>44743</v>
      </c>
      <c r="XU136" s="20" t="s">
        <v>730</v>
      </c>
      <c r="XV136" s="20" t="s">
        <v>733</v>
      </c>
      <c r="XW136" s="20" t="s">
        <v>1360</v>
      </c>
      <c r="XX136" s="20" t="s">
        <v>732</v>
      </c>
      <c r="XY136" s="20" t="s">
        <v>1777</v>
      </c>
    </row>
    <row r="137" spans="1:649" ht="13">
      <c r="A137" s="20">
        <v>893</v>
      </c>
      <c r="B137" s="21">
        <v>44743</v>
      </c>
      <c r="C137" s="20">
        <v>2022</v>
      </c>
      <c r="D137" s="20">
        <v>20220138</v>
      </c>
      <c r="E137" s="20">
        <v>36823</v>
      </c>
      <c r="F137" s="20" t="s">
        <v>885</v>
      </c>
      <c r="G137" s="20">
        <v>12470</v>
      </c>
      <c r="H137" s="20" t="s">
        <v>1070</v>
      </c>
      <c r="I137" s="20" t="s">
        <v>692</v>
      </c>
      <c r="J137" s="20" t="s">
        <v>693</v>
      </c>
      <c r="K137" s="20" t="s">
        <v>694</v>
      </c>
      <c r="L137" s="20">
        <v>77002</v>
      </c>
      <c r="M137" s="22">
        <v>44713.525694444441</v>
      </c>
      <c r="N137" s="20" t="s">
        <v>695</v>
      </c>
      <c r="O137" s="20" t="s">
        <v>696</v>
      </c>
      <c r="P137" s="20">
        <v>33.17944</v>
      </c>
      <c r="Q137" s="20">
        <v>-93.164439999999999</v>
      </c>
      <c r="R137" s="20" t="s">
        <v>697</v>
      </c>
      <c r="W137" s="20">
        <v>8</v>
      </c>
      <c r="Y137" s="20">
        <v>0</v>
      </c>
      <c r="Z137" s="20" t="s">
        <v>698</v>
      </c>
      <c r="AF137" s="20">
        <v>0</v>
      </c>
      <c r="AG137" s="20" t="s">
        <v>698</v>
      </c>
      <c r="AM137" s="20">
        <v>0</v>
      </c>
      <c r="AN137" s="20" t="s">
        <v>1444</v>
      </c>
      <c r="AQ137" s="23">
        <v>44713.520833333336</v>
      </c>
      <c r="AR137" s="20" t="s">
        <v>776</v>
      </c>
      <c r="AS137" s="20" t="s">
        <v>702</v>
      </c>
      <c r="AT137" s="20" t="s">
        <v>703</v>
      </c>
      <c r="AU137" s="20" t="s">
        <v>696</v>
      </c>
      <c r="AW137" s="23">
        <v>44713.525694444441</v>
      </c>
      <c r="AX137" s="23">
        <v>44716.790277777778</v>
      </c>
      <c r="AZ137" s="20" t="s">
        <v>696</v>
      </c>
      <c r="BA137" s="20" t="s">
        <v>753</v>
      </c>
      <c r="BB137" s="23">
        <v>44743.54583333333</v>
      </c>
      <c r="BC137" s="23">
        <v>44713.568749999999</v>
      </c>
      <c r="BD137" s="23">
        <v>44713.525694444441</v>
      </c>
      <c r="BF137" s="20" t="s">
        <v>754</v>
      </c>
      <c r="BH137" s="20" t="s">
        <v>698</v>
      </c>
      <c r="BN137" s="20" t="s">
        <v>777</v>
      </c>
      <c r="BP137" s="23">
        <v>44713.525694444441</v>
      </c>
      <c r="BQ137" s="20" t="s">
        <v>798</v>
      </c>
      <c r="BR137" s="20" t="s">
        <v>777</v>
      </c>
      <c r="BT137" s="23">
        <v>44713.525694444441</v>
      </c>
      <c r="BU137" s="20" t="s">
        <v>798</v>
      </c>
      <c r="BV137" s="20" t="s">
        <v>696</v>
      </c>
      <c r="BW137" s="23">
        <v>44713.525000000001</v>
      </c>
      <c r="BX137" s="20" t="s">
        <v>696</v>
      </c>
      <c r="BY137" s="23">
        <v>44713.536805555559</v>
      </c>
      <c r="BZ137" s="23">
        <v>44713.614583333336</v>
      </c>
      <c r="CA137" s="20">
        <v>0</v>
      </c>
      <c r="CB137" s="20" t="s">
        <v>1778</v>
      </c>
      <c r="CC137" s="20" t="s">
        <v>1779</v>
      </c>
      <c r="CD137" s="20" t="s">
        <v>782</v>
      </c>
      <c r="CE137" s="20">
        <v>71740</v>
      </c>
      <c r="CF137" s="20" t="s">
        <v>1780</v>
      </c>
      <c r="CG137" s="20" t="s">
        <v>1781</v>
      </c>
      <c r="CH137" s="20" t="s">
        <v>710</v>
      </c>
      <c r="CI137" s="20" t="s">
        <v>1782</v>
      </c>
      <c r="CJ137" s="20" t="s">
        <v>698</v>
      </c>
      <c r="CK137" s="20" t="s">
        <v>785</v>
      </c>
      <c r="CL137" s="20" t="s">
        <v>741</v>
      </c>
      <c r="CM137" s="20" t="s">
        <v>742</v>
      </c>
      <c r="CO137" s="20">
        <v>6</v>
      </c>
      <c r="CP137" s="20" t="s">
        <v>696</v>
      </c>
      <c r="CU137" s="20" t="s">
        <v>696</v>
      </c>
      <c r="CV137" s="20" t="s">
        <v>982</v>
      </c>
      <c r="DM137" s="20" t="s">
        <v>743</v>
      </c>
      <c r="DN137" s="20" t="s">
        <v>744</v>
      </c>
      <c r="DO137" s="20" t="s">
        <v>745</v>
      </c>
      <c r="DP137" s="20" t="s">
        <v>698</v>
      </c>
      <c r="DQ137" s="20">
        <v>8.625</v>
      </c>
      <c r="DR137" s="20">
        <v>0.25</v>
      </c>
      <c r="DS137" s="20">
        <v>35000</v>
      </c>
      <c r="DT137" s="20" t="s">
        <v>746</v>
      </c>
      <c r="DU137" s="20" t="s">
        <v>1783</v>
      </c>
      <c r="DW137" s="20" t="s">
        <v>1631</v>
      </c>
      <c r="DX137" s="20" t="s">
        <v>805</v>
      </c>
      <c r="DZ137" s="20" t="s">
        <v>696</v>
      </c>
      <c r="FK137" s="20">
        <v>1950</v>
      </c>
      <c r="FL137" s="20" t="s">
        <v>728</v>
      </c>
      <c r="FM137" s="20" t="s">
        <v>719</v>
      </c>
      <c r="FO137" s="20" t="s">
        <v>1061</v>
      </c>
      <c r="FP137" s="20">
        <v>1</v>
      </c>
      <c r="FQ137" s="20">
        <v>1</v>
      </c>
      <c r="FY137" s="20" t="s">
        <v>698</v>
      </c>
      <c r="GC137" s="20" t="s">
        <v>696</v>
      </c>
      <c r="GD137" s="20" t="s">
        <v>698</v>
      </c>
      <c r="GE137" s="20" t="s">
        <v>698</v>
      </c>
      <c r="GK137" s="20" t="s">
        <v>698</v>
      </c>
      <c r="GT137" s="20" t="s">
        <v>698</v>
      </c>
      <c r="GU137" s="20" t="s">
        <v>698</v>
      </c>
      <c r="HF137" s="20">
        <v>0</v>
      </c>
      <c r="HG137" s="20">
        <v>920</v>
      </c>
      <c r="HH137" s="20">
        <v>0</v>
      </c>
      <c r="HI137" s="20">
        <v>41645</v>
      </c>
      <c r="HJ137" s="20">
        <v>0</v>
      </c>
      <c r="HK137" s="20">
        <v>0</v>
      </c>
      <c r="HM137" s="20">
        <v>42565</v>
      </c>
      <c r="HN137" s="20">
        <v>0</v>
      </c>
      <c r="HO137" s="20">
        <v>0</v>
      </c>
      <c r="HP137" s="20">
        <v>0</v>
      </c>
      <c r="HQ137" s="20">
        <v>0</v>
      </c>
      <c r="HR137" s="20">
        <v>20</v>
      </c>
      <c r="HS137" s="20">
        <v>1096</v>
      </c>
      <c r="HT137" s="20" t="s">
        <v>787</v>
      </c>
      <c r="HV137" s="24">
        <v>33541</v>
      </c>
      <c r="HW137" s="20" t="s">
        <v>698</v>
      </c>
      <c r="HY137" s="20" t="s">
        <v>723</v>
      </c>
      <c r="HZ137" s="20" t="s">
        <v>698</v>
      </c>
      <c r="IC137" s="20">
        <v>105600</v>
      </c>
      <c r="ID137" s="20" t="s">
        <v>696</v>
      </c>
      <c r="IL137" s="20" t="s">
        <v>698</v>
      </c>
      <c r="IS137" s="20" t="s">
        <v>724</v>
      </c>
      <c r="IT137" s="20" t="s">
        <v>696</v>
      </c>
      <c r="IU137" s="20" t="s">
        <v>696</v>
      </c>
      <c r="IV137" s="20" t="s">
        <v>696</v>
      </c>
      <c r="IW137" s="20" t="s">
        <v>696</v>
      </c>
      <c r="IX137" s="20" t="s">
        <v>696</v>
      </c>
      <c r="IY137" s="20" t="s">
        <v>696</v>
      </c>
      <c r="IZ137" s="20" t="s">
        <v>696</v>
      </c>
      <c r="JA137" s="20" t="s">
        <v>696</v>
      </c>
      <c r="JB137" s="20" t="s">
        <v>696</v>
      </c>
      <c r="JC137" s="20" t="s">
        <v>696</v>
      </c>
      <c r="JD137" s="20" t="s">
        <v>725</v>
      </c>
      <c r="JE137" s="20" t="s">
        <v>726</v>
      </c>
      <c r="JR137" s="20" t="s">
        <v>698</v>
      </c>
      <c r="JS137" s="20" t="s">
        <v>698</v>
      </c>
      <c r="JX137" s="20" t="s">
        <v>990</v>
      </c>
      <c r="JY137" s="20" t="s">
        <v>1454</v>
      </c>
      <c r="MK137" s="20" t="s">
        <v>1454</v>
      </c>
      <c r="ML137" s="20" t="s">
        <v>698</v>
      </c>
      <c r="MQ137" s="20" t="s">
        <v>698</v>
      </c>
      <c r="MV137" s="20" t="s">
        <v>698</v>
      </c>
      <c r="MW137" s="20" t="s">
        <v>696</v>
      </c>
      <c r="MX137" s="20" t="s">
        <v>1784</v>
      </c>
      <c r="NA137" s="20" t="s">
        <v>696</v>
      </c>
      <c r="NG137" s="20" t="s">
        <v>698</v>
      </c>
      <c r="NH137" s="20" t="s">
        <v>698</v>
      </c>
      <c r="NI137" s="20" t="s">
        <v>993</v>
      </c>
      <c r="NK137" s="20" t="s">
        <v>1785</v>
      </c>
      <c r="NL137" s="20" t="s">
        <v>1786</v>
      </c>
      <c r="NM137" s="20" t="s">
        <v>1787</v>
      </c>
      <c r="NN137" s="20" t="s">
        <v>698</v>
      </c>
      <c r="NR137" s="20" t="s">
        <v>1459</v>
      </c>
      <c r="NS137" s="20" t="s">
        <v>696</v>
      </c>
      <c r="NT137" s="20" t="s">
        <v>696</v>
      </c>
      <c r="NU137" s="20">
        <v>72</v>
      </c>
      <c r="NV137" s="20" t="s">
        <v>995</v>
      </c>
      <c r="NW137" s="20" t="s">
        <v>996</v>
      </c>
      <c r="XL137" s="20" t="s">
        <v>730</v>
      </c>
      <c r="XM137" s="20" t="s">
        <v>1360</v>
      </c>
      <c r="XN137" s="20" t="s">
        <v>732</v>
      </c>
      <c r="XO137" s="20" t="s">
        <v>733</v>
      </c>
      <c r="XQ137" s="24">
        <v>44743</v>
      </c>
      <c r="XU137" s="20" t="s">
        <v>730</v>
      </c>
      <c r="XV137" s="20" t="s">
        <v>733</v>
      </c>
      <c r="XW137" s="20" t="s">
        <v>1360</v>
      </c>
      <c r="XX137" s="20" t="s">
        <v>732</v>
      </c>
      <c r="XY137" s="20" t="s">
        <v>1788</v>
      </c>
    </row>
    <row r="138" spans="1:649" ht="13">
      <c r="A138" s="20">
        <v>896</v>
      </c>
      <c r="B138" s="21">
        <v>44742</v>
      </c>
      <c r="C138" s="20">
        <v>2022</v>
      </c>
      <c r="D138" s="20">
        <v>20220135</v>
      </c>
      <c r="E138" s="20">
        <v>36815</v>
      </c>
      <c r="F138" s="20" t="s">
        <v>885</v>
      </c>
      <c r="G138" s="20">
        <v>39462</v>
      </c>
      <c r="H138" s="20" t="s">
        <v>949</v>
      </c>
      <c r="I138" s="20" t="s">
        <v>692</v>
      </c>
      <c r="J138" s="20" t="s">
        <v>693</v>
      </c>
      <c r="K138" s="20" t="s">
        <v>694</v>
      </c>
      <c r="L138" s="20">
        <v>77002</v>
      </c>
      <c r="M138" s="22">
        <v>44712.375</v>
      </c>
      <c r="N138" s="20" t="s">
        <v>695</v>
      </c>
      <c r="O138" s="20" t="s">
        <v>696</v>
      </c>
      <c r="P138" s="20">
        <v>30.103368</v>
      </c>
      <c r="Q138" s="20">
        <v>-91.809507999999994</v>
      </c>
      <c r="R138" s="20" t="s">
        <v>697</v>
      </c>
      <c r="W138" s="20">
        <v>2</v>
      </c>
      <c r="Y138" s="20">
        <v>2</v>
      </c>
      <c r="Z138" s="20" t="s">
        <v>698</v>
      </c>
      <c r="AF138" s="20">
        <v>0</v>
      </c>
      <c r="AG138" s="20" t="s">
        <v>698</v>
      </c>
      <c r="AM138" s="20">
        <v>0</v>
      </c>
      <c r="AN138" s="20" t="s">
        <v>699</v>
      </c>
      <c r="AP138" s="20" t="s">
        <v>700</v>
      </c>
      <c r="AQ138" s="23">
        <v>44712.368055555555</v>
      </c>
      <c r="AR138" s="20" t="s">
        <v>701</v>
      </c>
      <c r="AS138" s="20" t="s">
        <v>702</v>
      </c>
      <c r="AT138" s="20" t="s">
        <v>703</v>
      </c>
      <c r="AU138" s="20" t="s">
        <v>698</v>
      </c>
      <c r="AV138" s="20" t="s">
        <v>1556</v>
      </c>
      <c r="AZ138" s="20" t="s">
        <v>696</v>
      </c>
      <c r="BA138" s="20" t="s">
        <v>753</v>
      </c>
      <c r="BB138" s="23">
        <v>44712.465277777781</v>
      </c>
      <c r="BC138" s="23">
        <v>44712.368055555555</v>
      </c>
      <c r="BD138" s="23">
        <v>44712.368055555555</v>
      </c>
      <c r="BF138" s="20" t="s">
        <v>754</v>
      </c>
      <c r="BH138" s="20" t="s">
        <v>698</v>
      </c>
      <c r="BV138" s="20" t="s">
        <v>696</v>
      </c>
      <c r="BW138" s="23">
        <v>44712.368750000001</v>
      </c>
      <c r="BX138" s="20" t="s">
        <v>698</v>
      </c>
      <c r="CA138" s="20">
        <v>0</v>
      </c>
      <c r="CB138" s="20" t="s">
        <v>1557</v>
      </c>
      <c r="CC138" s="20" t="s">
        <v>1789</v>
      </c>
      <c r="CD138" s="20" t="s">
        <v>1009</v>
      </c>
      <c r="CE138" s="20">
        <v>70582</v>
      </c>
      <c r="CF138" s="20" t="s">
        <v>1559</v>
      </c>
      <c r="CG138" s="20" t="s">
        <v>1560</v>
      </c>
      <c r="CH138" s="20" t="s">
        <v>710</v>
      </c>
      <c r="CI138" s="20">
        <v>305728</v>
      </c>
      <c r="CJ138" s="20" t="s">
        <v>698</v>
      </c>
      <c r="CK138" s="20" t="s">
        <v>712</v>
      </c>
      <c r="CL138" s="20" t="s">
        <v>713</v>
      </c>
      <c r="CM138" s="20" t="s">
        <v>758</v>
      </c>
      <c r="CP138" s="20" t="s">
        <v>698</v>
      </c>
      <c r="DM138" s="20" t="s">
        <v>743</v>
      </c>
      <c r="DN138" s="20" t="s">
        <v>1278</v>
      </c>
      <c r="FK138" s="20">
        <v>2018</v>
      </c>
      <c r="FL138" s="20">
        <v>2018</v>
      </c>
      <c r="FM138" s="20" t="s">
        <v>962</v>
      </c>
      <c r="FN138" s="20" t="s">
        <v>1790</v>
      </c>
      <c r="FO138" s="20" t="s">
        <v>720</v>
      </c>
      <c r="FR138" s="20" t="s">
        <v>721</v>
      </c>
      <c r="FY138" s="20" t="s">
        <v>698</v>
      </c>
      <c r="GC138" s="20" t="s">
        <v>696</v>
      </c>
      <c r="GD138" s="20" t="s">
        <v>698</v>
      </c>
      <c r="GE138" s="20" t="s">
        <v>698</v>
      </c>
      <c r="GK138" s="20" t="s">
        <v>698</v>
      </c>
      <c r="GT138" s="20" t="s">
        <v>698</v>
      </c>
      <c r="GU138" s="20" t="s">
        <v>698</v>
      </c>
      <c r="HF138" s="20">
        <v>0</v>
      </c>
      <c r="HG138" s="20">
        <v>200</v>
      </c>
      <c r="HH138" s="20">
        <v>0</v>
      </c>
      <c r="HI138" s="20">
        <v>5000</v>
      </c>
      <c r="HJ138" s="20">
        <v>4000</v>
      </c>
      <c r="HK138" s="20">
        <v>0</v>
      </c>
      <c r="HM138" s="20">
        <v>9200</v>
      </c>
      <c r="HN138" s="20">
        <v>0</v>
      </c>
      <c r="HO138" s="20">
        <v>0</v>
      </c>
      <c r="HP138" s="20">
        <v>0</v>
      </c>
      <c r="HQ138" s="20">
        <v>0</v>
      </c>
      <c r="HR138" s="20">
        <v>575</v>
      </c>
      <c r="HS138" s="20">
        <v>1440</v>
      </c>
      <c r="HT138" s="20" t="s">
        <v>787</v>
      </c>
      <c r="HV138" s="24">
        <v>43929</v>
      </c>
      <c r="HW138" s="20" t="s">
        <v>698</v>
      </c>
      <c r="HY138" s="20" t="s">
        <v>723</v>
      </c>
      <c r="HZ138" s="20" t="s">
        <v>698</v>
      </c>
      <c r="IS138" s="20" t="s">
        <v>724</v>
      </c>
      <c r="IT138" s="20" t="s">
        <v>696</v>
      </c>
      <c r="IU138" s="20" t="s">
        <v>696</v>
      </c>
      <c r="IV138" s="20" t="s">
        <v>696</v>
      </c>
      <c r="IW138" s="20" t="s">
        <v>698</v>
      </c>
      <c r="IX138" s="20" t="s">
        <v>698</v>
      </c>
      <c r="IY138" s="20" t="s">
        <v>696</v>
      </c>
      <c r="IZ138" s="20" t="s">
        <v>696</v>
      </c>
      <c r="JA138" s="20" t="s">
        <v>696</v>
      </c>
      <c r="JB138" s="20" t="s">
        <v>698</v>
      </c>
      <c r="JC138" s="20" t="s">
        <v>698</v>
      </c>
      <c r="JD138" s="20" t="s">
        <v>725</v>
      </c>
      <c r="JE138" s="20" t="s">
        <v>726</v>
      </c>
      <c r="JR138" s="20" t="s">
        <v>698</v>
      </c>
      <c r="JS138" s="20" t="s">
        <v>698</v>
      </c>
      <c r="JX138" s="20" t="s">
        <v>789</v>
      </c>
      <c r="JY138" s="20" t="s">
        <v>914</v>
      </c>
      <c r="QB138" s="20" t="s">
        <v>914</v>
      </c>
      <c r="QS138" s="20" t="s">
        <v>1659</v>
      </c>
      <c r="RH138" s="20" t="s">
        <v>696</v>
      </c>
      <c r="XL138" s="20" t="s">
        <v>730</v>
      </c>
      <c r="XM138" s="20" t="s">
        <v>1360</v>
      </c>
      <c r="XN138" s="20" t="s">
        <v>732</v>
      </c>
      <c r="XO138" s="20" t="s">
        <v>733</v>
      </c>
      <c r="XQ138" s="24">
        <v>44742</v>
      </c>
      <c r="XU138" s="20" t="s">
        <v>730</v>
      </c>
      <c r="XV138" s="20" t="s">
        <v>733</v>
      </c>
      <c r="XW138" s="20" t="s">
        <v>1360</v>
      </c>
      <c r="XX138" s="20" t="s">
        <v>732</v>
      </c>
      <c r="XY138" s="20" t="s">
        <v>1791</v>
      </c>
    </row>
    <row r="139" spans="1:649" ht="13">
      <c r="A139" s="20">
        <v>899</v>
      </c>
      <c r="B139" s="21">
        <v>44733</v>
      </c>
      <c r="C139" s="20">
        <v>2022</v>
      </c>
      <c r="D139" s="20">
        <v>20220126</v>
      </c>
      <c r="E139" s="20">
        <v>36784</v>
      </c>
      <c r="F139" s="20" t="s">
        <v>885</v>
      </c>
      <c r="G139" s="20">
        <v>39706</v>
      </c>
      <c r="H139" s="20" t="s">
        <v>817</v>
      </c>
      <c r="I139" s="20" t="s">
        <v>692</v>
      </c>
      <c r="J139" s="20" t="s">
        <v>693</v>
      </c>
      <c r="K139" s="20" t="s">
        <v>694</v>
      </c>
      <c r="L139" s="20">
        <v>77002</v>
      </c>
      <c r="M139" s="22">
        <v>44708.857638888891</v>
      </c>
      <c r="N139" s="20" t="s">
        <v>695</v>
      </c>
      <c r="O139" s="20" t="s">
        <v>696</v>
      </c>
      <c r="P139" s="20">
        <v>29.997897999999999</v>
      </c>
      <c r="Q139" s="20">
        <v>-93.990326999999994</v>
      </c>
      <c r="R139" s="20" t="s">
        <v>697</v>
      </c>
      <c r="W139" s="20">
        <v>2</v>
      </c>
      <c r="Y139" s="20">
        <v>2</v>
      </c>
      <c r="Z139" s="20" t="s">
        <v>698</v>
      </c>
      <c r="AF139" s="20">
        <v>0</v>
      </c>
      <c r="AG139" s="20" t="s">
        <v>698</v>
      </c>
      <c r="AM139" s="20">
        <v>0</v>
      </c>
      <c r="AN139" s="20" t="s">
        <v>1438</v>
      </c>
      <c r="AP139" s="20" t="s">
        <v>700</v>
      </c>
      <c r="AQ139" s="23">
        <v>44708.857638888891</v>
      </c>
      <c r="AR139" s="20" t="s">
        <v>736</v>
      </c>
      <c r="AS139" s="20" t="s">
        <v>702</v>
      </c>
      <c r="AT139" s="20" t="s">
        <v>703</v>
      </c>
      <c r="AU139" s="20" t="s">
        <v>698</v>
      </c>
      <c r="AV139" s="20" t="s">
        <v>1792</v>
      </c>
      <c r="AZ139" s="20" t="s">
        <v>698</v>
      </c>
      <c r="BC139" s="23">
        <v>44708.857638888891</v>
      </c>
      <c r="BD139" s="23">
        <v>44708.857638888891</v>
      </c>
      <c r="BE139" s="23">
        <v>44708.88958333333</v>
      </c>
      <c r="BF139" s="20">
        <v>1337204</v>
      </c>
      <c r="BH139" s="20" t="s">
        <v>698</v>
      </c>
      <c r="BV139" s="20" t="s">
        <v>698</v>
      </c>
      <c r="BX139" s="20" t="s">
        <v>698</v>
      </c>
      <c r="CA139" s="20">
        <v>0</v>
      </c>
      <c r="CB139" s="20" t="s">
        <v>818</v>
      </c>
      <c r="CC139" s="20" t="s">
        <v>1793</v>
      </c>
      <c r="CD139" s="20" t="s">
        <v>694</v>
      </c>
      <c r="CE139" s="20">
        <v>77627</v>
      </c>
      <c r="CF139" s="20" t="s">
        <v>820</v>
      </c>
      <c r="CG139" s="20" t="s">
        <v>821</v>
      </c>
      <c r="CH139" s="20" t="s">
        <v>710</v>
      </c>
      <c r="CI139" s="20" t="s">
        <v>711</v>
      </c>
      <c r="CJ139" s="20" t="s">
        <v>698</v>
      </c>
      <c r="CK139" s="20" t="s">
        <v>712</v>
      </c>
      <c r="CL139" s="20" t="s">
        <v>713</v>
      </c>
      <c r="CM139" s="20" t="s">
        <v>758</v>
      </c>
      <c r="CP139" s="20" t="s">
        <v>698</v>
      </c>
      <c r="DM139" s="20" t="s">
        <v>743</v>
      </c>
      <c r="DN139" s="20" t="s">
        <v>759</v>
      </c>
      <c r="FK139" s="20" t="s">
        <v>728</v>
      </c>
      <c r="FL139" s="20" t="s">
        <v>728</v>
      </c>
      <c r="FM139" s="20" t="s">
        <v>962</v>
      </c>
      <c r="FN139" s="20" t="s">
        <v>1794</v>
      </c>
      <c r="FO139" s="20" t="s">
        <v>720</v>
      </c>
      <c r="FR139" s="20" t="s">
        <v>823</v>
      </c>
      <c r="FY139" s="20" t="s">
        <v>698</v>
      </c>
      <c r="GC139" s="20" t="s">
        <v>698</v>
      </c>
      <c r="GD139" s="20" t="s">
        <v>698</v>
      </c>
      <c r="GE139" s="20" t="s">
        <v>698</v>
      </c>
      <c r="GK139" s="20" t="s">
        <v>698</v>
      </c>
      <c r="GT139" s="20" t="s">
        <v>696</v>
      </c>
      <c r="GU139" s="20" t="s">
        <v>696</v>
      </c>
      <c r="GX139" s="20" t="s">
        <v>696</v>
      </c>
      <c r="GY139" s="20" t="s">
        <v>696</v>
      </c>
      <c r="HF139" s="20">
        <v>0</v>
      </c>
      <c r="HG139" s="20">
        <v>220</v>
      </c>
      <c r="HH139" s="20">
        <v>100</v>
      </c>
      <c r="HI139" s="20">
        <v>1000</v>
      </c>
      <c r="HJ139" s="20">
        <v>500</v>
      </c>
      <c r="HK139" s="20">
        <v>0</v>
      </c>
      <c r="HM139" s="20">
        <v>1820</v>
      </c>
      <c r="HN139" s="20">
        <v>0</v>
      </c>
      <c r="HO139" s="20">
        <v>0</v>
      </c>
      <c r="HP139" s="20">
        <v>0</v>
      </c>
      <c r="HQ139" s="20">
        <v>0</v>
      </c>
      <c r="HR139" s="20">
        <v>90</v>
      </c>
      <c r="HS139" s="20">
        <v>275</v>
      </c>
      <c r="HT139" s="20" t="s">
        <v>750</v>
      </c>
      <c r="HV139" s="24">
        <v>29221</v>
      </c>
      <c r="HW139" s="20" t="s">
        <v>698</v>
      </c>
      <c r="HY139" s="20" t="s">
        <v>723</v>
      </c>
      <c r="HZ139" s="20" t="s">
        <v>698</v>
      </c>
      <c r="IS139" s="20" t="s">
        <v>724</v>
      </c>
      <c r="IT139" s="20" t="s">
        <v>698</v>
      </c>
      <c r="IY139" s="20" t="s">
        <v>698</v>
      </c>
      <c r="JD139" s="20" t="s">
        <v>725</v>
      </c>
      <c r="JE139" s="20" t="s">
        <v>726</v>
      </c>
      <c r="JR139" s="20" t="s">
        <v>698</v>
      </c>
      <c r="JS139" s="20" t="s">
        <v>698</v>
      </c>
      <c r="JX139" s="20" t="s">
        <v>789</v>
      </c>
      <c r="JY139" s="20" t="s">
        <v>914</v>
      </c>
      <c r="QB139" s="20" t="s">
        <v>914</v>
      </c>
      <c r="QS139" s="20" t="s">
        <v>1017</v>
      </c>
      <c r="RK139" s="20" t="s">
        <v>696</v>
      </c>
      <c r="RL139" s="20" t="s">
        <v>1795</v>
      </c>
      <c r="XL139" s="20" t="s">
        <v>730</v>
      </c>
      <c r="XM139" s="20" t="s">
        <v>1360</v>
      </c>
      <c r="XN139" s="20" t="s">
        <v>732</v>
      </c>
      <c r="XO139" s="20" t="s">
        <v>733</v>
      </c>
      <c r="XQ139" s="24">
        <v>44733</v>
      </c>
      <c r="XU139" s="20" t="s">
        <v>730</v>
      </c>
      <c r="XV139" s="20" t="s">
        <v>733</v>
      </c>
      <c r="XW139" s="20" t="s">
        <v>1360</v>
      </c>
      <c r="XX139" s="20" t="s">
        <v>732</v>
      </c>
      <c r="XY139" s="20" t="s">
        <v>1796</v>
      </c>
    </row>
    <row r="140" spans="1:649" ht="13">
      <c r="A140" s="20">
        <v>918</v>
      </c>
      <c r="B140" s="21">
        <v>44714</v>
      </c>
      <c r="C140" s="20">
        <v>2022</v>
      </c>
      <c r="D140" s="20">
        <v>20220113</v>
      </c>
      <c r="E140" s="20">
        <v>38130</v>
      </c>
      <c r="F140" s="20" t="s">
        <v>825</v>
      </c>
      <c r="G140" s="20">
        <v>39462</v>
      </c>
      <c r="H140" s="20" t="s">
        <v>949</v>
      </c>
      <c r="I140" s="20" t="s">
        <v>692</v>
      </c>
      <c r="J140" s="20" t="s">
        <v>693</v>
      </c>
      <c r="K140" s="20" t="s">
        <v>694</v>
      </c>
      <c r="L140" s="20">
        <v>77002</v>
      </c>
      <c r="M140" s="22">
        <v>44684.5</v>
      </c>
      <c r="N140" s="20" t="s">
        <v>695</v>
      </c>
      <c r="O140" s="20" t="s">
        <v>696</v>
      </c>
      <c r="P140" s="20">
        <v>30.03396</v>
      </c>
      <c r="Q140" s="20">
        <v>-93.980860000000007</v>
      </c>
      <c r="R140" s="20" t="s">
        <v>697</v>
      </c>
      <c r="W140" s="20">
        <v>11</v>
      </c>
      <c r="Y140" s="20">
        <v>11</v>
      </c>
      <c r="Z140" s="20" t="s">
        <v>698</v>
      </c>
      <c r="AF140" s="20">
        <v>0</v>
      </c>
      <c r="AG140" s="20" t="s">
        <v>698</v>
      </c>
      <c r="AM140" s="20">
        <v>0</v>
      </c>
      <c r="AN140" s="20" t="s">
        <v>775</v>
      </c>
      <c r="AQ140" s="23">
        <v>44684.5</v>
      </c>
      <c r="AR140" s="20" t="s">
        <v>776</v>
      </c>
      <c r="AS140" s="20" t="s">
        <v>702</v>
      </c>
      <c r="AT140" s="20" t="s">
        <v>703</v>
      </c>
      <c r="AU140" s="20" t="s">
        <v>696</v>
      </c>
      <c r="AW140" s="23">
        <v>44684.538888888892</v>
      </c>
      <c r="AX140" s="23">
        <v>44692.630555555559</v>
      </c>
      <c r="AZ140" s="20" t="s">
        <v>698</v>
      </c>
      <c r="BC140" s="23">
        <v>44684.536805555559</v>
      </c>
      <c r="BD140" s="23">
        <v>44684.536805555559</v>
      </c>
      <c r="BE140" s="23">
        <v>44684.570833333331</v>
      </c>
      <c r="BF140" s="20">
        <v>1335046</v>
      </c>
      <c r="BG140" s="20">
        <v>1335246</v>
      </c>
      <c r="BH140" s="20" t="s">
        <v>698</v>
      </c>
      <c r="BN140" s="20" t="s">
        <v>777</v>
      </c>
      <c r="BP140" s="23">
        <v>44684.546527777777</v>
      </c>
      <c r="BQ140" s="20" t="s">
        <v>778</v>
      </c>
      <c r="BR140" s="20" t="s">
        <v>777</v>
      </c>
      <c r="BT140" s="23">
        <v>44684.540972222225</v>
      </c>
      <c r="BU140" s="20" t="s">
        <v>778</v>
      </c>
      <c r="BV140" s="20" t="s">
        <v>696</v>
      </c>
      <c r="BW140" s="23">
        <v>44684.536805555559</v>
      </c>
      <c r="BX140" s="20" t="s">
        <v>696</v>
      </c>
      <c r="BY140" s="23">
        <v>44684.543749999997</v>
      </c>
      <c r="BZ140" s="23">
        <v>44684.729166666664</v>
      </c>
      <c r="CA140" s="20">
        <v>0</v>
      </c>
      <c r="CB140" s="20" t="s">
        <v>1797</v>
      </c>
      <c r="CC140" s="20" t="s">
        <v>1798</v>
      </c>
      <c r="CD140" s="20" t="s">
        <v>694</v>
      </c>
      <c r="CE140" s="20">
        <v>77630</v>
      </c>
      <c r="CF140" s="20" t="s">
        <v>1725</v>
      </c>
      <c r="CG140" s="20" t="s">
        <v>1799</v>
      </c>
      <c r="CH140" s="20" t="s">
        <v>710</v>
      </c>
      <c r="CI140" s="20">
        <v>98</v>
      </c>
      <c r="CJ140" s="20" t="s">
        <v>698</v>
      </c>
      <c r="CK140" s="20" t="s">
        <v>785</v>
      </c>
      <c r="CL140" s="20" t="s">
        <v>741</v>
      </c>
      <c r="CM140" s="20" t="s">
        <v>742</v>
      </c>
      <c r="CO140" s="20">
        <v>60</v>
      </c>
      <c r="CP140" s="20" t="s">
        <v>698</v>
      </c>
      <c r="DM140" s="20" t="s">
        <v>743</v>
      </c>
      <c r="DN140" s="20" t="s">
        <v>1141</v>
      </c>
      <c r="DQ140" s="20">
        <v>30</v>
      </c>
      <c r="DR140" s="20">
        <v>0.42899999999999999</v>
      </c>
      <c r="DS140" s="20">
        <v>70000</v>
      </c>
      <c r="DT140" s="20" t="s">
        <v>1103</v>
      </c>
      <c r="DU140" s="20" t="s">
        <v>1800</v>
      </c>
      <c r="DW140" s="20" t="s">
        <v>1801</v>
      </c>
      <c r="DX140" s="20" t="s">
        <v>748</v>
      </c>
      <c r="DZ140" s="20" t="s">
        <v>696</v>
      </c>
      <c r="EA140" s="20" t="s">
        <v>1142</v>
      </c>
      <c r="EC140" s="20" t="s">
        <v>698</v>
      </c>
      <c r="FK140" s="20">
        <v>2016</v>
      </c>
      <c r="FL140" s="20">
        <v>2016</v>
      </c>
      <c r="FM140" s="20" t="s">
        <v>719</v>
      </c>
      <c r="FO140" s="20" t="s">
        <v>720</v>
      </c>
      <c r="FR140" s="20" t="s">
        <v>768</v>
      </c>
      <c r="FY140" s="20" t="s">
        <v>698</v>
      </c>
      <c r="GC140" s="20" t="s">
        <v>698</v>
      </c>
      <c r="GD140" s="20" t="s">
        <v>698</v>
      </c>
      <c r="GE140" s="20" t="s">
        <v>696</v>
      </c>
      <c r="GF140" s="20" t="s">
        <v>696</v>
      </c>
      <c r="GI140" s="20" t="s">
        <v>696</v>
      </c>
      <c r="GK140" s="20" t="s">
        <v>696</v>
      </c>
      <c r="GM140" s="20" t="s">
        <v>696</v>
      </c>
      <c r="GR140" s="20">
        <v>11</v>
      </c>
      <c r="GS140" s="20" t="s">
        <v>1802</v>
      </c>
      <c r="GT140" s="20" t="s">
        <v>696</v>
      </c>
      <c r="GU140" s="20" t="s">
        <v>698</v>
      </c>
      <c r="HF140" s="20">
        <v>10000</v>
      </c>
      <c r="HG140" s="20">
        <v>1320</v>
      </c>
      <c r="HH140" s="20">
        <v>1300000</v>
      </c>
      <c r="HI140" s="20">
        <v>200000</v>
      </c>
      <c r="HJ140" s="20">
        <v>40000</v>
      </c>
      <c r="HK140" s="20">
        <v>0</v>
      </c>
      <c r="HM140" s="20">
        <v>1551320</v>
      </c>
      <c r="HN140" s="20">
        <v>0</v>
      </c>
      <c r="HO140" s="20">
        <v>0</v>
      </c>
      <c r="HP140" s="20">
        <v>0</v>
      </c>
      <c r="HQ140" s="20">
        <v>0</v>
      </c>
      <c r="HR140" s="20">
        <v>546</v>
      </c>
      <c r="HS140" s="20">
        <v>1429</v>
      </c>
      <c r="HT140" s="20" t="s">
        <v>787</v>
      </c>
      <c r="HV140" s="24">
        <v>42449</v>
      </c>
      <c r="HW140" s="20" t="s">
        <v>698</v>
      </c>
      <c r="HY140" s="20" t="s">
        <v>723</v>
      </c>
      <c r="HZ140" s="20" t="s">
        <v>698</v>
      </c>
      <c r="IC140" s="20">
        <v>22986</v>
      </c>
      <c r="ID140" s="20" t="s">
        <v>696</v>
      </c>
      <c r="IL140" s="20" t="s">
        <v>698</v>
      </c>
      <c r="IS140" s="20" t="s">
        <v>724</v>
      </c>
      <c r="IT140" s="20" t="s">
        <v>696</v>
      </c>
      <c r="IU140" s="20" t="s">
        <v>696</v>
      </c>
      <c r="IV140" s="20" t="s">
        <v>696</v>
      </c>
      <c r="IW140" s="20" t="s">
        <v>698</v>
      </c>
      <c r="IX140" s="20" t="s">
        <v>698</v>
      </c>
      <c r="IY140" s="20" t="s">
        <v>696</v>
      </c>
      <c r="IZ140" s="20" t="s">
        <v>696</v>
      </c>
      <c r="JA140" s="20" t="s">
        <v>696</v>
      </c>
      <c r="JB140" s="20" t="s">
        <v>698</v>
      </c>
      <c r="JC140" s="20" t="s">
        <v>698</v>
      </c>
      <c r="JD140" s="20" t="s">
        <v>859</v>
      </c>
      <c r="JF140" s="20" t="s">
        <v>696</v>
      </c>
      <c r="JI140" s="20" t="s">
        <v>696</v>
      </c>
      <c r="JJ140" s="20" t="s">
        <v>696</v>
      </c>
      <c r="JR140" s="20" t="s">
        <v>698</v>
      </c>
      <c r="JS140" s="20" t="s">
        <v>698</v>
      </c>
      <c r="JX140" s="20" t="s">
        <v>929</v>
      </c>
      <c r="JY140" s="20" t="s">
        <v>1500</v>
      </c>
      <c r="PB140" s="20" t="s">
        <v>696</v>
      </c>
      <c r="PC140" s="20" t="s">
        <v>696</v>
      </c>
      <c r="PG140" s="20" t="s">
        <v>1500</v>
      </c>
      <c r="PH140" s="20" t="s">
        <v>696</v>
      </c>
      <c r="PI140" s="20" t="s">
        <v>1803</v>
      </c>
      <c r="PL140" s="20" t="s">
        <v>696</v>
      </c>
      <c r="PM140" s="20" t="s">
        <v>1804</v>
      </c>
      <c r="PT140" s="20" t="s">
        <v>696</v>
      </c>
      <c r="SC140" s="20" t="s">
        <v>696</v>
      </c>
      <c r="SD140" s="20" t="s">
        <v>696</v>
      </c>
      <c r="SF140" s="20" t="s">
        <v>696</v>
      </c>
      <c r="SG140" s="20" t="s">
        <v>696</v>
      </c>
      <c r="SK140" s="20">
        <v>2018</v>
      </c>
      <c r="SL140" s="20" t="s">
        <v>863</v>
      </c>
      <c r="SM140" s="20" t="s">
        <v>864</v>
      </c>
      <c r="SO140" s="20" t="s">
        <v>865</v>
      </c>
      <c r="TE140" s="20">
        <v>2022</v>
      </c>
      <c r="TF140" s="20" t="s">
        <v>863</v>
      </c>
      <c r="TG140" s="20" t="s">
        <v>768</v>
      </c>
      <c r="TQ140" s="20">
        <v>2018</v>
      </c>
      <c r="TR140" s="20" t="s">
        <v>863</v>
      </c>
      <c r="TS140" s="20" t="s">
        <v>933</v>
      </c>
      <c r="TU140" s="20" t="s">
        <v>866</v>
      </c>
      <c r="TV140" s="20">
        <v>2016</v>
      </c>
      <c r="TW140" s="20" t="s">
        <v>863</v>
      </c>
      <c r="TX140" s="20" t="s">
        <v>933</v>
      </c>
      <c r="TZ140" s="20" t="s">
        <v>866</v>
      </c>
      <c r="UO140" s="20" t="s">
        <v>698</v>
      </c>
      <c r="UR140" s="20" t="s">
        <v>698</v>
      </c>
      <c r="UZ140" s="20" t="s">
        <v>698</v>
      </c>
      <c r="XL140" s="20" t="s">
        <v>730</v>
      </c>
      <c r="XM140" s="20" t="s">
        <v>1360</v>
      </c>
      <c r="XN140" s="20" t="s">
        <v>732</v>
      </c>
      <c r="XO140" s="20" t="s">
        <v>733</v>
      </c>
      <c r="XQ140" s="24">
        <v>45079</v>
      </c>
      <c r="XU140" s="20" t="s">
        <v>730</v>
      </c>
      <c r="XV140" s="20" t="s">
        <v>733</v>
      </c>
      <c r="XW140" s="20" t="s">
        <v>1360</v>
      </c>
      <c r="XX140" s="20" t="s">
        <v>732</v>
      </c>
      <c r="XY140" s="20" t="s">
        <v>1805</v>
      </c>
    </row>
    <row r="141" spans="1:649" ht="13">
      <c r="A141" s="20">
        <v>922</v>
      </c>
      <c r="B141" s="21">
        <v>44706</v>
      </c>
      <c r="C141" s="20">
        <v>2022</v>
      </c>
      <c r="D141" s="20">
        <v>20220106</v>
      </c>
      <c r="E141" s="20">
        <v>37306</v>
      </c>
      <c r="F141" s="20" t="s">
        <v>825</v>
      </c>
      <c r="G141" s="20">
        <v>39706</v>
      </c>
      <c r="H141" s="20" t="s">
        <v>817</v>
      </c>
      <c r="I141" s="20" t="s">
        <v>692</v>
      </c>
      <c r="J141" s="20" t="s">
        <v>693</v>
      </c>
      <c r="K141" s="20" t="s">
        <v>694</v>
      </c>
      <c r="L141" s="20">
        <v>77002</v>
      </c>
      <c r="M141" s="22">
        <v>44678.604166666664</v>
      </c>
      <c r="N141" s="20" t="s">
        <v>695</v>
      </c>
      <c r="O141" s="20" t="s">
        <v>696</v>
      </c>
      <c r="P141" s="20">
        <v>29.998000000000001</v>
      </c>
      <c r="Q141" s="20">
        <v>-93.989969000000002</v>
      </c>
      <c r="R141" s="20" t="s">
        <v>697</v>
      </c>
      <c r="W141" s="20">
        <v>100</v>
      </c>
      <c r="Y141" s="20">
        <v>100</v>
      </c>
      <c r="Z141" s="20" t="s">
        <v>698</v>
      </c>
      <c r="AF141" s="20">
        <v>0</v>
      </c>
      <c r="AG141" s="20" t="s">
        <v>698</v>
      </c>
      <c r="AM141" s="20">
        <v>0</v>
      </c>
      <c r="AN141" s="20" t="s">
        <v>699</v>
      </c>
      <c r="AP141" s="20" t="s">
        <v>700</v>
      </c>
      <c r="AQ141" s="23">
        <v>44678.604166666664</v>
      </c>
      <c r="AR141" s="20" t="s">
        <v>736</v>
      </c>
      <c r="AS141" s="20" t="s">
        <v>702</v>
      </c>
      <c r="AT141" s="20" t="s">
        <v>703</v>
      </c>
      <c r="AU141" s="20" t="s">
        <v>698</v>
      </c>
      <c r="AV141" s="20" t="s">
        <v>1806</v>
      </c>
      <c r="AZ141" s="20" t="s">
        <v>696</v>
      </c>
      <c r="BA141" s="20" t="s">
        <v>753</v>
      </c>
      <c r="BB141" s="23">
        <v>44678.604166666664</v>
      </c>
      <c r="BC141" s="23">
        <v>44678.625</v>
      </c>
      <c r="BD141" s="23">
        <v>44678.604166666664</v>
      </c>
      <c r="BE141" s="23">
        <v>44678.65902777778</v>
      </c>
      <c r="BF141" s="20">
        <v>1334570</v>
      </c>
      <c r="BH141" s="20" t="s">
        <v>698</v>
      </c>
      <c r="BV141" s="20" t="s">
        <v>698</v>
      </c>
      <c r="BX141" s="20" t="s">
        <v>698</v>
      </c>
      <c r="CA141" s="20">
        <v>0</v>
      </c>
      <c r="CB141" s="20" t="s">
        <v>818</v>
      </c>
      <c r="CC141" s="20" t="s">
        <v>1807</v>
      </c>
      <c r="CD141" s="20" t="s">
        <v>694</v>
      </c>
      <c r="CE141" s="20">
        <v>77267</v>
      </c>
      <c r="CF141" s="20" t="s">
        <v>820</v>
      </c>
      <c r="CG141" s="20" t="s">
        <v>821</v>
      </c>
      <c r="CH141" s="20" t="s">
        <v>710</v>
      </c>
      <c r="CI141" s="20">
        <v>0</v>
      </c>
      <c r="CJ141" s="20" t="s">
        <v>698</v>
      </c>
      <c r="CK141" s="20" t="s">
        <v>712</v>
      </c>
      <c r="CL141" s="20" t="s">
        <v>713</v>
      </c>
      <c r="CM141" s="20" t="s">
        <v>758</v>
      </c>
      <c r="CP141" s="20" t="s">
        <v>698</v>
      </c>
      <c r="DM141" s="20" t="s">
        <v>743</v>
      </c>
      <c r="DN141" s="20" t="s">
        <v>892</v>
      </c>
      <c r="FK141" s="20" t="s">
        <v>728</v>
      </c>
      <c r="FL141" s="20" t="s">
        <v>728</v>
      </c>
      <c r="FM141" s="20" t="s">
        <v>719</v>
      </c>
      <c r="FO141" s="20" t="s">
        <v>893</v>
      </c>
      <c r="FY141" s="20" t="s">
        <v>698</v>
      </c>
      <c r="GC141" s="20" t="s">
        <v>696</v>
      </c>
      <c r="GD141" s="20" t="s">
        <v>698</v>
      </c>
      <c r="GE141" s="20" t="s">
        <v>696</v>
      </c>
      <c r="GH141" s="20" t="s">
        <v>696</v>
      </c>
      <c r="GK141" s="20" t="s">
        <v>698</v>
      </c>
      <c r="GT141" s="20" t="s">
        <v>696</v>
      </c>
      <c r="GU141" s="20" t="s">
        <v>696</v>
      </c>
      <c r="GX141" s="20" t="s">
        <v>696</v>
      </c>
      <c r="GY141" s="20" t="s">
        <v>696</v>
      </c>
      <c r="HF141" s="20">
        <v>0</v>
      </c>
      <c r="HG141" s="20">
        <v>8000</v>
      </c>
      <c r="HH141" s="20">
        <v>0</v>
      </c>
      <c r="HI141" s="20">
        <v>17000</v>
      </c>
      <c r="HJ141" s="20">
        <v>22000</v>
      </c>
      <c r="HK141" s="20">
        <v>0</v>
      </c>
      <c r="HM141" s="20">
        <v>47000</v>
      </c>
      <c r="HN141" s="20">
        <v>0</v>
      </c>
      <c r="HO141" s="20">
        <v>0</v>
      </c>
      <c r="HP141" s="20">
        <v>0</v>
      </c>
      <c r="HQ141" s="20">
        <v>0</v>
      </c>
      <c r="HR141" s="20">
        <v>20</v>
      </c>
      <c r="HS141" s="20">
        <v>285</v>
      </c>
      <c r="HT141" s="20" t="s">
        <v>787</v>
      </c>
      <c r="HV141" s="24">
        <v>42461</v>
      </c>
      <c r="HW141" s="20" t="s">
        <v>698</v>
      </c>
      <c r="HY141" s="20" t="s">
        <v>723</v>
      </c>
      <c r="HZ141" s="20" t="s">
        <v>698</v>
      </c>
      <c r="IS141" s="20" t="s">
        <v>724</v>
      </c>
      <c r="IT141" s="20" t="s">
        <v>696</v>
      </c>
      <c r="IU141" s="20" t="s">
        <v>696</v>
      </c>
      <c r="IV141" s="20" t="s">
        <v>696</v>
      </c>
      <c r="IW141" s="20" t="s">
        <v>698</v>
      </c>
      <c r="IX141" s="20" t="s">
        <v>698</v>
      </c>
      <c r="IY141" s="20" t="s">
        <v>698</v>
      </c>
      <c r="JD141" s="20" t="s">
        <v>725</v>
      </c>
      <c r="JE141" s="20" t="s">
        <v>726</v>
      </c>
      <c r="JR141" s="20" t="s">
        <v>696</v>
      </c>
      <c r="JS141" s="20" t="s">
        <v>698</v>
      </c>
      <c r="JT141" s="20">
        <v>1</v>
      </c>
      <c r="JU141" s="20">
        <v>0</v>
      </c>
      <c r="JX141" s="20" t="s">
        <v>894</v>
      </c>
      <c r="JY141" s="20" t="s">
        <v>895</v>
      </c>
      <c r="RM141" s="20" t="s">
        <v>895</v>
      </c>
      <c r="RN141" s="20" t="s">
        <v>766</v>
      </c>
      <c r="RO141" s="20" t="s">
        <v>1808</v>
      </c>
      <c r="RS141" s="20" t="s">
        <v>696</v>
      </c>
      <c r="RV141" s="20" t="s">
        <v>1809</v>
      </c>
      <c r="RW141" s="20" t="s">
        <v>696</v>
      </c>
      <c r="RX141" s="20" t="s">
        <v>898</v>
      </c>
      <c r="XL141" s="20" t="s">
        <v>730</v>
      </c>
      <c r="XM141" s="20" t="s">
        <v>1360</v>
      </c>
      <c r="XN141" s="20" t="s">
        <v>732</v>
      </c>
      <c r="XO141" s="20" t="s">
        <v>733</v>
      </c>
      <c r="XQ141" s="24">
        <v>44868</v>
      </c>
      <c r="XU141" s="20" t="s">
        <v>730</v>
      </c>
      <c r="XV141" s="20" t="s">
        <v>733</v>
      </c>
      <c r="XW141" s="20" t="s">
        <v>1360</v>
      </c>
      <c r="XX141" s="20" t="s">
        <v>732</v>
      </c>
      <c r="XY141" s="20" t="s">
        <v>1810</v>
      </c>
    </row>
    <row r="142" spans="1:649" ht="13">
      <c r="A142" s="20">
        <v>926</v>
      </c>
      <c r="B142" s="21">
        <v>44700</v>
      </c>
      <c r="C142" s="20">
        <v>2022</v>
      </c>
      <c r="D142" s="20">
        <v>20220101</v>
      </c>
      <c r="E142" s="20">
        <v>37000</v>
      </c>
      <c r="F142" s="20" t="s">
        <v>825</v>
      </c>
      <c r="G142" s="20">
        <v>18718</v>
      </c>
      <c r="H142" s="20" t="s">
        <v>918</v>
      </c>
      <c r="I142" s="20" t="s">
        <v>692</v>
      </c>
      <c r="J142" s="20" t="s">
        <v>693</v>
      </c>
      <c r="K142" s="20" t="s">
        <v>694</v>
      </c>
      <c r="L142" s="20">
        <v>77002</v>
      </c>
      <c r="M142" s="22">
        <v>44673.361805555556</v>
      </c>
      <c r="N142" s="20" t="s">
        <v>695</v>
      </c>
      <c r="O142" s="20" t="s">
        <v>696</v>
      </c>
      <c r="P142" s="20">
        <v>34.685110000000002</v>
      </c>
      <c r="Q142" s="20">
        <v>-97.438789999999997</v>
      </c>
      <c r="R142" s="20" t="s">
        <v>697</v>
      </c>
      <c r="W142" s="20">
        <v>15</v>
      </c>
      <c r="Y142" s="20">
        <v>15</v>
      </c>
      <c r="Z142" s="20" t="s">
        <v>698</v>
      </c>
      <c r="AF142" s="20">
        <v>0</v>
      </c>
      <c r="AG142" s="20" t="s">
        <v>698</v>
      </c>
      <c r="AM142" s="20">
        <v>0</v>
      </c>
      <c r="AN142" s="20" t="s">
        <v>887</v>
      </c>
      <c r="AP142" s="20" t="s">
        <v>700</v>
      </c>
      <c r="AQ142" s="23">
        <v>44673.311111111114</v>
      </c>
      <c r="AR142" s="20" t="s">
        <v>776</v>
      </c>
      <c r="AS142" s="20" t="s">
        <v>702</v>
      </c>
      <c r="AT142" s="20" t="s">
        <v>703</v>
      </c>
      <c r="AU142" s="20" t="s">
        <v>696</v>
      </c>
      <c r="AW142" s="23">
        <v>44673.311111111114</v>
      </c>
      <c r="AX142" s="23">
        <v>44673.666666666664</v>
      </c>
      <c r="AZ142" s="20" t="s">
        <v>696</v>
      </c>
      <c r="BA142" s="20" t="s">
        <v>753</v>
      </c>
      <c r="BB142" s="23">
        <v>44673.46875</v>
      </c>
      <c r="BC142" s="23">
        <v>44673.361805555556</v>
      </c>
      <c r="BD142" s="23">
        <v>44673.361805555556</v>
      </c>
      <c r="BF142" s="20" t="s">
        <v>754</v>
      </c>
      <c r="BH142" s="20" t="s">
        <v>698</v>
      </c>
      <c r="BN142" s="20" t="s">
        <v>777</v>
      </c>
      <c r="BP142" s="23">
        <v>44673.354166666664</v>
      </c>
      <c r="BQ142" s="20" t="s">
        <v>779</v>
      </c>
      <c r="BR142" s="20" t="s">
        <v>849</v>
      </c>
      <c r="BS142" s="20" t="s">
        <v>1811</v>
      </c>
      <c r="BV142" s="20" t="s">
        <v>696</v>
      </c>
      <c r="BW142" s="23">
        <v>44673.361805555556</v>
      </c>
      <c r="BX142" s="20" t="s">
        <v>698</v>
      </c>
      <c r="CA142" s="20">
        <v>0</v>
      </c>
      <c r="CB142" s="20" t="s">
        <v>1760</v>
      </c>
      <c r="CC142" s="20">
        <v>25003</v>
      </c>
      <c r="CD142" s="20" t="s">
        <v>739</v>
      </c>
      <c r="CE142" s="20">
        <v>73057</v>
      </c>
      <c r="CF142" s="20" t="s">
        <v>1725</v>
      </c>
      <c r="CG142" s="20" t="s">
        <v>1567</v>
      </c>
      <c r="CH142" s="20" t="s">
        <v>784</v>
      </c>
      <c r="CI142" s="20">
        <v>8</v>
      </c>
      <c r="CJ142" s="20" t="s">
        <v>698</v>
      </c>
      <c r="CK142" s="20" t="s">
        <v>785</v>
      </c>
      <c r="CL142" s="20" t="s">
        <v>741</v>
      </c>
      <c r="CM142" s="20" t="s">
        <v>742</v>
      </c>
      <c r="CO142" s="20">
        <v>48</v>
      </c>
      <c r="CP142" s="20" t="s">
        <v>698</v>
      </c>
      <c r="DM142" s="20" t="s">
        <v>715</v>
      </c>
      <c r="DN142" s="20" t="s">
        <v>744</v>
      </c>
      <c r="DO142" s="20" t="s">
        <v>745</v>
      </c>
      <c r="DP142" s="20" t="s">
        <v>698</v>
      </c>
      <c r="DQ142" s="20">
        <v>10.75</v>
      </c>
      <c r="DR142" s="20">
        <v>0.27900000000000003</v>
      </c>
      <c r="DS142" s="20">
        <v>35000</v>
      </c>
      <c r="DT142" s="20" t="s">
        <v>728</v>
      </c>
      <c r="DU142" s="20" t="s">
        <v>804</v>
      </c>
      <c r="DW142" s="20" t="s">
        <v>728</v>
      </c>
      <c r="DX142" s="20" t="s">
        <v>805</v>
      </c>
      <c r="DZ142" s="20" t="s">
        <v>698</v>
      </c>
      <c r="FK142" s="20">
        <v>1959</v>
      </c>
      <c r="FL142" s="20" t="s">
        <v>728</v>
      </c>
      <c r="FM142" s="20" t="s">
        <v>719</v>
      </c>
      <c r="FO142" s="20" t="s">
        <v>720</v>
      </c>
      <c r="FR142" s="20" t="s">
        <v>749</v>
      </c>
      <c r="FY142" s="20" t="s">
        <v>698</v>
      </c>
      <c r="GC142" s="20" t="s">
        <v>696</v>
      </c>
      <c r="GD142" s="20" t="s">
        <v>698</v>
      </c>
      <c r="GE142" s="20" t="s">
        <v>696</v>
      </c>
      <c r="GH142" s="20" t="s">
        <v>696</v>
      </c>
      <c r="GK142" s="20" t="s">
        <v>698</v>
      </c>
      <c r="GT142" s="20" t="s">
        <v>698</v>
      </c>
      <c r="GU142" s="20" t="s">
        <v>698</v>
      </c>
      <c r="HF142" s="20">
        <v>2500</v>
      </c>
      <c r="HG142" s="20">
        <v>1500</v>
      </c>
      <c r="HH142" s="20">
        <v>25000</v>
      </c>
      <c r="HI142" s="20">
        <v>10000</v>
      </c>
      <c r="HJ142" s="20">
        <v>5000</v>
      </c>
      <c r="HK142" s="20">
        <v>0</v>
      </c>
      <c r="HM142" s="20">
        <v>44000</v>
      </c>
      <c r="HN142" s="20">
        <v>0</v>
      </c>
      <c r="HO142" s="20">
        <v>0</v>
      </c>
      <c r="HP142" s="20">
        <v>0</v>
      </c>
      <c r="HQ142" s="20">
        <v>0</v>
      </c>
      <c r="HR142" s="20">
        <v>59</v>
      </c>
      <c r="HS142" s="20">
        <v>780</v>
      </c>
      <c r="HT142" s="20" t="s">
        <v>750</v>
      </c>
      <c r="HV142" s="24">
        <v>27211</v>
      </c>
      <c r="HW142" s="20" t="s">
        <v>698</v>
      </c>
      <c r="HY142" s="20" t="s">
        <v>723</v>
      </c>
      <c r="HZ142" s="20" t="s">
        <v>698</v>
      </c>
      <c r="ID142" s="20" t="s">
        <v>696</v>
      </c>
      <c r="IL142" s="20" t="s">
        <v>698</v>
      </c>
      <c r="IS142" s="20" t="s">
        <v>724</v>
      </c>
      <c r="IT142" s="20" t="s">
        <v>696</v>
      </c>
      <c r="IU142" s="20" t="s">
        <v>696</v>
      </c>
      <c r="IV142" s="20" t="s">
        <v>696</v>
      </c>
      <c r="IW142" s="20" t="s">
        <v>696</v>
      </c>
      <c r="IX142" s="20" t="s">
        <v>698</v>
      </c>
      <c r="IY142" s="20" t="s">
        <v>696</v>
      </c>
      <c r="IZ142" s="20" t="s">
        <v>696</v>
      </c>
      <c r="JA142" s="20" t="s">
        <v>696</v>
      </c>
      <c r="JB142" s="20" t="s">
        <v>698</v>
      </c>
      <c r="JC142" s="20" t="s">
        <v>698</v>
      </c>
      <c r="JD142" s="20" t="s">
        <v>725</v>
      </c>
      <c r="JE142" s="20" t="s">
        <v>726</v>
      </c>
      <c r="JR142" s="20" t="s">
        <v>698</v>
      </c>
      <c r="JS142" s="20" t="s">
        <v>698</v>
      </c>
      <c r="JX142" s="20" t="s">
        <v>833</v>
      </c>
      <c r="JY142" s="20" t="s">
        <v>834</v>
      </c>
      <c r="JZ142" s="20" t="s">
        <v>834</v>
      </c>
      <c r="LD142" s="20" t="s">
        <v>835</v>
      </c>
      <c r="LG142" s="20" t="s">
        <v>696</v>
      </c>
      <c r="LL142" s="20" t="s">
        <v>696</v>
      </c>
      <c r="LP142" s="20" t="s">
        <v>696</v>
      </c>
      <c r="LU142" s="20" t="s">
        <v>696</v>
      </c>
      <c r="LV142" s="20" t="s">
        <v>698</v>
      </c>
      <c r="LW142" s="20" t="s">
        <v>696</v>
      </c>
      <c r="LX142" s="20" t="s">
        <v>696</v>
      </c>
      <c r="SC142" s="20" t="s">
        <v>696</v>
      </c>
      <c r="SD142" s="20" t="s">
        <v>696</v>
      </c>
      <c r="SG142" s="20" t="s">
        <v>696</v>
      </c>
      <c r="SK142" s="20">
        <v>2022</v>
      </c>
      <c r="SL142" s="20" t="s">
        <v>863</v>
      </c>
      <c r="SM142" s="20" t="s">
        <v>864</v>
      </c>
      <c r="SO142" s="20" t="s">
        <v>865</v>
      </c>
      <c r="SQ142" s="20">
        <v>2019</v>
      </c>
      <c r="SR142" s="20" t="s">
        <v>863</v>
      </c>
      <c r="SS142" s="20" t="s">
        <v>864</v>
      </c>
      <c r="SU142" s="20" t="s">
        <v>865</v>
      </c>
      <c r="TQ142" s="20">
        <v>2022</v>
      </c>
      <c r="TR142" s="20" t="s">
        <v>863</v>
      </c>
      <c r="TS142" s="20" t="s">
        <v>865</v>
      </c>
      <c r="TU142" s="20" t="s">
        <v>866</v>
      </c>
      <c r="TV142" s="20">
        <v>2019</v>
      </c>
      <c r="TW142" s="20" t="s">
        <v>863</v>
      </c>
      <c r="TX142" s="20" t="s">
        <v>865</v>
      </c>
      <c r="TZ142" s="20" t="s">
        <v>866</v>
      </c>
      <c r="UO142" s="20" t="s">
        <v>696</v>
      </c>
      <c r="UP142" s="20">
        <v>1974</v>
      </c>
      <c r="UQ142" s="20">
        <v>1445</v>
      </c>
      <c r="UR142" s="20" t="s">
        <v>698</v>
      </c>
      <c r="UZ142" s="20" t="s">
        <v>698</v>
      </c>
      <c r="XL142" s="20" t="s">
        <v>1812</v>
      </c>
      <c r="XM142" s="20" t="s">
        <v>1813</v>
      </c>
      <c r="XN142" s="20" t="s">
        <v>1814</v>
      </c>
      <c r="XO142" s="20" t="s">
        <v>1815</v>
      </c>
      <c r="XQ142" s="24">
        <v>44792</v>
      </c>
      <c r="XU142" s="20" t="s">
        <v>730</v>
      </c>
      <c r="XV142" s="20" t="s">
        <v>733</v>
      </c>
      <c r="XW142" s="20" t="s">
        <v>1360</v>
      </c>
      <c r="XX142" s="20" t="s">
        <v>732</v>
      </c>
      <c r="XY142" s="20" t="s">
        <v>1816</v>
      </c>
    </row>
    <row r="143" spans="1:649" ht="13">
      <c r="A143" s="20">
        <v>928</v>
      </c>
      <c r="B143" s="21">
        <v>44701</v>
      </c>
      <c r="C143" s="20">
        <v>2022</v>
      </c>
      <c r="D143" s="20">
        <v>20220103</v>
      </c>
      <c r="E143" s="20">
        <v>36687</v>
      </c>
      <c r="F143" s="20" t="s">
        <v>885</v>
      </c>
      <c r="G143" s="20">
        <v>39706</v>
      </c>
      <c r="H143" s="20" t="s">
        <v>817</v>
      </c>
      <c r="I143" s="20" t="s">
        <v>692</v>
      </c>
      <c r="J143" s="20" t="s">
        <v>693</v>
      </c>
      <c r="K143" s="20" t="s">
        <v>694</v>
      </c>
      <c r="L143" s="20">
        <v>77002</v>
      </c>
      <c r="M143" s="22">
        <v>44671.25</v>
      </c>
      <c r="N143" s="20" t="s">
        <v>695</v>
      </c>
      <c r="O143" s="20" t="s">
        <v>696</v>
      </c>
      <c r="P143" s="20">
        <v>29.989025000000002</v>
      </c>
      <c r="Q143" s="20">
        <v>-94.001318999999995</v>
      </c>
      <c r="R143" s="20" t="s">
        <v>697</v>
      </c>
      <c r="W143" s="20">
        <v>0.5</v>
      </c>
      <c r="Y143" s="20">
        <v>0.5</v>
      </c>
      <c r="Z143" s="20" t="s">
        <v>698</v>
      </c>
      <c r="AF143" s="20">
        <v>0</v>
      </c>
      <c r="AG143" s="20" t="s">
        <v>698</v>
      </c>
      <c r="AM143" s="20">
        <v>0</v>
      </c>
      <c r="AN143" s="20" t="s">
        <v>699</v>
      </c>
      <c r="AP143" s="20" t="s">
        <v>700</v>
      </c>
      <c r="AQ143" s="23">
        <v>44671.25</v>
      </c>
      <c r="AR143" s="20" t="s">
        <v>907</v>
      </c>
      <c r="AS143" s="20" t="s">
        <v>702</v>
      </c>
      <c r="AT143" s="20" t="s">
        <v>703</v>
      </c>
      <c r="AU143" s="20" t="s">
        <v>698</v>
      </c>
      <c r="AV143" s="20" t="s">
        <v>1817</v>
      </c>
      <c r="AZ143" s="20" t="s">
        <v>698</v>
      </c>
      <c r="BC143" s="23">
        <v>44671.25</v>
      </c>
      <c r="BD143" s="23">
        <v>44671.25</v>
      </c>
      <c r="BF143" s="20" t="s">
        <v>754</v>
      </c>
      <c r="BH143" s="20" t="s">
        <v>698</v>
      </c>
      <c r="BV143" s="20" t="s">
        <v>698</v>
      </c>
      <c r="BX143" s="20" t="s">
        <v>698</v>
      </c>
      <c r="CA143" s="20">
        <v>0</v>
      </c>
      <c r="CB143" s="20" t="s">
        <v>818</v>
      </c>
      <c r="CC143" s="20" t="s">
        <v>1818</v>
      </c>
      <c r="CD143" s="20" t="s">
        <v>694</v>
      </c>
      <c r="CE143" s="20">
        <v>77627</v>
      </c>
      <c r="CF143" s="20" t="s">
        <v>820</v>
      </c>
      <c r="CG143" s="20" t="s">
        <v>821</v>
      </c>
      <c r="CH143" s="20" t="s">
        <v>710</v>
      </c>
      <c r="CI143" s="20">
        <v>0</v>
      </c>
      <c r="CJ143" s="20" t="s">
        <v>698</v>
      </c>
      <c r="CK143" s="20" t="s">
        <v>712</v>
      </c>
      <c r="CL143" s="20" t="s">
        <v>910</v>
      </c>
      <c r="CP143" s="20" t="s">
        <v>698</v>
      </c>
      <c r="DM143" s="20" t="s">
        <v>743</v>
      </c>
      <c r="DN143" s="20" t="s">
        <v>911</v>
      </c>
      <c r="EW143" s="20" t="s">
        <v>912</v>
      </c>
      <c r="EY143" s="20" t="s">
        <v>913</v>
      </c>
      <c r="FD143" s="20">
        <v>25</v>
      </c>
      <c r="FE143" s="20" t="s">
        <v>698</v>
      </c>
      <c r="FF143" s="20">
        <v>2008</v>
      </c>
      <c r="FH143" s="20">
        <v>2018</v>
      </c>
      <c r="FK143" s="20" t="s">
        <v>728</v>
      </c>
      <c r="FL143" s="20" t="s">
        <v>728</v>
      </c>
      <c r="FM143" s="20" t="s">
        <v>719</v>
      </c>
      <c r="FO143" s="20" t="s">
        <v>720</v>
      </c>
      <c r="FR143" s="20" t="s">
        <v>721</v>
      </c>
      <c r="FY143" s="20" t="s">
        <v>698</v>
      </c>
      <c r="GC143" s="20" t="s">
        <v>696</v>
      </c>
      <c r="GD143" s="20" t="s">
        <v>698</v>
      </c>
      <c r="GE143" s="20" t="s">
        <v>696</v>
      </c>
      <c r="GH143" s="20" t="s">
        <v>696</v>
      </c>
      <c r="GK143" s="20" t="s">
        <v>698</v>
      </c>
      <c r="GT143" s="20" t="s">
        <v>696</v>
      </c>
      <c r="GU143" s="20" t="s">
        <v>696</v>
      </c>
      <c r="GX143" s="20" t="s">
        <v>696</v>
      </c>
      <c r="GY143" s="20" t="s">
        <v>696</v>
      </c>
      <c r="HF143" s="20">
        <v>0</v>
      </c>
      <c r="HG143" s="20">
        <v>60</v>
      </c>
      <c r="HH143" s="20">
        <v>500</v>
      </c>
      <c r="HI143" s="20">
        <v>1500</v>
      </c>
      <c r="HJ143" s="20">
        <v>1700</v>
      </c>
      <c r="HK143" s="20">
        <v>0</v>
      </c>
      <c r="HM143" s="20">
        <v>3760</v>
      </c>
      <c r="HN143" s="20">
        <v>0</v>
      </c>
      <c r="HO143" s="20">
        <v>0</v>
      </c>
      <c r="HP143" s="20">
        <v>0</v>
      </c>
      <c r="HQ143" s="20">
        <v>0</v>
      </c>
      <c r="HR143" s="20">
        <v>15</v>
      </c>
      <c r="HZ143" s="20" t="s">
        <v>698</v>
      </c>
      <c r="IS143" s="20" t="s">
        <v>724</v>
      </c>
      <c r="IT143" s="20" t="s">
        <v>696</v>
      </c>
      <c r="IU143" s="20" t="s">
        <v>696</v>
      </c>
      <c r="IV143" s="20" t="s">
        <v>696</v>
      </c>
      <c r="IW143" s="20" t="s">
        <v>698</v>
      </c>
      <c r="IX143" s="20" t="s">
        <v>698</v>
      </c>
      <c r="IY143" s="20" t="s">
        <v>698</v>
      </c>
      <c r="JD143" s="20" t="s">
        <v>725</v>
      </c>
      <c r="JE143" s="20" t="s">
        <v>1819</v>
      </c>
      <c r="JR143" s="20" t="s">
        <v>698</v>
      </c>
      <c r="JS143" s="20" t="s">
        <v>698</v>
      </c>
      <c r="JX143" s="20" t="s">
        <v>789</v>
      </c>
      <c r="JY143" s="20" t="s">
        <v>914</v>
      </c>
      <c r="QB143" s="20" t="s">
        <v>914</v>
      </c>
      <c r="QS143" s="20" t="s">
        <v>915</v>
      </c>
      <c r="RK143" s="20" t="s">
        <v>696</v>
      </c>
      <c r="RL143" s="20" t="s">
        <v>1820</v>
      </c>
      <c r="XL143" s="20" t="s">
        <v>1821</v>
      </c>
      <c r="XM143" s="20" t="s">
        <v>1114</v>
      </c>
      <c r="XN143" s="20" t="s">
        <v>1647</v>
      </c>
      <c r="XO143" s="20" t="s">
        <v>1648</v>
      </c>
      <c r="XQ143" s="24">
        <v>44701</v>
      </c>
      <c r="XU143" s="20" t="s">
        <v>730</v>
      </c>
      <c r="XV143" s="20" t="s">
        <v>733</v>
      </c>
      <c r="XW143" s="20" t="s">
        <v>1360</v>
      </c>
      <c r="XX143" s="20" t="s">
        <v>732</v>
      </c>
      <c r="XY143" s="20" t="s">
        <v>1822</v>
      </c>
    </row>
    <row r="144" spans="1:649" ht="13">
      <c r="A144" s="20">
        <v>931</v>
      </c>
      <c r="B144" s="21">
        <v>44693</v>
      </c>
      <c r="C144" s="20">
        <v>2022</v>
      </c>
      <c r="D144" s="20">
        <v>20220097</v>
      </c>
      <c r="E144" s="20">
        <v>38931</v>
      </c>
      <c r="F144" s="20" t="s">
        <v>825</v>
      </c>
      <c r="G144" s="20">
        <v>32683</v>
      </c>
      <c r="H144" s="20" t="s">
        <v>1206</v>
      </c>
      <c r="I144" s="20" t="s">
        <v>692</v>
      </c>
      <c r="J144" s="20" t="s">
        <v>693</v>
      </c>
      <c r="K144" s="20" t="s">
        <v>694</v>
      </c>
      <c r="L144" s="20">
        <v>77002</v>
      </c>
      <c r="M144" s="22">
        <v>44663.637499999997</v>
      </c>
      <c r="N144" s="20" t="s">
        <v>843</v>
      </c>
      <c r="O144" s="20" t="s">
        <v>696</v>
      </c>
      <c r="P144" s="20">
        <v>41.510890000000003</v>
      </c>
      <c r="Q144" s="20">
        <v>-83.443969999999993</v>
      </c>
      <c r="R144" s="20" t="s">
        <v>844</v>
      </c>
      <c r="S144" s="20" t="s">
        <v>936</v>
      </c>
      <c r="W144" s="20">
        <v>1220</v>
      </c>
      <c r="Y144" s="20">
        <v>1200</v>
      </c>
      <c r="Z144" s="20" t="s">
        <v>698</v>
      </c>
      <c r="AF144" s="20">
        <v>0</v>
      </c>
      <c r="AG144" s="20" t="s">
        <v>698</v>
      </c>
      <c r="AM144" s="20">
        <v>0</v>
      </c>
      <c r="AN144" s="20" t="s">
        <v>846</v>
      </c>
      <c r="AQ144" s="23">
        <v>44663.637499999997</v>
      </c>
      <c r="AR144" s="20" t="s">
        <v>776</v>
      </c>
      <c r="AS144" s="20" t="s">
        <v>702</v>
      </c>
      <c r="AT144" s="20" t="s">
        <v>703</v>
      </c>
      <c r="AU144" s="20" t="s">
        <v>696</v>
      </c>
      <c r="AW144" s="23">
        <v>44663.644444444442</v>
      </c>
      <c r="AX144" s="23">
        <v>44668.390972222223</v>
      </c>
      <c r="AZ144" s="20" t="s">
        <v>696</v>
      </c>
      <c r="BA144" s="20" t="s">
        <v>753</v>
      </c>
      <c r="BB144" s="23">
        <v>44663.724305555559</v>
      </c>
      <c r="BC144" s="23">
        <v>44663.708333333336</v>
      </c>
      <c r="BD144" s="23">
        <v>44663.637499999997</v>
      </c>
      <c r="BE144" s="23">
        <v>44663.754861111112</v>
      </c>
      <c r="BF144" s="20">
        <v>1333397</v>
      </c>
      <c r="BG144" s="20">
        <v>1333592</v>
      </c>
      <c r="BH144" s="20" t="s">
        <v>698</v>
      </c>
      <c r="BN144" s="20" t="s">
        <v>777</v>
      </c>
      <c r="BP144" s="23">
        <v>44663.645138888889</v>
      </c>
      <c r="BQ144" s="20" t="s">
        <v>798</v>
      </c>
      <c r="BR144" s="20" t="s">
        <v>777</v>
      </c>
      <c r="BT144" s="23">
        <v>44663.644444444442</v>
      </c>
      <c r="BU144" s="20" t="s">
        <v>798</v>
      </c>
      <c r="BV144" s="20" t="s">
        <v>696</v>
      </c>
      <c r="BW144" s="23">
        <v>44663.647222222222</v>
      </c>
      <c r="BX144" s="20" t="s">
        <v>696</v>
      </c>
      <c r="BY144" s="23">
        <v>44663.67291666667</v>
      </c>
      <c r="BZ144" s="23">
        <v>44663.734027777777</v>
      </c>
      <c r="CA144" s="20">
        <v>0</v>
      </c>
      <c r="CB144" s="20" t="s">
        <v>1823</v>
      </c>
      <c r="CC144" s="20" t="s">
        <v>1823</v>
      </c>
      <c r="CD144" s="20" t="s">
        <v>1075</v>
      </c>
      <c r="CE144" s="20">
        <v>43551</v>
      </c>
      <c r="CF144" s="20" t="s">
        <v>1824</v>
      </c>
      <c r="CG144" s="20" t="s">
        <v>1472</v>
      </c>
      <c r="CH144" s="20" t="s">
        <v>784</v>
      </c>
      <c r="CI144" s="20">
        <v>11.38</v>
      </c>
      <c r="CJ144" s="20" t="s">
        <v>698</v>
      </c>
      <c r="CK144" s="20" t="s">
        <v>785</v>
      </c>
      <c r="CL144" s="20" t="s">
        <v>741</v>
      </c>
      <c r="CM144" s="20" t="s">
        <v>742</v>
      </c>
      <c r="CO144" s="20">
        <v>26</v>
      </c>
      <c r="CP144" s="20" t="s">
        <v>698</v>
      </c>
      <c r="DM144" s="20" t="s">
        <v>743</v>
      </c>
      <c r="DN144" s="20" t="s">
        <v>744</v>
      </c>
      <c r="DO144" s="20" t="s">
        <v>745</v>
      </c>
      <c r="DP144" s="20" t="s">
        <v>698</v>
      </c>
      <c r="DQ144" s="20">
        <v>10.75</v>
      </c>
      <c r="DR144" s="20">
        <v>0.25</v>
      </c>
      <c r="DS144" s="20">
        <v>46000</v>
      </c>
      <c r="DT144" s="20" t="s">
        <v>1825</v>
      </c>
      <c r="DU144" s="20" t="s">
        <v>926</v>
      </c>
      <c r="DW144" s="20" t="s">
        <v>1826</v>
      </c>
      <c r="DX144" s="20" t="s">
        <v>805</v>
      </c>
      <c r="DZ144" s="20" t="s">
        <v>696</v>
      </c>
      <c r="FK144" s="20">
        <v>1955</v>
      </c>
      <c r="FL144" s="20">
        <v>1955</v>
      </c>
      <c r="FM144" s="20" t="s">
        <v>719</v>
      </c>
      <c r="FO144" s="20" t="s">
        <v>1569</v>
      </c>
      <c r="FT144" s="20" t="s">
        <v>1570</v>
      </c>
      <c r="FV144" s="20">
        <v>2.6</v>
      </c>
      <c r="FW144" s="20">
        <v>14.2</v>
      </c>
      <c r="FY144" s="20" t="s">
        <v>696</v>
      </c>
      <c r="GB144" s="20" t="s">
        <v>696</v>
      </c>
      <c r="GC144" s="20" t="s">
        <v>696</v>
      </c>
      <c r="GD144" s="20" t="s">
        <v>696</v>
      </c>
      <c r="GE144" s="20" t="s">
        <v>696</v>
      </c>
      <c r="GF144" s="20" t="s">
        <v>696</v>
      </c>
      <c r="GG144" s="20" t="s">
        <v>696</v>
      </c>
      <c r="GK144" s="20" t="s">
        <v>696</v>
      </c>
      <c r="GM144" s="20" t="s">
        <v>696</v>
      </c>
      <c r="GN144" s="20" t="s">
        <v>696</v>
      </c>
      <c r="GR144" s="20">
        <v>1</v>
      </c>
      <c r="GS144" s="20" t="s">
        <v>1827</v>
      </c>
      <c r="GT144" s="20" t="s">
        <v>698</v>
      </c>
      <c r="GU144" s="20" t="s">
        <v>698</v>
      </c>
      <c r="HF144" s="20">
        <v>20000</v>
      </c>
      <c r="HG144" s="20">
        <v>204960</v>
      </c>
      <c r="HH144" s="20">
        <v>838126</v>
      </c>
      <c r="HI144" s="20">
        <v>2300000</v>
      </c>
      <c r="HJ144" s="20">
        <v>3372026</v>
      </c>
      <c r="HK144" s="20">
        <v>0</v>
      </c>
      <c r="HM144" s="20">
        <v>6735112</v>
      </c>
      <c r="HN144" s="20">
        <v>1</v>
      </c>
      <c r="HO144" s="20">
        <v>0</v>
      </c>
      <c r="HP144" s="20">
        <v>0</v>
      </c>
      <c r="HQ144" s="20">
        <v>0</v>
      </c>
      <c r="HR144" s="20">
        <v>1092</v>
      </c>
      <c r="HS144" s="20">
        <v>1200</v>
      </c>
      <c r="HT144" s="20" t="s">
        <v>787</v>
      </c>
      <c r="HV144" s="24">
        <v>25457</v>
      </c>
      <c r="HW144" s="20" t="s">
        <v>698</v>
      </c>
      <c r="HY144" s="20" t="s">
        <v>723</v>
      </c>
      <c r="HZ144" s="20" t="s">
        <v>698</v>
      </c>
      <c r="IC144" s="20">
        <v>26400</v>
      </c>
      <c r="ID144" s="20" t="s">
        <v>696</v>
      </c>
      <c r="IL144" s="20" t="s">
        <v>698</v>
      </c>
      <c r="IS144" s="20" t="s">
        <v>724</v>
      </c>
      <c r="IT144" s="20" t="s">
        <v>696</v>
      </c>
      <c r="IU144" s="20" t="s">
        <v>696</v>
      </c>
      <c r="IV144" s="20" t="s">
        <v>696</v>
      </c>
      <c r="IW144" s="20" t="s">
        <v>696</v>
      </c>
      <c r="IX144" s="20" t="s">
        <v>696</v>
      </c>
      <c r="IY144" s="20" t="s">
        <v>696</v>
      </c>
      <c r="IZ144" s="20" t="s">
        <v>696</v>
      </c>
      <c r="JA144" s="20" t="s">
        <v>696</v>
      </c>
      <c r="JB144" s="20" t="s">
        <v>696</v>
      </c>
      <c r="JC144" s="20" t="s">
        <v>696</v>
      </c>
      <c r="JD144" s="20" t="s">
        <v>859</v>
      </c>
      <c r="JF144" s="20" t="s">
        <v>696</v>
      </c>
      <c r="JK144" s="20" t="s">
        <v>696</v>
      </c>
      <c r="JR144" s="20" t="s">
        <v>696</v>
      </c>
      <c r="JS144" s="20" t="s">
        <v>698</v>
      </c>
      <c r="JT144" s="20">
        <v>2</v>
      </c>
      <c r="JU144" s="20">
        <v>0</v>
      </c>
      <c r="JX144" s="20" t="s">
        <v>833</v>
      </c>
      <c r="JY144" s="20" t="s">
        <v>860</v>
      </c>
      <c r="JZ144" s="20" t="s">
        <v>860</v>
      </c>
      <c r="KA144" s="20" t="s">
        <v>905</v>
      </c>
      <c r="KC144" s="20" t="s">
        <v>696</v>
      </c>
      <c r="KF144" s="20" t="s">
        <v>696</v>
      </c>
      <c r="KL144" s="20" t="s">
        <v>696</v>
      </c>
      <c r="KM144" s="20" t="s">
        <v>696</v>
      </c>
      <c r="KP144" s="20" t="s">
        <v>696</v>
      </c>
      <c r="KQ144" s="20" t="s">
        <v>696</v>
      </c>
      <c r="KR144" s="20">
        <v>1955</v>
      </c>
      <c r="KS144" s="20" t="s">
        <v>698</v>
      </c>
      <c r="KT144" s="20" t="s">
        <v>696</v>
      </c>
      <c r="KU144" s="20" t="s">
        <v>696</v>
      </c>
      <c r="KV144" s="20" t="s">
        <v>696</v>
      </c>
      <c r="KX144" s="20">
        <v>2021</v>
      </c>
      <c r="KY144" s="20">
        <v>2021</v>
      </c>
      <c r="LC144" s="20" t="s">
        <v>696</v>
      </c>
      <c r="SC144" s="20" t="s">
        <v>696</v>
      </c>
      <c r="SD144" s="20" t="s">
        <v>696</v>
      </c>
      <c r="SF144" s="20" t="s">
        <v>696</v>
      </c>
      <c r="SG144" s="20" t="s">
        <v>696</v>
      </c>
      <c r="SK144" s="20">
        <v>2017</v>
      </c>
      <c r="SL144" s="20" t="s">
        <v>863</v>
      </c>
      <c r="SM144" s="20" t="s">
        <v>864</v>
      </c>
      <c r="SO144" s="20" t="s">
        <v>865</v>
      </c>
      <c r="SQ144" s="20">
        <v>2012</v>
      </c>
      <c r="SR144" s="20" t="s">
        <v>863</v>
      </c>
      <c r="SS144" s="20" t="s">
        <v>864</v>
      </c>
      <c r="SU144" s="20" t="s">
        <v>865</v>
      </c>
      <c r="TE144" s="20">
        <v>2012</v>
      </c>
      <c r="TF144" s="20" t="s">
        <v>863</v>
      </c>
      <c r="TG144" s="20" t="s">
        <v>768</v>
      </c>
      <c r="TQ144" s="20">
        <v>2017</v>
      </c>
      <c r="TR144" s="20" t="s">
        <v>863</v>
      </c>
      <c r="TS144" s="20" t="s">
        <v>865</v>
      </c>
      <c r="TU144" s="20" t="s">
        <v>934</v>
      </c>
      <c r="TV144" s="20">
        <v>2012</v>
      </c>
      <c r="TW144" s="20" t="s">
        <v>863</v>
      </c>
      <c r="TX144" s="20" t="s">
        <v>865</v>
      </c>
      <c r="TZ144" s="20" t="s">
        <v>934</v>
      </c>
      <c r="UO144" s="20" t="s">
        <v>698</v>
      </c>
      <c r="UR144" s="20" t="s">
        <v>698</v>
      </c>
      <c r="UZ144" s="20" t="s">
        <v>698</v>
      </c>
      <c r="XL144" s="20" t="s">
        <v>730</v>
      </c>
      <c r="XM144" s="20" t="s">
        <v>731</v>
      </c>
      <c r="XN144" s="20" t="s">
        <v>732</v>
      </c>
      <c r="XO144" s="20" t="s">
        <v>733</v>
      </c>
      <c r="XQ144" s="24">
        <v>45268</v>
      </c>
      <c r="XU144" s="20" t="s">
        <v>730</v>
      </c>
      <c r="XV144" s="20" t="s">
        <v>733</v>
      </c>
      <c r="XW144" s="20" t="s">
        <v>731</v>
      </c>
      <c r="XX144" s="20" t="s">
        <v>732</v>
      </c>
      <c r="XY144" s="20" t="s">
        <v>1828</v>
      </c>
    </row>
    <row r="145" spans="1:649" ht="13">
      <c r="A145" s="20">
        <v>933</v>
      </c>
      <c r="B145" s="21">
        <v>44687</v>
      </c>
      <c r="C145" s="20">
        <v>2022</v>
      </c>
      <c r="D145" s="20">
        <v>20220095</v>
      </c>
      <c r="E145" s="20">
        <v>37203</v>
      </c>
      <c r="F145" s="20" t="s">
        <v>825</v>
      </c>
      <c r="G145" s="20">
        <v>39147</v>
      </c>
      <c r="H145" s="20" t="s">
        <v>1574</v>
      </c>
      <c r="I145" s="20" t="s">
        <v>692</v>
      </c>
      <c r="J145" s="20" t="s">
        <v>693</v>
      </c>
      <c r="K145" s="20" t="s">
        <v>694</v>
      </c>
      <c r="L145" s="20">
        <v>77002</v>
      </c>
      <c r="M145" s="22">
        <v>44659.774305555555</v>
      </c>
      <c r="N145" s="20" t="s">
        <v>695</v>
      </c>
      <c r="O145" s="20" t="s">
        <v>696</v>
      </c>
      <c r="P145" s="20">
        <v>35.260259589999997</v>
      </c>
      <c r="Q145" s="20">
        <v>-97.835763209999996</v>
      </c>
      <c r="R145" s="20" t="s">
        <v>697</v>
      </c>
      <c r="W145" s="20">
        <v>65</v>
      </c>
      <c r="Y145" s="20">
        <v>65</v>
      </c>
      <c r="Z145" s="20" t="s">
        <v>698</v>
      </c>
      <c r="AF145" s="20">
        <v>0</v>
      </c>
      <c r="AG145" s="20" t="s">
        <v>698</v>
      </c>
      <c r="AM145" s="20">
        <v>0</v>
      </c>
      <c r="AN145" s="20" t="s">
        <v>699</v>
      </c>
      <c r="AP145" s="20" t="s">
        <v>1013</v>
      </c>
      <c r="AQ145" s="23">
        <v>44659.774305555555</v>
      </c>
      <c r="AR145" s="20" t="s">
        <v>776</v>
      </c>
      <c r="AS145" s="20" t="s">
        <v>702</v>
      </c>
      <c r="AT145" s="20" t="s">
        <v>703</v>
      </c>
      <c r="AU145" s="20" t="s">
        <v>696</v>
      </c>
      <c r="AW145" s="23">
        <v>44659.774305555555</v>
      </c>
      <c r="AX145" s="23">
        <v>44692.340277777781</v>
      </c>
      <c r="AZ145" s="20" t="s">
        <v>696</v>
      </c>
      <c r="BA145" s="20" t="s">
        <v>753</v>
      </c>
      <c r="BB145" s="23">
        <v>44659.845833333333</v>
      </c>
      <c r="BC145" s="23">
        <v>44659.774305555555</v>
      </c>
      <c r="BD145" s="23">
        <v>44659.774305555555</v>
      </c>
      <c r="BE145" s="23">
        <v>44659.845833333333</v>
      </c>
      <c r="BF145" s="20">
        <v>1333087</v>
      </c>
      <c r="BG145" s="20">
        <v>1333199</v>
      </c>
      <c r="BH145" s="20" t="s">
        <v>698</v>
      </c>
      <c r="BN145" s="20" t="s">
        <v>777</v>
      </c>
      <c r="BP145" s="23">
        <v>44659.774305555555</v>
      </c>
      <c r="BQ145" s="20" t="s">
        <v>779</v>
      </c>
      <c r="BR145" s="20" t="s">
        <v>777</v>
      </c>
      <c r="BT145" s="23">
        <v>44659.774305555555</v>
      </c>
      <c r="BU145" s="20" t="s">
        <v>779</v>
      </c>
      <c r="BV145" s="20" t="s">
        <v>696</v>
      </c>
      <c r="BW145" s="23">
        <v>44659.784722222219</v>
      </c>
      <c r="BX145" s="20" t="s">
        <v>696</v>
      </c>
      <c r="BY145" s="23">
        <v>44659.791666666664</v>
      </c>
      <c r="BZ145" s="23">
        <v>44659.958333333336</v>
      </c>
      <c r="CA145" s="20">
        <v>0</v>
      </c>
      <c r="CB145" s="20" t="s">
        <v>1829</v>
      </c>
      <c r="CC145" s="20" t="s">
        <v>1830</v>
      </c>
      <c r="CD145" s="20" t="s">
        <v>739</v>
      </c>
      <c r="CE145" s="20">
        <v>73089</v>
      </c>
      <c r="CF145" s="20" t="s">
        <v>1831</v>
      </c>
      <c r="CG145" s="20" t="s">
        <v>812</v>
      </c>
      <c r="CH145" s="20" t="s">
        <v>784</v>
      </c>
      <c r="CI145" s="20">
        <v>2.4500000000000002</v>
      </c>
      <c r="CJ145" s="20" t="s">
        <v>698</v>
      </c>
      <c r="CK145" s="20" t="s">
        <v>891</v>
      </c>
      <c r="CL145" s="20" t="s">
        <v>741</v>
      </c>
      <c r="CM145" s="20" t="s">
        <v>742</v>
      </c>
      <c r="CO145" s="20">
        <v>130</v>
      </c>
      <c r="CP145" s="20" t="s">
        <v>698</v>
      </c>
      <c r="DM145" s="20" t="s">
        <v>715</v>
      </c>
      <c r="DN145" s="20" t="s">
        <v>744</v>
      </c>
      <c r="DO145" s="20" t="s">
        <v>745</v>
      </c>
      <c r="DP145" s="20" t="s">
        <v>698</v>
      </c>
      <c r="DQ145" s="20">
        <v>12.75</v>
      </c>
      <c r="DR145" s="20">
        <v>0.25</v>
      </c>
      <c r="DS145" s="20">
        <v>52000</v>
      </c>
      <c r="DT145" s="20" t="s">
        <v>1762</v>
      </c>
      <c r="DU145" s="20" t="s">
        <v>747</v>
      </c>
      <c r="DW145" s="20" t="s">
        <v>1832</v>
      </c>
      <c r="DX145" s="20" t="s">
        <v>748</v>
      </c>
      <c r="DZ145" s="20" t="s">
        <v>698</v>
      </c>
      <c r="FK145" s="20">
        <v>2018</v>
      </c>
      <c r="FL145" s="20">
        <v>2017</v>
      </c>
      <c r="FM145" s="20" t="s">
        <v>719</v>
      </c>
      <c r="FO145" s="20" t="s">
        <v>720</v>
      </c>
      <c r="FR145" s="20" t="s">
        <v>749</v>
      </c>
      <c r="FY145" s="20" t="s">
        <v>698</v>
      </c>
      <c r="GC145" s="20" t="s">
        <v>696</v>
      </c>
      <c r="GD145" s="20" t="s">
        <v>698</v>
      </c>
      <c r="GE145" s="20" t="s">
        <v>696</v>
      </c>
      <c r="GF145" s="20" t="s">
        <v>696</v>
      </c>
      <c r="GH145" s="20" t="s">
        <v>696</v>
      </c>
      <c r="GK145" s="20" t="s">
        <v>696</v>
      </c>
      <c r="GM145" s="20" t="s">
        <v>696</v>
      </c>
      <c r="GR145" s="20">
        <v>5</v>
      </c>
      <c r="GS145" s="20" t="s">
        <v>728</v>
      </c>
      <c r="GT145" s="20" t="s">
        <v>698</v>
      </c>
      <c r="GU145" s="20" t="s">
        <v>698</v>
      </c>
      <c r="HF145" s="20">
        <v>25000</v>
      </c>
      <c r="HG145" s="20">
        <v>1000</v>
      </c>
      <c r="HH145" s="20">
        <v>60000</v>
      </c>
      <c r="HI145" s="20">
        <v>75000</v>
      </c>
      <c r="HJ145" s="20">
        <v>300000</v>
      </c>
      <c r="HK145" s="20">
        <v>0</v>
      </c>
      <c r="HM145" s="20">
        <v>461000</v>
      </c>
      <c r="HN145" s="20">
        <v>0</v>
      </c>
      <c r="HO145" s="20">
        <v>0</v>
      </c>
      <c r="HP145" s="20">
        <v>0</v>
      </c>
      <c r="HQ145" s="20">
        <v>0</v>
      </c>
      <c r="HR145" s="20">
        <v>800</v>
      </c>
      <c r="HS145" s="20">
        <v>1440</v>
      </c>
      <c r="HT145" s="20" t="s">
        <v>787</v>
      </c>
      <c r="HV145" s="24">
        <v>43146</v>
      </c>
      <c r="HW145" s="20" t="s">
        <v>698</v>
      </c>
      <c r="HY145" s="20" t="s">
        <v>723</v>
      </c>
      <c r="HZ145" s="20" t="s">
        <v>698</v>
      </c>
      <c r="IC145" s="20">
        <v>31600</v>
      </c>
      <c r="ID145" s="20" t="s">
        <v>696</v>
      </c>
      <c r="IL145" s="20" t="s">
        <v>698</v>
      </c>
      <c r="IS145" s="20" t="s">
        <v>724</v>
      </c>
      <c r="IT145" s="20" t="s">
        <v>696</v>
      </c>
      <c r="IU145" s="20" t="s">
        <v>696</v>
      </c>
      <c r="IV145" s="20" t="s">
        <v>696</v>
      </c>
      <c r="IW145" s="20" t="s">
        <v>698</v>
      </c>
      <c r="IX145" s="20" t="s">
        <v>698</v>
      </c>
      <c r="IY145" s="20" t="s">
        <v>698</v>
      </c>
      <c r="JD145" s="20" t="s">
        <v>725</v>
      </c>
      <c r="JE145" s="20" t="s">
        <v>726</v>
      </c>
      <c r="JR145" s="20" t="s">
        <v>698</v>
      </c>
      <c r="JS145" s="20" t="s">
        <v>698</v>
      </c>
      <c r="JX145" s="20" t="s">
        <v>833</v>
      </c>
      <c r="JY145" s="20" t="s">
        <v>834</v>
      </c>
      <c r="JZ145" s="20" t="s">
        <v>834</v>
      </c>
      <c r="LD145" s="20" t="s">
        <v>835</v>
      </c>
      <c r="LH145" s="20" t="s">
        <v>696</v>
      </c>
      <c r="LL145" s="20" t="s">
        <v>696</v>
      </c>
      <c r="LP145" s="20" t="s">
        <v>696</v>
      </c>
      <c r="LU145" s="20" t="s">
        <v>698</v>
      </c>
      <c r="LV145" s="20" t="s">
        <v>698</v>
      </c>
      <c r="LW145" s="20" t="s">
        <v>696</v>
      </c>
      <c r="LX145" s="20" t="s">
        <v>696</v>
      </c>
      <c r="SC145" s="20" t="s">
        <v>696</v>
      </c>
      <c r="SD145" s="20" t="s">
        <v>696</v>
      </c>
      <c r="SG145" s="20" t="s">
        <v>696</v>
      </c>
      <c r="SK145" s="20">
        <v>2022</v>
      </c>
      <c r="SL145" s="20" t="s">
        <v>863</v>
      </c>
      <c r="SM145" s="20" t="s">
        <v>864</v>
      </c>
      <c r="SO145" s="20" t="s">
        <v>865</v>
      </c>
      <c r="TQ145" s="20">
        <v>2022</v>
      </c>
      <c r="TR145" s="20" t="s">
        <v>863</v>
      </c>
      <c r="TS145" s="20" t="s">
        <v>865</v>
      </c>
      <c r="TU145" s="20" t="s">
        <v>866</v>
      </c>
      <c r="UO145" s="20" t="s">
        <v>698</v>
      </c>
      <c r="UR145" s="20" t="s">
        <v>698</v>
      </c>
      <c r="UZ145" s="20" t="s">
        <v>698</v>
      </c>
      <c r="XL145" s="20" t="s">
        <v>730</v>
      </c>
      <c r="XM145" s="20" t="s">
        <v>1360</v>
      </c>
      <c r="XN145" s="20" t="s">
        <v>732</v>
      </c>
      <c r="XO145" s="20" t="s">
        <v>733</v>
      </c>
      <c r="XQ145" s="24">
        <v>44839</v>
      </c>
      <c r="XU145" s="20" t="s">
        <v>730</v>
      </c>
      <c r="XV145" s="20" t="s">
        <v>733</v>
      </c>
      <c r="XW145" s="20" t="s">
        <v>1360</v>
      </c>
      <c r="XX145" s="20" t="s">
        <v>732</v>
      </c>
      <c r="XY145" s="20" t="s">
        <v>1833</v>
      </c>
    </row>
    <row r="146" spans="1:649" ht="13">
      <c r="A146" s="20">
        <v>935</v>
      </c>
      <c r="B146" s="21">
        <v>44687</v>
      </c>
      <c r="C146" s="20">
        <v>2022</v>
      </c>
      <c r="D146" s="20">
        <v>20220094</v>
      </c>
      <c r="E146" s="20">
        <v>36997</v>
      </c>
      <c r="F146" s="20" t="s">
        <v>825</v>
      </c>
      <c r="G146" s="20">
        <v>32099</v>
      </c>
      <c r="H146" s="20" t="s">
        <v>752</v>
      </c>
      <c r="I146" s="20" t="s">
        <v>692</v>
      </c>
      <c r="J146" s="20" t="s">
        <v>693</v>
      </c>
      <c r="K146" s="20" t="s">
        <v>694</v>
      </c>
      <c r="L146" s="20">
        <v>77002</v>
      </c>
      <c r="M146" s="22">
        <v>44657.625</v>
      </c>
      <c r="N146" s="20" t="s">
        <v>695</v>
      </c>
      <c r="O146" s="20" t="s">
        <v>696</v>
      </c>
      <c r="P146" s="20">
        <v>31.714373999999999</v>
      </c>
      <c r="Q146" s="20">
        <v>-102.73573</v>
      </c>
      <c r="R146" s="20" t="s">
        <v>697</v>
      </c>
      <c r="W146" s="20">
        <v>0.7</v>
      </c>
      <c r="Y146" s="20">
        <v>0.7</v>
      </c>
      <c r="Z146" s="20" t="s">
        <v>698</v>
      </c>
      <c r="AF146" s="20">
        <v>0</v>
      </c>
      <c r="AG146" s="20" t="s">
        <v>698</v>
      </c>
      <c r="AM146" s="20">
        <v>0</v>
      </c>
      <c r="AN146" s="20" t="s">
        <v>699</v>
      </c>
      <c r="AP146" s="20" t="s">
        <v>700</v>
      </c>
      <c r="AQ146" s="23">
        <v>44657.625</v>
      </c>
      <c r="AR146" s="20" t="s">
        <v>776</v>
      </c>
      <c r="AS146" s="20" t="s">
        <v>702</v>
      </c>
      <c r="AT146" s="20" t="s">
        <v>703</v>
      </c>
      <c r="AU146" s="20" t="s">
        <v>696</v>
      </c>
      <c r="AW146" s="23">
        <v>44657.628472222219</v>
      </c>
      <c r="AX146" s="23">
        <v>44657.956944444442</v>
      </c>
      <c r="AZ146" s="20" t="s">
        <v>698</v>
      </c>
      <c r="BC146" s="23">
        <v>44657.625</v>
      </c>
      <c r="BD146" s="23">
        <v>44657.625</v>
      </c>
      <c r="BF146" s="20" t="s">
        <v>754</v>
      </c>
      <c r="BH146" s="20" t="s">
        <v>698</v>
      </c>
      <c r="BN146" s="20" t="s">
        <v>849</v>
      </c>
      <c r="BO146" s="20" t="s">
        <v>1834</v>
      </c>
      <c r="BR146" s="20" t="s">
        <v>777</v>
      </c>
      <c r="BT146" s="23">
        <v>44657.644444444442</v>
      </c>
      <c r="BU146" s="20" t="s">
        <v>798</v>
      </c>
      <c r="BV146" s="20" t="s">
        <v>698</v>
      </c>
      <c r="BX146" s="20" t="s">
        <v>698</v>
      </c>
      <c r="CA146" s="20">
        <v>0</v>
      </c>
      <c r="CB146" s="20" t="s">
        <v>1835</v>
      </c>
      <c r="CC146" s="20" t="s">
        <v>1836</v>
      </c>
      <c r="CD146" s="20" t="s">
        <v>694</v>
      </c>
      <c r="CE146" s="20">
        <v>79759</v>
      </c>
      <c r="CF146" s="20" t="s">
        <v>1725</v>
      </c>
      <c r="CG146" s="20" t="s">
        <v>1386</v>
      </c>
      <c r="CH146" s="20" t="s">
        <v>710</v>
      </c>
      <c r="CI146" s="20" t="s">
        <v>1837</v>
      </c>
      <c r="CJ146" s="20" t="s">
        <v>698</v>
      </c>
      <c r="CK146" s="20" t="s">
        <v>712</v>
      </c>
      <c r="CL146" s="20" t="s">
        <v>713</v>
      </c>
      <c r="CM146" s="20" t="s">
        <v>758</v>
      </c>
      <c r="CP146" s="20" t="s">
        <v>698</v>
      </c>
      <c r="DM146" s="20" t="s">
        <v>715</v>
      </c>
      <c r="DN146" s="20" t="s">
        <v>829</v>
      </c>
      <c r="EM146" s="20" t="s">
        <v>1188</v>
      </c>
      <c r="EN146" s="20" t="s">
        <v>1838</v>
      </c>
      <c r="EP146" s="20" t="s">
        <v>1839</v>
      </c>
      <c r="FK146" s="20">
        <v>2018</v>
      </c>
      <c r="FL146" s="20" t="s">
        <v>728</v>
      </c>
      <c r="FM146" s="20" t="s">
        <v>719</v>
      </c>
      <c r="FO146" s="20" t="s">
        <v>720</v>
      </c>
      <c r="FR146" s="20" t="s">
        <v>721</v>
      </c>
      <c r="FY146" s="20" t="s">
        <v>698</v>
      </c>
      <c r="GC146" s="20" t="s">
        <v>696</v>
      </c>
      <c r="GD146" s="20" t="s">
        <v>698</v>
      </c>
      <c r="GE146" s="20" t="s">
        <v>696</v>
      </c>
      <c r="GH146" s="20" t="s">
        <v>696</v>
      </c>
      <c r="GK146" s="20" t="s">
        <v>698</v>
      </c>
      <c r="GT146" s="20" t="s">
        <v>698</v>
      </c>
      <c r="GU146" s="20" t="s">
        <v>698</v>
      </c>
      <c r="HF146" s="20">
        <v>0</v>
      </c>
      <c r="HG146" s="20">
        <v>75</v>
      </c>
      <c r="HH146" s="20">
        <v>1600</v>
      </c>
      <c r="HI146" s="20">
        <v>800</v>
      </c>
      <c r="HJ146" s="20">
        <v>2500</v>
      </c>
      <c r="HK146" s="20">
        <v>0</v>
      </c>
      <c r="HM146" s="20">
        <v>4975</v>
      </c>
      <c r="HN146" s="20">
        <v>0</v>
      </c>
      <c r="HO146" s="20">
        <v>0</v>
      </c>
      <c r="HP146" s="20">
        <v>0</v>
      </c>
      <c r="HQ146" s="20">
        <v>0</v>
      </c>
      <c r="HR146" s="20">
        <v>350</v>
      </c>
      <c r="HS146" s="20">
        <v>1035</v>
      </c>
      <c r="HT146" s="20" t="s">
        <v>787</v>
      </c>
      <c r="HV146" s="24">
        <v>40878</v>
      </c>
      <c r="HW146" s="20" t="s">
        <v>698</v>
      </c>
      <c r="HY146" s="20" t="s">
        <v>723</v>
      </c>
      <c r="HZ146" s="20" t="s">
        <v>698</v>
      </c>
      <c r="ID146" s="20" t="s">
        <v>696</v>
      </c>
      <c r="IL146" s="20" t="s">
        <v>698</v>
      </c>
      <c r="IS146" s="20" t="s">
        <v>724</v>
      </c>
      <c r="IT146" s="20" t="s">
        <v>696</v>
      </c>
      <c r="IU146" s="20" t="s">
        <v>696</v>
      </c>
      <c r="IV146" s="20" t="s">
        <v>696</v>
      </c>
      <c r="IW146" s="20" t="s">
        <v>698</v>
      </c>
      <c r="IX146" s="20" t="s">
        <v>698</v>
      </c>
      <c r="IY146" s="20" t="s">
        <v>696</v>
      </c>
      <c r="IZ146" s="20" t="s">
        <v>696</v>
      </c>
      <c r="JA146" s="20" t="s">
        <v>696</v>
      </c>
      <c r="JB146" s="20" t="s">
        <v>698</v>
      </c>
      <c r="JC146" s="20" t="s">
        <v>698</v>
      </c>
      <c r="JD146" s="20" t="s">
        <v>725</v>
      </c>
      <c r="JE146" s="20" t="s">
        <v>726</v>
      </c>
      <c r="JR146" s="20" t="s">
        <v>698</v>
      </c>
      <c r="JS146" s="20" t="s">
        <v>698</v>
      </c>
      <c r="JX146" s="20" t="s">
        <v>789</v>
      </c>
      <c r="JY146" s="20" t="s">
        <v>914</v>
      </c>
      <c r="QB146" s="20" t="s">
        <v>914</v>
      </c>
      <c r="QS146" s="20" t="s">
        <v>915</v>
      </c>
      <c r="RK146" s="20" t="s">
        <v>696</v>
      </c>
      <c r="RL146" s="20" t="s">
        <v>1840</v>
      </c>
      <c r="XL146" s="20" t="s">
        <v>1655</v>
      </c>
      <c r="XM146" s="20" t="s">
        <v>1114</v>
      </c>
      <c r="XN146" s="20" t="s">
        <v>1647</v>
      </c>
      <c r="XO146" s="20" t="s">
        <v>1648</v>
      </c>
      <c r="XQ146" s="24">
        <v>44792</v>
      </c>
      <c r="XU146" s="20" t="s">
        <v>1297</v>
      </c>
      <c r="XV146" s="20" t="s">
        <v>733</v>
      </c>
      <c r="XW146" s="20" t="s">
        <v>1360</v>
      </c>
      <c r="XX146" s="20" t="s">
        <v>732</v>
      </c>
      <c r="XY146" s="20" t="s">
        <v>1841</v>
      </c>
    </row>
    <row r="147" spans="1:649" ht="13">
      <c r="A147" s="20">
        <v>954</v>
      </c>
      <c r="B147" s="21">
        <v>44652</v>
      </c>
      <c r="C147" s="20">
        <v>2022</v>
      </c>
      <c r="D147" s="20">
        <v>20220072</v>
      </c>
      <c r="E147" s="20">
        <v>36642</v>
      </c>
      <c r="F147" s="20" t="s">
        <v>825</v>
      </c>
      <c r="G147" s="20">
        <v>22442</v>
      </c>
      <c r="H147" s="20" t="s">
        <v>886</v>
      </c>
      <c r="I147" s="20" t="s">
        <v>692</v>
      </c>
      <c r="J147" s="20" t="s">
        <v>693</v>
      </c>
      <c r="K147" s="20" t="s">
        <v>694</v>
      </c>
      <c r="L147" s="20">
        <v>77002</v>
      </c>
      <c r="M147" s="22">
        <v>44623.479166666664</v>
      </c>
      <c r="N147" s="20" t="s">
        <v>695</v>
      </c>
      <c r="O147" s="20" t="s">
        <v>698</v>
      </c>
      <c r="P147" s="20">
        <v>32.152839999999998</v>
      </c>
      <c r="Q147" s="20">
        <v>-97.374691999999996</v>
      </c>
      <c r="R147" s="20" t="s">
        <v>697</v>
      </c>
      <c r="W147" s="20">
        <v>4</v>
      </c>
      <c r="Y147" s="20">
        <v>4</v>
      </c>
      <c r="Z147" s="20" t="s">
        <v>698</v>
      </c>
      <c r="AF147" s="20">
        <v>0</v>
      </c>
      <c r="AG147" s="20" t="s">
        <v>698</v>
      </c>
      <c r="AM147" s="20">
        <v>0</v>
      </c>
      <c r="AN147" s="20" t="s">
        <v>699</v>
      </c>
      <c r="AP147" s="20" t="s">
        <v>1013</v>
      </c>
      <c r="AQ147" s="23">
        <v>44623.479166666664</v>
      </c>
      <c r="AR147" s="20" t="s">
        <v>701</v>
      </c>
      <c r="AS147" s="20" t="s">
        <v>702</v>
      </c>
      <c r="AT147" s="20" t="s">
        <v>703</v>
      </c>
      <c r="AU147" s="20" t="s">
        <v>696</v>
      </c>
      <c r="AW147" s="23">
        <v>44623.487500000003</v>
      </c>
      <c r="AX147" s="23">
        <v>44623.606249999997</v>
      </c>
      <c r="AZ147" s="20" t="s">
        <v>698</v>
      </c>
      <c r="BC147" s="23">
        <v>44623.479166666664</v>
      </c>
      <c r="BD147" s="23">
        <v>44623.479166666664</v>
      </c>
      <c r="BF147" s="20" t="s">
        <v>754</v>
      </c>
      <c r="BH147" s="20" t="s">
        <v>698</v>
      </c>
      <c r="BV147" s="20" t="s">
        <v>696</v>
      </c>
      <c r="BW147" s="23">
        <v>44623.490972222222</v>
      </c>
      <c r="BX147" s="20" t="s">
        <v>698</v>
      </c>
      <c r="CA147" s="20">
        <v>0</v>
      </c>
      <c r="CB147" s="20" t="s">
        <v>888</v>
      </c>
      <c r="CC147" s="20" t="s">
        <v>1842</v>
      </c>
      <c r="CD147" s="20" t="s">
        <v>694</v>
      </c>
      <c r="CE147" s="20">
        <v>76627</v>
      </c>
      <c r="CF147" s="20" t="s">
        <v>1843</v>
      </c>
      <c r="CG147" s="20" t="s">
        <v>890</v>
      </c>
      <c r="CH147" s="20" t="s">
        <v>784</v>
      </c>
      <c r="CI147" s="20">
        <v>256</v>
      </c>
      <c r="CJ147" s="20" t="s">
        <v>698</v>
      </c>
      <c r="CK147" s="20" t="s">
        <v>712</v>
      </c>
      <c r="CL147" s="20" t="s">
        <v>713</v>
      </c>
      <c r="CM147" s="20" t="s">
        <v>758</v>
      </c>
      <c r="CP147" s="20" t="s">
        <v>698</v>
      </c>
      <c r="DM147" s="20" t="s">
        <v>743</v>
      </c>
      <c r="DN147" s="20" t="s">
        <v>1170</v>
      </c>
      <c r="EU147" s="20" t="s">
        <v>1171</v>
      </c>
      <c r="EV147" s="20" t="s">
        <v>1172</v>
      </c>
      <c r="FK147" s="20" t="s">
        <v>728</v>
      </c>
      <c r="FL147" s="20" t="s">
        <v>728</v>
      </c>
      <c r="FM147" s="20" t="s">
        <v>962</v>
      </c>
      <c r="FN147" s="20" t="s">
        <v>1844</v>
      </c>
      <c r="FO147" s="20" t="s">
        <v>720</v>
      </c>
      <c r="FR147" s="20" t="s">
        <v>823</v>
      </c>
      <c r="FY147" s="20" t="s">
        <v>698</v>
      </c>
      <c r="GC147" s="20" t="s">
        <v>696</v>
      </c>
      <c r="GD147" s="20" t="s">
        <v>698</v>
      </c>
      <c r="GE147" s="20" t="s">
        <v>698</v>
      </c>
      <c r="GK147" s="20" t="s">
        <v>698</v>
      </c>
      <c r="GT147" s="20" t="s">
        <v>698</v>
      </c>
      <c r="GU147" s="20" t="s">
        <v>698</v>
      </c>
      <c r="HF147" s="20">
        <v>0</v>
      </c>
      <c r="HG147" s="20">
        <v>110</v>
      </c>
      <c r="HH147" s="20">
        <v>300</v>
      </c>
      <c r="HI147" s="20">
        <v>5350</v>
      </c>
      <c r="HJ147" s="20">
        <v>850</v>
      </c>
      <c r="HK147" s="20">
        <v>0</v>
      </c>
      <c r="HM147" s="20">
        <v>6610</v>
      </c>
      <c r="HN147" s="20">
        <v>0</v>
      </c>
      <c r="HO147" s="20">
        <v>0</v>
      </c>
      <c r="HP147" s="20">
        <v>0</v>
      </c>
      <c r="HQ147" s="20">
        <v>0</v>
      </c>
      <c r="HR147" s="20">
        <v>150</v>
      </c>
      <c r="HS147" s="20">
        <v>750</v>
      </c>
      <c r="HT147" s="20" t="s">
        <v>787</v>
      </c>
      <c r="HV147" s="24">
        <v>43398</v>
      </c>
      <c r="HW147" s="20" t="s">
        <v>698</v>
      </c>
      <c r="HY147" s="20" t="s">
        <v>723</v>
      </c>
      <c r="HZ147" s="20" t="s">
        <v>698</v>
      </c>
      <c r="IS147" s="20" t="s">
        <v>724</v>
      </c>
      <c r="IT147" s="20" t="s">
        <v>696</v>
      </c>
      <c r="IU147" s="20" t="s">
        <v>696</v>
      </c>
      <c r="IV147" s="20" t="s">
        <v>696</v>
      </c>
      <c r="IW147" s="20" t="s">
        <v>698</v>
      </c>
      <c r="IX147" s="20" t="s">
        <v>698</v>
      </c>
      <c r="IY147" s="20" t="s">
        <v>696</v>
      </c>
      <c r="IZ147" s="20" t="s">
        <v>696</v>
      </c>
      <c r="JA147" s="20" t="s">
        <v>696</v>
      </c>
      <c r="JB147" s="20" t="s">
        <v>698</v>
      </c>
      <c r="JC147" s="20" t="s">
        <v>698</v>
      </c>
      <c r="JD147" s="20" t="s">
        <v>725</v>
      </c>
      <c r="JE147" s="20" t="s">
        <v>726</v>
      </c>
      <c r="JR147" s="20" t="s">
        <v>698</v>
      </c>
      <c r="JS147" s="20" t="s">
        <v>696</v>
      </c>
      <c r="JV147" s="20">
        <v>2</v>
      </c>
      <c r="JW147" s="20">
        <v>0</v>
      </c>
      <c r="JX147" s="20" t="s">
        <v>1062</v>
      </c>
      <c r="JY147" s="20" t="s">
        <v>1062</v>
      </c>
      <c r="NY147" s="20" t="s">
        <v>1062</v>
      </c>
      <c r="OI147" s="20" t="s">
        <v>1845</v>
      </c>
      <c r="XL147" s="20" t="s">
        <v>1655</v>
      </c>
      <c r="XM147" s="20" t="s">
        <v>1114</v>
      </c>
      <c r="XN147" s="20" t="s">
        <v>1647</v>
      </c>
      <c r="XO147" s="20" t="s">
        <v>1648</v>
      </c>
      <c r="XQ147" s="24">
        <v>44687</v>
      </c>
      <c r="XU147" s="20" t="s">
        <v>730</v>
      </c>
      <c r="XV147" s="20" t="s">
        <v>733</v>
      </c>
      <c r="XW147" s="20" t="s">
        <v>1360</v>
      </c>
      <c r="XX147" s="20" t="s">
        <v>732</v>
      </c>
      <c r="XY147" s="20" t="s">
        <v>1846</v>
      </c>
    </row>
    <row r="148" spans="1:649" ht="13">
      <c r="A148" s="20">
        <v>957</v>
      </c>
      <c r="B148" s="21">
        <v>44652</v>
      </c>
      <c r="C148" s="20">
        <v>2022</v>
      </c>
      <c r="D148" s="20">
        <v>20220071</v>
      </c>
      <c r="E148" s="20">
        <v>36538</v>
      </c>
      <c r="F148" s="20" t="s">
        <v>885</v>
      </c>
      <c r="G148" s="20">
        <v>22442</v>
      </c>
      <c r="H148" s="20" t="s">
        <v>886</v>
      </c>
      <c r="I148" s="20" t="s">
        <v>692</v>
      </c>
      <c r="J148" s="20" t="s">
        <v>693</v>
      </c>
      <c r="K148" s="20" t="s">
        <v>694</v>
      </c>
      <c r="L148" s="20">
        <v>77002</v>
      </c>
      <c r="M148" s="22">
        <v>44622.291666666664</v>
      </c>
      <c r="N148" s="20" t="s">
        <v>695</v>
      </c>
      <c r="O148" s="20" t="s">
        <v>698</v>
      </c>
      <c r="P148" s="20">
        <v>32.152839999999998</v>
      </c>
      <c r="Q148" s="20">
        <v>-97.374691999999996</v>
      </c>
      <c r="R148" s="20" t="s">
        <v>697</v>
      </c>
      <c r="W148" s="20">
        <v>0.25</v>
      </c>
      <c r="Y148" s="20">
        <v>0.25</v>
      </c>
      <c r="Z148" s="20" t="s">
        <v>698</v>
      </c>
      <c r="AF148" s="20">
        <v>0</v>
      </c>
      <c r="AG148" s="20" t="s">
        <v>698</v>
      </c>
      <c r="AM148" s="20">
        <v>0</v>
      </c>
      <c r="AN148" s="20" t="s">
        <v>699</v>
      </c>
      <c r="AP148" s="20" t="s">
        <v>700</v>
      </c>
      <c r="AQ148" s="23">
        <v>44622.291666666664</v>
      </c>
      <c r="AR148" s="20" t="s">
        <v>701</v>
      </c>
      <c r="AS148" s="20" t="s">
        <v>702</v>
      </c>
      <c r="AT148" s="20" t="s">
        <v>703</v>
      </c>
      <c r="AU148" s="20" t="s">
        <v>696</v>
      </c>
      <c r="AW148" s="23">
        <v>44622.307638888888</v>
      </c>
      <c r="AX148" s="23">
        <v>44622.418055555558</v>
      </c>
      <c r="AZ148" s="20" t="s">
        <v>698</v>
      </c>
      <c r="BC148" s="23">
        <v>44622.291666666664</v>
      </c>
      <c r="BD148" s="23">
        <v>44622.291666666664</v>
      </c>
      <c r="BF148" s="20" t="s">
        <v>754</v>
      </c>
      <c r="BH148" s="20" t="s">
        <v>698</v>
      </c>
      <c r="BV148" s="20" t="s">
        <v>696</v>
      </c>
      <c r="BW148" s="23">
        <v>44622.309027777781</v>
      </c>
      <c r="BX148" s="20" t="s">
        <v>698</v>
      </c>
      <c r="CA148" s="20">
        <v>0</v>
      </c>
      <c r="CB148" s="20" t="s">
        <v>888</v>
      </c>
      <c r="CC148" s="20" t="s">
        <v>1842</v>
      </c>
      <c r="CD148" s="20" t="s">
        <v>694</v>
      </c>
      <c r="CE148" s="20">
        <v>76627</v>
      </c>
      <c r="CF148" s="20" t="s">
        <v>1843</v>
      </c>
      <c r="CG148" s="20" t="s">
        <v>890</v>
      </c>
      <c r="CH148" s="20" t="s">
        <v>784</v>
      </c>
      <c r="CI148" s="20">
        <v>256</v>
      </c>
      <c r="CJ148" s="20" t="s">
        <v>698</v>
      </c>
      <c r="CK148" s="20" t="s">
        <v>712</v>
      </c>
      <c r="CL148" s="20" t="s">
        <v>713</v>
      </c>
      <c r="CM148" s="20" t="s">
        <v>758</v>
      </c>
      <c r="CP148" s="20" t="s">
        <v>698</v>
      </c>
      <c r="DM148" s="20" t="s">
        <v>743</v>
      </c>
      <c r="DN148" s="20" t="s">
        <v>766</v>
      </c>
      <c r="FJ148" s="20" t="s">
        <v>1847</v>
      </c>
      <c r="FK148" s="20" t="s">
        <v>728</v>
      </c>
      <c r="FL148" s="20" t="s">
        <v>728</v>
      </c>
      <c r="FM148" s="20" t="s">
        <v>719</v>
      </c>
      <c r="FO148" s="20" t="s">
        <v>720</v>
      </c>
      <c r="FR148" s="20" t="s">
        <v>768</v>
      </c>
      <c r="FY148" s="20" t="s">
        <v>698</v>
      </c>
      <c r="GC148" s="20" t="s">
        <v>696</v>
      </c>
      <c r="GD148" s="20" t="s">
        <v>698</v>
      </c>
      <c r="GE148" s="20" t="s">
        <v>698</v>
      </c>
      <c r="GK148" s="20" t="s">
        <v>698</v>
      </c>
      <c r="GT148" s="20" t="s">
        <v>698</v>
      </c>
      <c r="GU148" s="20" t="s">
        <v>698</v>
      </c>
      <c r="HF148" s="20">
        <v>0</v>
      </c>
      <c r="HG148" s="20">
        <v>30</v>
      </c>
      <c r="HH148" s="20">
        <v>100</v>
      </c>
      <c r="HI148" s="20">
        <v>700</v>
      </c>
      <c r="HJ148" s="20">
        <v>400</v>
      </c>
      <c r="HK148" s="20">
        <v>0</v>
      </c>
      <c r="HM148" s="20">
        <v>1230</v>
      </c>
      <c r="HN148" s="20">
        <v>0</v>
      </c>
      <c r="HO148" s="20">
        <v>0</v>
      </c>
      <c r="HP148" s="20">
        <v>0</v>
      </c>
      <c r="HQ148" s="20">
        <v>0</v>
      </c>
      <c r="HR148" s="20">
        <v>445</v>
      </c>
      <c r="HS148" s="20">
        <v>750</v>
      </c>
      <c r="HT148" s="20" t="s">
        <v>787</v>
      </c>
      <c r="HV148" s="24">
        <v>43398</v>
      </c>
      <c r="HW148" s="20" t="s">
        <v>698</v>
      </c>
      <c r="HY148" s="20" t="s">
        <v>723</v>
      </c>
      <c r="HZ148" s="20" t="s">
        <v>698</v>
      </c>
      <c r="IS148" s="20" t="s">
        <v>724</v>
      </c>
      <c r="IT148" s="20" t="s">
        <v>696</v>
      </c>
      <c r="IU148" s="20" t="s">
        <v>696</v>
      </c>
      <c r="IV148" s="20" t="s">
        <v>696</v>
      </c>
      <c r="IW148" s="20" t="s">
        <v>698</v>
      </c>
      <c r="IX148" s="20" t="s">
        <v>698</v>
      </c>
      <c r="IY148" s="20" t="s">
        <v>696</v>
      </c>
      <c r="IZ148" s="20" t="s">
        <v>696</v>
      </c>
      <c r="JA148" s="20" t="s">
        <v>696</v>
      </c>
      <c r="JB148" s="20" t="s">
        <v>698</v>
      </c>
      <c r="JC148" s="20" t="s">
        <v>698</v>
      </c>
      <c r="JD148" s="20" t="s">
        <v>725</v>
      </c>
      <c r="JE148" s="20" t="s">
        <v>726</v>
      </c>
      <c r="JR148" s="20" t="s">
        <v>698</v>
      </c>
      <c r="JS148" s="20" t="s">
        <v>698</v>
      </c>
      <c r="JX148" s="20" t="s">
        <v>789</v>
      </c>
      <c r="JY148" s="20" t="s">
        <v>953</v>
      </c>
      <c r="QB148" s="20" t="s">
        <v>953</v>
      </c>
      <c r="QQ148" s="20" t="s">
        <v>1847</v>
      </c>
      <c r="RK148" s="20" t="s">
        <v>696</v>
      </c>
      <c r="RL148" s="20" t="s">
        <v>1554</v>
      </c>
      <c r="XL148" s="20" t="s">
        <v>1655</v>
      </c>
      <c r="XM148" s="20" t="s">
        <v>1114</v>
      </c>
      <c r="XN148" s="20" t="s">
        <v>1647</v>
      </c>
      <c r="XO148" s="20" t="s">
        <v>1648</v>
      </c>
      <c r="XQ148" s="24">
        <v>44652</v>
      </c>
      <c r="XU148" s="20" t="s">
        <v>730</v>
      </c>
      <c r="XV148" s="20" t="s">
        <v>733</v>
      </c>
      <c r="XW148" s="20" t="s">
        <v>1360</v>
      </c>
      <c r="XX148" s="20" t="s">
        <v>732</v>
      </c>
      <c r="XY148" s="20" t="s">
        <v>1848</v>
      </c>
    </row>
    <row r="149" spans="1:649" ht="13">
      <c r="A149" s="20">
        <v>961</v>
      </c>
      <c r="B149" s="21">
        <v>44649</v>
      </c>
      <c r="C149" s="20">
        <v>2022</v>
      </c>
      <c r="D149" s="20">
        <v>20220066</v>
      </c>
      <c r="E149" s="20">
        <v>40014</v>
      </c>
      <c r="F149" s="20" t="s">
        <v>825</v>
      </c>
      <c r="G149" s="20">
        <v>22442</v>
      </c>
      <c r="H149" s="20" t="s">
        <v>886</v>
      </c>
      <c r="I149" s="20" t="s">
        <v>692</v>
      </c>
      <c r="J149" s="20" t="s">
        <v>693</v>
      </c>
      <c r="K149" s="20" t="s">
        <v>694</v>
      </c>
      <c r="L149" s="20">
        <v>77002</v>
      </c>
      <c r="M149" s="22">
        <v>44619.572222222225</v>
      </c>
      <c r="N149" s="20" t="s">
        <v>695</v>
      </c>
      <c r="O149" s="20" t="s">
        <v>698</v>
      </c>
      <c r="P149" s="20">
        <v>31.347650000000002</v>
      </c>
      <c r="Q149" s="20">
        <v>-95.809759999999997</v>
      </c>
      <c r="R149" s="20" t="s">
        <v>697</v>
      </c>
      <c r="W149" s="20">
        <v>400</v>
      </c>
      <c r="Y149" s="20">
        <v>343</v>
      </c>
      <c r="Z149" s="20" t="s">
        <v>698</v>
      </c>
      <c r="AF149" s="20">
        <v>0</v>
      </c>
      <c r="AG149" s="20" t="s">
        <v>698</v>
      </c>
      <c r="AM149" s="20">
        <v>0</v>
      </c>
      <c r="AN149" s="20" t="s">
        <v>775</v>
      </c>
      <c r="AQ149" s="23">
        <v>44619.663194444445</v>
      </c>
      <c r="AR149" s="20" t="s">
        <v>776</v>
      </c>
      <c r="AS149" s="20" t="s">
        <v>702</v>
      </c>
      <c r="AT149" s="20" t="s">
        <v>703</v>
      </c>
      <c r="AU149" s="20" t="s">
        <v>696</v>
      </c>
      <c r="AW149" s="23">
        <v>44619.584722222222</v>
      </c>
      <c r="AX149" s="23">
        <v>44622.609027777777</v>
      </c>
      <c r="AZ149" s="20" t="s">
        <v>696</v>
      </c>
      <c r="BA149" s="20" t="s">
        <v>1239</v>
      </c>
      <c r="BB149" s="23">
        <v>44619.726388888892</v>
      </c>
      <c r="BC149" s="23">
        <v>44619.663194444445</v>
      </c>
      <c r="BD149" s="23">
        <v>44619.663194444445</v>
      </c>
      <c r="BE149" s="23">
        <v>44619.710416666669</v>
      </c>
      <c r="BF149" s="20">
        <v>1329845</v>
      </c>
      <c r="BG149" s="20">
        <v>1329971</v>
      </c>
      <c r="BH149" s="20" t="s">
        <v>698</v>
      </c>
      <c r="BN149" s="20" t="s">
        <v>777</v>
      </c>
      <c r="BP149" s="23">
        <v>44619.686805555553</v>
      </c>
      <c r="BQ149" s="20" t="s">
        <v>779</v>
      </c>
      <c r="BR149" s="20" t="s">
        <v>777</v>
      </c>
      <c r="BT149" s="23">
        <v>44619.600694444445</v>
      </c>
      <c r="BU149" s="20" t="s">
        <v>778</v>
      </c>
      <c r="BV149" s="20" t="s">
        <v>696</v>
      </c>
      <c r="BW149" s="23">
        <v>44619.574999999997</v>
      </c>
      <c r="BX149" s="20" t="s">
        <v>696</v>
      </c>
      <c r="BY149" s="23">
        <v>44619.666666666664</v>
      </c>
      <c r="BZ149" s="23">
        <v>44619.75</v>
      </c>
      <c r="CA149" s="20">
        <v>0</v>
      </c>
      <c r="CB149" s="20" t="s">
        <v>1849</v>
      </c>
      <c r="CC149" s="20" t="s">
        <v>1850</v>
      </c>
      <c r="CD149" s="20" t="s">
        <v>694</v>
      </c>
      <c r="CE149" s="20">
        <v>75833</v>
      </c>
      <c r="CF149" s="20" t="s">
        <v>1851</v>
      </c>
      <c r="CG149" s="20" t="s">
        <v>1852</v>
      </c>
      <c r="CH149" s="20" t="s">
        <v>710</v>
      </c>
      <c r="CI149" s="20" t="s">
        <v>1853</v>
      </c>
      <c r="CJ149" s="20" t="s">
        <v>698</v>
      </c>
      <c r="CK149" s="20" t="s">
        <v>785</v>
      </c>
      <c r="CL149" s="20" t="s">
        <v>741</v>
      </c>
      <c r="CM149" s="20" t="s">
        <v>742</v>
      </c>
      <c r="CO149" s="20">
        <v>38</v>
      </c>
      <c r="CP149" s="20" t="s">
        <v>698</v>
      </c>
      <c r="DM149" s="20" t="s">
        <v>743</v>
      </c>
      <c r="DN149" s="20" t="s">
        <v>744</v>
      </c>
      <c r="DO149" s="20" t="s">
        <v>745</v>
      </c>
      <c r="DP149" s="20" t="s">
        <v>698</v>
      </c>
      <c r="DQ149" s="20">
        <v>26</v>
      </c>
      <c r="DR149" s="20">
        <v>0.312</v>
      </c>
      <c r="DS149" s="20">
        <v>52000</v>
      </c>
      <c r="DT149" s="20" t="s">
        <v>1103</v>
      </c>
      <c r="DU149" s="20" t="s">
        <v>1783</v>
      </c>
      <c r="DW149" s="20" t="s">
        <v>1631</v>
      </c>
      <c r="DX149" s="20" t="s">
        <v>805</v>
      </c>
      <c r="DZ149" s="20" t="s">
        <v>698</v>
      </c>
      <c r="FK149" s="20">
        <v>1951</v>
      </c>
      <c r="FL149" s="20">
        <v>1951</v>
      </c>
      <c r="FM149" s="20" t="s">
        <v>719</v>
      </c>
      <c r="FO149" s="20" t="s">
        <v>720</v>
      </c>
      <c r="FR149" s="20" t="s">
        <v>766</v>
      </c>
      <c r="FS149" s="20" t="s">
        <v>1854</v>
      </c>
      <c r="FY149" s="20" t="s">
        <v>698</v>
      </c>
      <c r="GC149" s="20" t="s">
        <v>696</v>
      </c>
      <c r="GD149" s="20" t="s">
        <v>698</v>
      </c>
      <c r="GE149" s="20" t="s">
        <v>696</v>
      </c>
      <c r="GF149" s="20" t="s">
        <v>696</v>
      </c>
      <c r="GH149" s="20" t="s">
        <v>696</v>
      </c>
      <c r="GI149" s="20" t="s">
        <v>696</v>
      </c>
      <c r="GK149" s="20" t="s">
        <v>696</v>
      </c>
      <c r="GM149" s="20" t="s">
        <v>696</v>
      </c>
      <c r="GR149" s="20">
        <v>350</v>
      </c>
      <c r="GS149" s="20" t="s">
        <v>1855</v>
      </c>
      <c r="GT149" s="20" t="s">
        <v>698</v>
      </c>
      <c r="GU149" s="20" t="s">
        <v>698</v>
      </c>
      <c r="HF149" s="20">
        <v>53100</v>
      </c>
      <c r="HG149" s="20">
        <v>5500</v>
      </c>
      <c r="HH149" s="20">
        <v>671406</v>
      </c>
      <c r="HI149" s="20">
        <v>684800</v>
      </c>
      <c r="HJ149" s="20">
        <v>615200</v>
      </c>
      <c r="HK149" s="20">
        <v>0</v>
      </c>
      <c r="HM149" s="20">
        <v>2030006</v>
      </c>
      <c r="HN149" s="20">
        <v>0</v>
      </c>
      <c r="HO149" s="20">
        <v>0</v>
      </c>
      <c r="HP149" s="20">
        <v>0</v>
      </c>
      <c r="HQ149" s="20">
        <v>0</v>
      </c>
      <c r="HR149" s="20">
        <v>780</v>
      </c>
      <c r="HS149" s="20">
        <v>799</v>
      </c>
      <c r="HT149" s="20" t="s">
        <v>787</v>
      </c>
      <c r="HV149" s="24">
        <v>38668</v>
      </c>
      <c r="HW149" s="20" t="s">
        <v>698</v>
      </c>
      <c r="HY149" s="20" t="s">
        <v>723</v>
      </c>
      <c r="HZ149" s="20" t="s">
        <v>698</v>
      </c>
      <c r="IC149" s="20">
        <v>20000</v>
      </c>
      <c r="ID149" s="20" t="s">
        <v>696</v>
      </c>
      <c r="IL149" s="20" t="s">
        <v>698</v>
      </c>
      <c r="IS149" s="20" t="s">
        <v>724</v>
      </c>
      <c r="IT149" s="20" t="s">
        <v>696</v>
      </c>
      <c r="IU149" s="20" t="s">
        <v>696</v>
      </c>
      <c r="IV149" s="20" t="s">
        <v>696</v>
      </c>
      <c r="IW149" s="20" t="s">
        <v>698</v>
      </c>
      <c r="IX149" s="20" t="s">
        <v>698</v>
      </c>
      <c r="IY149" s="20" t="s">
        <v>696</v>
      </c>
      <c r="IZ149" s="20" t="s">
        <v>696</v>
      </c>
      <c r="JA149" s="20" t="s">
        <v>696</v>
      </c>
      <c r="JB149" s="20" t="s">
        <v>698</v>
      </c>
      <c r="JC149" s="20" t="s">
        <v>698</v>
      </c>
      <c r="JD149" s="20" t="s">
        <v>859</v>
      </c>
      <c r="JF149" s="20" t="s">
        <v>696</v>
      </c>
      <c r="JI149" s="20" t="s">
        <v>696</v>
      </c>
      <c r="JJ149" s="20" t="s">
        <v>696</v>
      </c>
      <c r="JR149" s="20" t="s">
        <v>698</v>
      </c>
      <c r="JS149" s="20" t="s">
        <v>698</v>
      </c>
      <c r="JX149" s="20" t="s">
        <v>833</v>
      </c>
      <c r="JY149" s="20" t="s">
        <v>860</v>
      </c>
      <c r="JZ149" s="20" t="s">
        <v>860</v>
      </c>
      <c r="KA149" s="20" t="s">
        <v>835</v>
      </c>
      <c r="KC149" s="20" t="s">
        <v>696</v>
      </c>
      <c r="KL149" s="20" t="s">
        <v>696</v>
      </c>
      <c r="KM149" s="20" t="s">
        <v>696</v>
      </c>
      <c r="KP149" s="20" t="s">
        <v>696</v>
      </c>
      <c r="KQ149" s="20" t="s">
        <v>696</v>
      </c>
      <c r="KR149" s="20">
        <v>1952</v>
      </c>
      <c r="KS149" s="20" t="s">
        <v>696</v>
      </c>
      <c r="KT149" s="20" t="s">
        <v>696</v>
      </c>
      <c r="KU149" s="20" t="s">
        <v>696</v>
      </c>
      <c r="KV149" s="20" t="s">
        <v>696</v>
      </c>
      <c r="KX149" s="20">
        <v>2024</v>
      </c>
      <c r="KY149" s="20">
        <v>2020</v>
      </c>
      <c r="LC149" s="20" t="s">
        <v>696</v>
      </c>
      <c r="SC149" s="20" t="s">
        <v>696</v>
      </c>
      <c r="SD149" s="20" t="s">
        <v>696</v>
      </c>
      <c r="SF149" s="20" t="s">
        <v>696</v>
      </c>
      <c r="SG149" s="20" t="s">
        <v>696</v>
      </c>
      <c r="SK149" s="20">
        <v>2020</v>
      </c>
      <c r="SL149" s="20" t="s">
        <v>863</v>
      </c>
      <c r="SM149" s="20" t="s">
        <v>864</v>
      </c>
      <c r="SO149" s="20" t="s">
        <v>865</v>
      </c>
      <c r="SQ149" s="20">
        <v>2015</v>
      </c>
      <c r="SR149" s="20" t="s">
        <v>863</v>
      </c>
      <c r="SS149" s="20" t="s">
        <v>864</v>
      </c>
      <c r="SU149" s="20" t="s">
        <v>865</v>
      </c>
      <c r="TE149" s="20">
        <v>2020</v>
      </c>
      <c r="TF149" s="20" t="s">
        <v>863</v>
      </c>
      <c r="TG149" s="20" t="s">
        <v>768</v>
      </c>
      <c r="TK149" s="20">
        <v>2015</v>
      </c>
      <c r="TL149" s="20" t="s">
        <v>863</v>
      </c>
      <c r="TM149" s="20" t="s">
        <v>768</v>
      </c>
      <c r="TQ149" s="20">
        <v>2020</v>
      </c>
      <c r="TR149" s="20" t="s">
        <v>863</v>
      </c>
      <c r="TS149" s="20" t="s">
        <v>865</v>
      </c>
      <c r="TU149" s="20" t="s">
        <v>866</v>
      </c>
      <c r="TV149" s="20">
        <v>2015</v>
      </c>
      <c r="TW149" s="20" t="s">
        <v>863</v>
      </c>
      <c r="TX149" s="20" t="s">
        <v>865</v>
      </c>
      <c r="TZ149" s="20" t="s">
        <v>866</v>
      </c>
      <c r="UO149" s="20" t="s">
        <v>696</v>
      </c>
      <c r="UP149" s="20">
        <v>2005</v>
      </c>
      <c r="UQ149" s="20">
        <v>1000</v>
      </c>
      <c r="UR149" s="20" t="s">
        <v>698</v>
      </c>
      <c r="UZ149" s="20" t="s">
        <v>698</v>
      </c>
      <c r="XL149" s="20" t="s">
        <v>730</v>
      </c>
      <c r="XM149" s="20" t="s">
        <v>1360</v>
      </c>
      <c r="XN149" s="20" t="s">
        <v>732</v>
      </c>
      <c r="XO149" s="20" t="s">
        <v>733</v>
      </c>
      <c r="XQ149" s="24">
        <v>45554</v>
      </c>
      <c r="XU149" s="20" t="s">
        <v>730</v>
      </c>
      <c r="XV149" s="20" t="s">
        <v>733</v>
      </c>
      <c r="XW149" s="20" t="s">
        <v>1360</v>
      </c>
      <c r="XX149" s="20" t="s">
        <v>732</v>
      </c>
      <c r="XY149" s="20" t="s">
        <v>1856</v>
      </c>
    </row>
    <row r="150" spans="1:649" ht="13">
      <c r="A150" s="20">
        <v>965</v>
      </c>
      <c r="B150" s="21">
        <v>44642</v>
      </c>
      <c r="C150" s="20">
        <v>2022</v>
      </c>
      <c r="D150" s="20">
        <v>20220061</v>
      </c>
      <c r="E150" s="20">
        <v>37202</v>
      </c>
      <c r="F150" s="20" t="s">
        <v>825</v>
      </c>
      <c r="G150" s="20">
        <v>39147</v>
      </c>
      <c r="H150" s="20" t="s">
        <v>1574</v>
      </c>
      <c r="I150" s="20" t="s">
        <v>692</v>
      </c>
      <c r="J150" s="20" t="s">
        <v>693</v>
      </c>
      <c r="K150" s="20" t="s">
        <v>694</v>
      </c>
      <c r="L150" s="20">
        <v>77002</v>
      </c>
      <c r="M150" s="22">
        <v>44612.638194444444</v>
      </c>
      <c r="N150" s="20" t="s">
        <v>695</v>
      </c>
      <c r="O150" s="20" t="s">
        <v>698</v>
      </c>
      <c r="P150" s="20">
        <v>35.226875100000001</v>
      </c>
      <c r="Q150" s="20">
        <v>-97.831720399999995</v>
      </c>
      <c r="R150" s="20" t="s">
        <v>697</v>
      </c>
      <c r="W150" s="20">
        <v>1900</v>
      </c>
      <c r="Y150" s="20">
        <v>1900</v>
      </c>
      <c r="Z150" s="20" t="s">
        <v>698</v>
      </c>
      <c r="AF150" s="20">
        <v>0</v>
      </c>
      <c r="AG150" s="20" t="s">
        <v>698</v>
      </c>
      <c r="AM150" s="20">
        <v>0</v>
      </c>
      <c r="AN150" s="20" t="s">
        <v>775</v>
      </c>
      <c r="AQ150" s="23">
        <v>44612.638194444444</v>
      </c>
      <c r="AR150" s="20" t="s">
        <v>776</v>
      </c>
      <c r="AS150" s="20" t="s">
        <v>702</v>
      </c>
      <c r="AT150" s="20" t="s">
        <v>703</v>
      </c>
      <c r="AU150" s="20" t="s">
        <v>696</v>
      </c>
      <c r="AW150" s="23">
        <v>44612.665277777778</v>
      </c>
      <c r="AX150" s="23">
        <v>44614.791666666664</v>
      </c>
      <c r="AZ150" s="20" t="s">
        <v>696</v>
      </c>
      <c r="BA150" s="20" t="s">
        <v>753</v>
      </c>
      <c r="BB150" s="23">
        <v>44612.666666666664</v>
      </c>
      <c r="BC150" s="23">
        <v>44612.663194444445</v>
      </c>
      <c r="BD150" s="23">
        <v>44612.663194444445</v>
      </c>
      <c r="BE150" s="23">
        <v>44612.694444444445</v>
      </c>
      <c r="BF150" s="20">
        <v>1329326</v>
      </c>
      <c r="BG150" s="20">
        <v>1329476</v>
      </c>
      <c r="BH150" s="20" t="s">
        <v>698</v>
      </c>
      <c r="BN150" s="20" t="s">
        <v>777</v>
      </c>
      <c r="BP150" s="23">
        <v>44612.665277777778</v>
      </c>
      <c r="BQ150" s="20" t="s">
        <v>779</v>
      </c>
      <c r="BR150" s="20" t="s">
        <v>777</v>
      </c>
      <c r="BT150" s="23">
        <v>44612.665277777778</v>
      </c>
      <c r="BU150" s="20" t="s">
        <v>779</v>
      </c>
      <c r="BV150" s="20" t="s">
        <v>696</v>
      </c>
      <c r="BW150" s="23">
        <v>44612.638888888891</v>
      </c>
      <c r="BX150" s="20" t="s">
        <v>696</v>
      </c>
      <c r="BY150" s="23">
        <v>44612.673611111109</v>
      </c>
      <c r="BZ150" s="23">
        <v>44612.770833333336</v>
      </c>
      <c r="CA150" s="20">
        <v>0</v>
      </c>
      <c r="CB150" s="20" t="s">
        <v>1829</v>
      </c>
      <c r="CC150" s="20" t="s">
        <v>1829</v>
      </c>
      <c r="CD150" s="20" t="s">
        <v>739</v>
      </c>
      <c r="CE150" s="20">
        <v>73089</v>
      </c>
      <c r="CF150" s="20" t="s">
        <v>1831</v>
      </c>
      <c r="CG150" s="20" t="s">
        <v>812</v>
      </c>
      <c r="CH150" s="20" t="s">
        <v>784</v>
      </c>
      <c r="CI150" s="20" t="s">
        <v>1857</v>
      </c>
      <c r="CJ150" s="20" t="s">
        <v>698</v>
      </c>
      <c r="CK150" s="20" t="s">
        <v>891</v>
      </c>
      <c r="CL150" s="20" t="s">
        <v>741</v>
      </c>
      <c r="CM150" s="20" t="s">
        <v>742</v>
      </c>
      <c r="CO150" s="20">
        <v>130</v>
      </c>
      <c r="CP150" s="20" t="s">
        <v>698</v>
      </c>
      <c r="DM150" s="20" t="s">
        <v>715</v>
      </c>
      <c r="DN150" s="20" t="s">
        <v>744</v>
      </c>
      <c r="DO150" s="20" t="s">
        <v>745</v>
      </c>
      <c r="DP150" s="20" t="s">
        <v>698</v>
      </c>
      <c r="DQ150" s="20">
        <v>12.75</v>
      </c>
      <c r="DR150" s="20">
        <v>0.25</v>
      </c>
      <c r="DS150" s="20">
        <v>52000</v>
      </c>
      <c r="DT150" s="20" t="s">
        <v>1762</v>
      </c>
      <c r="DU150" s="20" t="s">
        <v>747</v>
      </c>
      <c r="DW150" s="20" t="s">
        <v>1832</v>
      </c>
      <c r="DX150" s="20" t="s">
        <v>748</v>
      </c>
      <c r="DZ150" s="20" t="s">
        <v>698</v>
      </c>
      <c r="FK150" s="20">
        <v>2018</v>
      </c>
      <c r="FL150" s="20">
        <v>2017</v>
      </c>
      <c r="FM150" s="20" t="s">
        <v>719</v>
      </c>
      <c r="FO150" s="20" t="s">
        <v>720</v>
      </c>
      <c r="FR150" s="20" t="s">
        <v>749</v>
      </c>
      <c r="FY150" s="20" t="s">
        <v>696</v>
      </c>
      <c r="FZ150" s="20" t="s">
        <v>696</v>
      </c>
      <c r="GC150" s="20" t="s">
        <v>696</v>
      </c>
      <c r="GD150" s="20" t="s">
        <v>696</v>
      </c>
      <c r="GE150" s="20" t="s">
        <v>696</v>
      </c>
      <c r="GF150" s="20" t="s">
        <v>696</v>
      </c>
      <c r="GH150" s="20" t="s">
        <v>696</v>
      </c>
      <c r="GK150" s="20" t="s">
        <v>696</v>
      </c>
      <c r="GM150" s="20" t="s">
        <v>696</v>
      </c>
      <c r="GR150" s="20">
        <v>1575</v>
      </c>
      <c r="GT150" s="20" t="s">
        <v>698</v>
      </c>
      <c r="GU150" s="20" t="s">
        <v>698</v>
      </c>
      <c r="HF150" s="20">
        <v>25000</v>
      </c>
      <c r="HG150" s="20">
        <v>27300</v>
      </c>
      <c r="HH150" s="20">
        <v>60000</v>
      </c>
      <c r="HI150" s="20">
        <v>62500</v>
      </c>
      <c r="HJ150" s="20">
        <v>400000</v>
      </c>
      <c r="HK150" s="20">
        <v>0</v>
      </c>
      <c r="HM150" s="20">
        <v>574800</v>
      </c>
      <c r="HN150" s="20">
        <v>0</v>
      </c>
      <c r="HO150" s="20">
        <v>0</v>
      </c>
      <c r="HP150" s="20">
        <v>0</v>
      </c>
      <c r="HQ150" s="20">
        <v>0</v>
      </c>
      <c r="HR150" s="20">
        <v>800</v>
      </c>
      <c r="HS150" s="20">
        <v>1440</v>
      </c>
      <c r="HT150" s="20" t="s">
        <v>787</v>
      </c>
      <c r="HV150" s="24">
        <v>43146</v>
      </c>
      <c r="HW150" s="20" t="s">
        <v>698</v>
      </c>
      <c r="HY150" s="20" t="s">
        <v>723</v>
      </c>
      <c r="HZ150" s="20" t="s">
        <v>698</v>
      </c>
      <c r="IC150" s="20">
        <v>31600</v>
      </c>
      <c r="ID150" s="20" t="s">
        <v>696</v>
      </c>
      <c r="IL150" s="20" t="s">
        <v>698</v>
      </c>
      <c r="IS150" s="20" t="s">
        <v>724</v>
      </c>
      <c r="IT150" s="20" t="s">
        <v>696</v>
      </c>
      <c r="IU150" s="20" t="s">
        <v>696</v>
      </c>
      <c r="IV150" s="20" t="s">
        <v>696</v>
      </c>
      <c r="IW150" s="20" t="s">
        <v>698</v>
      </c>
      <c r="IX150" s="20" t="s">
        <v>698</v>
      </c>
      <c r="IY150" s="20" t="s">
        <v>698</v>
      </c>
      <c r="JD150" s="20" t="s">
        <v>725</v>
      </c>
      <c r="JE150" s="20" t="s">
        <v>726</v>
      </c>
      <c r="JR150" s="20" t="s">
        <v>698</v>
      </c>
      <c r="JS150" s="20" t="s">
        <v>698</v>
      </c>
      <c r="JX150" s="20" t="s">
        <v>833</v>
      </c>
      <c r="JY150" s="20" t="s">
        <v>834</v>
      </c>
      <c r="JZ150" s="20" t="s">
        <v>834</v>
      </c>
      <c r="LD150" s="20" t="s">
        <v>835</v>
      </c>
      <c r="LH150" s="20" t="s">
        <v>696</v>
      </c>
      <c r="LL150" s="20" t="s">
        <v>696</v>
      </c>
      <c r="LP150" s="20" t="s">
        <v>696</v>
      </c>
      <c r="LU150" s="20" t="s">
        <v>698</v>
      </c>
      <c r="LV150" s="20" t="s">
        <v>698</v>
      </c>
      <c r="LW150" s="20" t="s">
        <v>696</v>
      </c>
      <c r="LX150" s="20" t="s">
        <v>696</v>
      </c>
      <c r="SC150" s="20" t="s">
        <v>698</v>
      </c>
      <c r="UO150" s="20" t="s">
        <v>698</v>
      </c>
      <c r="UR150" s="20" t="s">
        <v>698</v>
      </c>
      <c r="UZ150" s="20" t="s">
        <v>698</v>
      </c>
      <c r="VU150" s="20" t="s">
        <v>696</v>
      </c>
      <c r="XL150" s="20" t="s">
        <v>1655</v>
      </c>
      <c r="XM150" s="20" t="s">
        <v>1626</v>
      </c>
      <c r="XN150" s="20" t="s">
        <v>1647</v>
      </c>
      <c r="XO150" s="20" t="s">
        <v>1648</v>
      </c>
      <c r="XQ150" s="24">
        <v>44839</v>
      </c>
      <c r="XU150" s="20" t="s">
        <v>730</v>
      </c>
      <c r="XV150" s="20" t="s">
        <v>733</v>
      </c>
      <c r="XW150" s="20" t="s">
        <v>1360</v>
      </c>
      <c r="XX150" s="20" t="s">
        <v>732</v>
      </c>
      <c r="XY150" s="20" t="s">
        <v>1858</v>
      </c>
    </row>
    <row r="151" spans="1:649" ht="13">
      <c r="A151" s="20">
        <v>968</v>
      </c>
      <c r="B151" s="21">
        <v>44632</v>
      </c>
      <c r="C151" s="20">
        <v>2022</v>
      </c>
      <c r="D151" s="20">
        <v>20220058</v>
      </c>
      <c r="E151" s="20">
        <v>37678</v>
      </c>
      <c r="F151" s="20" t="s">
        <v>825</v>
      </c>
      <c r="G151" s="20">
        <v>31476</v>
      </c>
      <c r="H151" s="20" t="s">
        <v>1859</v>
      </c>
      <c r="I151" s="20" t="s">
        <v>692</v>
      </c>
      <c r="J151" s="20" t="s">
        <v>693</v>
      </c>
      <c r="K151" s="20" t="s">
        <v>694</v>
      </c>
      <c r="L151" s="20">
        <v>77002</v>
      </c>
      <c r="M151" s="22">
        <v>44604.248611111114</v>
      </c>
      <c r="N151" s="20" t="s">
        <v>695</v>
      </c>
      <c r="O151" s="20" t="s">
        <v>698</v>
      </c>
      <c r="P151" s="20">
        <v>36.011400000000002</v>
      </c>
      <c r="Q151" s="20">
        <v>-96.747</v>
      </c>
      <c r="R151" s="20" t="s">
        <v>697</v>
      </c>
      <c r="W151" s="20">
        <v>280</v>
      </c>
      <c r="Y151" s="20">
        <v>280</v>
      </c>
      <c r="Z151" s="20" t="s">
        <v>698</v>
      </c>
      <c r="AF151" s="20">
        <v>0</v>
      </c>
      <c r="AG151" s="20" t="s">
        <v>698</v>
      </c>
      <c r="AM151" s="20">
        <v>0</v>
      </c>
      <c r="AN151" s="20" t="s">
        <v>699</v>
      </c>
      <c r="AP151" s="20" t="s">
        <v>700</v>
      </c>
      <c r="AQ151" s="23">
        <v>44604.239583333336</v>
      </c>
      <c r="AR151" s="20" t="s">
        <v>907</v>
      </c>
      <c r="AS151" s="20" t="s">
        <v>702</v>
      </c>
      <c r="AT151" s="20" t="s">
        <v>703</v>
      </c>
      <c r="AU151" s="20" t="s">
        <v>698</v>
      </c>
      <c r="AV151" s="20" t="s">
        <v>1860</v>
      </c>
      <c r="AZ151" s="20" t="s">
        <v>696</v>
      </c>
      <c r="BA151" s="20" t="s">
        <v>753</v>
      </c>
      <c r="BB151" s="23">
        <v>44604.28125</v>
      </c>
      <c r="BC151" s="23">
        <v>44604.239583333336</v>
      </c>
      <c r="BD151" s="23">
        <v>44604.248611111114</v>
      </c>
      <c r="BE151" s="23">
        <v>44604.28125</v>
      </c>
      <c r="BF151" s="20">
        <v>1328756</v>
      </c>
      <c r="BG151" s="20">
        <v>1328848</v>
      </c>
      <c r="BH151" s="20" t="s">
        <v>698</v>
      </c>
      <c r="BV151" s="20" t="s">
        <v>696</v>
      </c>
      <c r="BW151" s="23">
        <v>44604.25</v>
      </c>
      <c r="BX151" s="20" t="s">
        <v>698</v>
      </c>
      <c r="CA151" s="20">
        <v>0</v>
      </c>
      <c r="CB151" s="20" t="s">
        <v>1861</v>
      </c>
      <c r="CC151" s="20" t="s">
        <v>1862</v>
      </c>
      <c r="CD151" s="20" t="s">
        <v>739</v>
      </c>
      <c r="CE151" s="20">
        <v>74023</v>
      </c>
      <c r="CF151" s="20" t="s">
        <v>1675</v>
      </c>
      <c r="CG151" s="20" t="s">
        <v>740</v>
      </c>
      <c r="CH151" s="20" t="s">
        <v>710</v>
      </c>
      <c r="CI151" s="20" t="s">
        <v>711</v>
      </c>
      <c r="CJ151" s="20" t="s">
        <v>698</v>
      </c>
      <c r="CK151" s="20" t="s">
        <v>712</v>
      </c>
      <c r="CL151" s="20" t="s">
        <v>910</v>
      </c>
      <c r="CP151" s="20" t="s">
        <v>698</v>
      </c>
      <c r="DM151" s="20" t="s">
        <v>743</v>
      </c>
      <c r="DN151" s="20" t="s">
        <v>911</v>
      </c>
      <c r="EW151" s="20" t="s">
        <v>1156</v>
      </c>
      <c r="EY151" s="20" t="s">
        <v>913</v>
      </c>
      <c r="FD151" s="20">
        <v>43.5</v>
      </c>
      <c r="FE151" s="20" t="s">
        <v>698</v>
      </c>
      <c r="FF151" s="20">
        <v>2017</v>
      </c>
      <c r="FH151" s="20">
        <v>2022</v>
      </c>
      <c r="FK151" s="20">
        <v>2008</v>
      </c>
      <c r="FL151" s="20">
        <v>2008</v>
      </c>
      <c r="FM151" s="20" t="s">
        <v>962</v>
      </c>
      <c r="FN151" s="20" t="s">
        <v>1766</v>
      </c>
      <c r="FO151" s="20" t="s">
        <v>720</v>
      </c>
      <c r="FR151" s="20" t="s">
        <v>721</v>
      </c>
      <c r="FY151" s="20" t="s">
        <v>698</v>
      </c>
      <c r="GC151" s="20" t="s">
        <v>696</v>
      </c>
      <c r="GD151" s="20" t="s">
        <v>698</v>
      </c>
      <c r="GE151" s="20" t="s">
        <v>698</v>
      </c>
      <c r="GK151" s="20" t="s">
        <v>698</v>
      </c>
      <c r="GT151" s="20" t="s">
        <v>698</v>
      </c>
      <c r="GU151" s="20" t="s">
        <v>698</v>
      </c>
      <c r="HF151" s="20">
        <v>0</v>
      </c>
      <c r="HG151" s="20">
        <v>880</v>
      </c>
      <c r="HH151" s="20">
        <v>300000</v>
      </c>
      <c r="HI151" s="20">
        <v>65000</v>
      </c>
      <c r="HJ151" s="20">
        <v>35000</v>
      </c>
      <c r="HK151" s="20">
        <v>0</v>
      </c>
      <c r="HM151" s="20">
        <v>400880</v>
      </c>
      <c r="HN151" s="20">
        <v>0</v>
      </c>
      <c r="HO151" s="20">
        <v>0</v>
      </c>
      <c r="HP151" s="20">
        <v>0</v>
      </c>
      <c r="HQ151" s="20">
        <v>0</v>
      </c>
      <c r="HR151" s="20">
        <v>15</v>
      </c>
      <c r="HZ151" s="20" t="s">
        <v>698</v>
      </c>
      <c r="IS151" s="20" t="s">
        <v>724</v>
      </c>
      <c r="IT151" s="20" t="s">
        <v>696</v>
      </c>
      <c r="IU151" s="20" t="s">
        <v>696</v>
      </c>
      <c r="IV151" s="20" t="s">
        <v>696</v>
      </c>
      <c r="IW151" s="20" t="s">
        <v>698</v>
      </c>
      <c r="IX151" s="20" t="s">
        <v>696</v>
      </c>
      <c r="IY151" s="20" t="s">
        <v>696</v>
      </c>
      <c r="IZ151" s="20" t="s">
        <v>696</v>
      </c>
      <c r="JA151" s="20" t="s">
        <v>696</v>
      </c>
      <c r="JB151" s="20" t="s">
        <v>698</v>
      </c>
      <c r="JC151" s="20" t="s">
        <v>698</v>
      </c>
      <c r="JD151" s="20" t="s">
        <v>725</v>
      </c>
      <c r="JE151" s="20" t="s">
        <v>726</v>
      </c>
      <c r="JR151" s="20" t="s">
        <v>698</v>
      </c>
      <c r="JS151" s="20" t="s">
        <v>698</v>
      </c>
      <c r="JX151" s="20" t="s">
        <v>789</v>
      </c>
      <c r="JY151" s="20" t="s">
        <v>914</v>
      </c>
      <c r="QB151" s="20" t="s">
        <v>914</v>
      </c>
      <c r="QS151" s="20" t="s">
        <v>1017</v>
      </c>
      <c r="RK151" s="20" t="s">
        <v>696</v>
      </c>
      <c r="RL151" s="20" t="s">
        <v>1863</v>
      </c>
      <c r="XL151" s="20" t="s">
        <v>1812</v>
      </c>
      <c r="XM151" s="20" t="s">
        <v>1813</v>
      </c>
      <c r="XN151" s="20" t="s">
        <v>1814</v>
      </c>
      <c r="XO151" s="20">
        <v>7139894339</v>
      </c>
      <c r="XQ151" s="24">
        <v>44960</v>
      </c>
      <c r="XU151" s="20" t="s">
        <v>730</v>
      </c>
      <c r="XV151" s="20" t="s">
        <v>733</v>
      </c>
      <c r="XW151" s="20" t="s">
        <v>1360</v>
      </c>
      <c r="XX151" s="20" t="s">
        <v>732</v>
      </c>
      <c r="XY151" s="20" t="s">
        <v>1864</v>
      </c>
    </row>
    <row r="152" spans="1:649" ht="13">
      <c r="A152" s="20">
        <v>969</v>
      </c>
      <c r="B152" s="21">
        <v>44631</v>
      </c>
      <c r="C152" s="20">
        <v>2022</v>
      </c>
      <c r="D152" s="20">
        <v>20220056</v>
      </c>
      <c r="E152" s="20">
        <v>36774</v>
      </c>
      <c r="F152" s="20" t="s">
        <v>825</v>
      </c>
      <c r="G152" s="20">
        <v>18718</v>
      </c>
      <c r="H152" s="20" t="s">
        <v>918</v>
      </c>
      <c r="I152" s="20" t="s">
        <v>692</v>
      </c>
      <c r="J152" s="20" t="s">
        <v>693</v>
      </c>
      <c r="K152" s="20" t="s">
        <v>694</v>
      </c>
      <c r="L152" s="20">
        <v>77002</v>
      </c>
      <c r="M152" s="22">
        <v>44603.791666666664</v>
      </c>
      <c r="N152" s="20" t="s">
        <v>843</v>
      </c>
      <c r="O152" s="20" t="s">
        <v>698</v>
      </c>
      <c r="P152" s="20">
        <v>40.345151999999999</v>
      </c>
      <c r="Q152" s="20">
        <v>-77.865910999999997</v>
      </c>
      <c r="R152" s="20" t="s">
        <v>773</v>
      </c>
      <c r="S152" s="20" t="s">
        <v>1700</v>
      </c>
      <c r="T152" s="20" t="s">
        <v>1865</v>
      </c>
      <c r="W152" s="20">
        <v>13.8</v>
      </c>
      <c r="X152" s="20">
        <v>0</v>
      </c>
      <c r="Y152" s="20">
        <v>0</v>
      </c>
      <c r="Z152" s="20" t="s">
        <v>698</v>
      </c>
      <c r="AF152" s="20">
        <v>0</v>
      </c>
      <c r="AG152" s="20" t="s">
        <v>698</v>
      </c>
      <c r="AM152" s="20">
        <v>0</v>
      </c>
      <c r="AN152" s="20" t="s">
        <v>775</v>
      </c>
      <c r="AQ152" s="23">
        <v>44603.724999999999</v>
      </c>
      <c r="AR152" s="20" t="s">
        <v>776</v>
      </c>
      <c r="AS152" s="20" t="s">
        <v>702</v>
      </c>
      <c r="AT152" s="20" t="s">
        <v>703</v>
      </c>
      <c r="AU152" s="20" t="s">
        <v>696</v>
      </c>
      <c r="AW152" s="23">
        <v>44603.594444444447</v>
      </c>
      <c r="AX152" s="23">
        <v>44605.563888888886</v>
      </c>
      <c r="AZ152" s="20" t="s">
        <v>696</v>
      </c>
      <c r="BA152" s="20" t="s">
        <v>753</v>
      </c>
      <c r="BB152" s="23">
        <v>44603.791666666664</v>
      </c>
      <c r="BC152" s="23">
        <v>44603.791666666664</v>
      </c>
      <c r="BD152" s="23">
        <v>44603.791666666664</v>
      </c>
      <c r="BE152" s="23">
        <v>44603.819444444445</v>
      </c>
      <c r="BF152" s="20">
        <v>1328740</v>
      </c>
      <c r="BG152" s="20">
        <v>1328829</v>
      </c>
      <c r="BH152" s="20" t="s">
        <v>698</v>
      </c>
      <c r="BN152" s="20" t="s">
        <v>777</v>
      </c>
      <c r="BP152" s="23">
        <v>44603.763888888891</v>
      </c>
      <c r="BQ152" s="20" t="s">
        <v>798</v>
      </c>
      <c r="BR152" s="20" t="s">
        <v>777</v>
      </c>
      <c r="BT152" s="23">
        <v>44603.763888888891</v>
      </c>
      <c r="BU152" s="20" t="s">
        <v>798</v>
      </c>
      <c r="CA152" s="20">
        <v>0</v>
      </c>
      <c r="CB152" s="20" t="s">
        <v>1866</v>
      </c>
      <c r="CC152" s="20">
        <v>12127</v>
      </c>
      <c r="CD152" s="20" t="s">
        <v>921</v>
      </c>
      <c r="CE152" s="20">
        <v>17260</v>
      </c>
      <c r="CF152" s="20" t="s">
        <v>1867</v>
      </c>
      <c r="CG152" s="20" t="s">
        <v>1868</v>
      </c>
      <c r="CH152" s="20" t="s">
        <v>710</v>
      </c>
      <c r="CI152" s="20" t="s">
        <v>1869</v>
      </c>
      <c r="CJ152" s="20" t="s">
        <v>698</v>
      </c>
      <c r="CK152" s="20" t="s">
        <v>712</v>
      </c>
      <c r="CL152" s="20" t="s">
        <v>713</v>
      </c>
      <c r="CM152" s="20" t="s">
        <v>758</v>
      </c>
      <c r="CP152" s="20" t="s">
        <v>698</v>
      </c>
      <c r="DM152" s="20" t="s">
        <v>743</v>
      </c>
      <c r="DN152" s="20" t="s">
        <v>1278</v>
      </c>
      <c r="FK152" s="20">
        <v>2017</v>
      </c>
      <c r="FL152" s="20">
        <v>2016</v>
      </c>
      <c r="FM152" s="20" t="s">
        <v>719</v>
      </c>
      <c r="FO152" s="20" t="s">
        <v>1569</v>
      </c>
      <c r="FT152" s="20" t="s">
        <v>766</v>
      </c>
      <c r="FU152" s="20" t="s">
        <v>1870</v>
      </c>
      <c r="FV152" s="20">
        <v>53.6</v>
      </c>
      <c r="FW152" s="20">
        <v>45.5</v>
      </c>
      <c r="FY152" s="20" t="s">
        <v>698</v>
      </c>
      <c r="GC152" s="20" t="s">
        <v>698</v>
      </c>
      <c r="GD152" s="20" t="s">
        <v>698</v>
      </c>
      <c r="GE152" s="20" t="s">
        <v>698</v>
      </c>
      <c r="GK152" s="20" t="s">
        <v>698</v>
      </c>
      <c r="GT152" s="20" t="s">
        <v>696</v>
      </c>
      <c r="GU152" s="20" t="s">
        <v>696</v>
      </c>
      <c r="GZ152" s="20" t="s">
        <v>696</v>
      </c>
      <c r="HA152" s="20" t="s">
        <v>696</v>
      </c>
      <c r="HF152" s="20">
        <v>0</v>
      </c>
      <c r="HG152" s="20">
        <v>1675</v>
      </c>
      <c r="HH152" s="20">
        <v>80000</v>
      </c>
      <c r="HI152" s="20">
        <v>35000</v>
      </c>
      <c r="HJ152" s="20">
        <v>0</v>
      </c>
      <c r="HK152" s="20">
        <v>90000</v>
      </c>
      <c r="HL152" s="20" t="s">
        <v>1871</v>
      </c>
      <c r="HM152" s="20">
        <v>206675</v>
      </c>
      <c r="HN152" s="20">
        <v>0</v>
      </c>
      <c r="HO152" s="20">
        <v>0</v>
      </c>
      <c r="HP152" s="20">
        <v>0</v>
      </c>
      <c r="HQ152" s="20">
        <v>0</v>
      </c>
      <c r="HR152" s="20">
        <v>2136</v>
      </c>
      <c r="HS152" s="20">
        <v>1480</v>
      </c>
      <c r="HT152" s="20" t="s">
        <v>787</v>
      </c>
      <c r="HV152" s="24">
        <v>43166</v>
      </c>
      <c r="HW152" s="20" t="s">
        <v>698</v>
      </c>
      <c r="HY152" s="20" t="s">
        <v>760</v>
      </c>
      <c r="HZ152" s="20" t="s">
        <v>698</v>
      </c>
      <c r="IC152" s="20">
        <v>38</v>
      </c>
      <c r="ID152" s="20" t="s">
        <v>696</v>
      </c>
      <c r="IL152" s="20" t="s">
        <v>698</v>
      </c>
      <c r="IS152" s="20" t="s">
        <v>724</v>
      </c>
      <c r="IT152" s="20" t="s">
        <v>696</v>
      </c>
      <c r="IU152" s="20" t="s">
        <v>696</v>
      </c>
      <c r="IV152" s="20" t="s">
        <v>696</v>
      </c>
      <c r="IW152" s="20" t="s">
        <v>698</v>
      </c>
      <c r="IX152" s="20" t="s">
        <v>698</v>
      </c>
      <c r="IY152" s="20" t="s">
        <v>696</v>
      </c>
      <c r="IZ152" s="20" t="s">
        <v>696</v>
      </c>
      <c r="JA152" s="20" t="s">
        <v>696</v>
      </c>
      <c r="JB152" s="20" t="s">
        <v>698</v>
      </c>
      <c r="JC152" s="20" t="s">
        <v>698</v>
      </c>
      <c r="JD152" s="20" t="s">
        <v>859</v>
      </c>
      <c r="JF152" s="20" t="s">
        <v>696</v>
      </c>
      <c r="JI152" s="20" t="s">
        <v>696</v>
      </c>
      <c r="JJ152" s="20" t="s">
        <v>696</v>
      </c>
      <c r="JR152" s="20" t="s">
        <v>698</v>
      </c>
      <c r="JS152" s="20" t="s">
        <v>698</v>
      </c>
      <c r="JX152" s="20" t="s">
        <v>894</v>
      </c>
      <c r="JY152" s="20" t="s">
        <v>1215</v>
      </c>
      <c r="RM152" s="20" t="s">
        <v>1215</v>
      </c>
      <c r="RS152" s="20" t="s">
        <v>696</v>
      </c>
      <c r="RV152" s="20" t="s">
        <v>1590</v>
      </c>
      <c r="RW152" s="20" t="s">
        <v>696</v>
      </c>
      <c r="RX152" s="20" t="s">
        <v>898</v>
      </c>
      <c r="XL152" s="20" t="s">
        <v>1872</v>
      </c>
      <c r="XM152" s="20" t="s">
        <v>1873</v>
      </c>
      <c r="XN152" s="20" t="s">
        <v>1874</v>
      </c>
      <c r="XO152" s="20" t="s">
        <v>1875</v>
      </c>
      <c r="XQ152" s="24">
        <v>44729</v>
      </c>
      <c r="XU152" s="20" t="s">
        <v>730</v>
      </c>
      <c r="XV152" s="20" t="s">
        <v>733</v>
      </c>
      <c r="XW152" s="20" t="s">
        <v>1360</v>
      </c>
      <c r="XX152" s="20" t="s">
        <v>732</v>
      </c>
      <c r="XY152" s="20" t="s">
        <v>1876</v>
      </c>
    </row>
    <row r="153" spans="1:649" ht="13">
      <c r="A153" s="20">
        <v>972</v>
      </c>
      <c r="B153" s="21">
        <v>44631</v>
      </c>
      <c r="C153" s="20">
        <v>2022</v>
      </c>
      <c r="D153" s="20">
        <v>20220057</v>
      </c>
      <c r="E153" s="20">
        <v>36456</v>
      </c>
      <c r="F153" s="20" t="s">
        <v>885</v>
      </c>
      <c r="G153" s="20">
        <v>31476</v>
      </c>
      <c r="H153" s="20" t="s">
        <v>1859</v>
      </c>
      <c r="I153" s="20" t="s">
        <v>692</v>
      </c>
      <c r="J153" s="20" t="s">
        <v>693</v>
      </c>
      <c r="K153" s="20" t="s">
        <v>694</v>
      </c>
      <c r="L153" s="20">
        <v>77002</v>
      </c>
      <c r="M153" s="22">
        <v>44602.353472222225</v>
      </c>
      <c r="N153" s="20" t="s">
        <v>695</v>
      </c>
      <c r="O153" s="20" t="s">
        <v>698</v>
      </c>
      <c r="P153" s="20">
        <v>38.332949999999997</v>
      </c>
      <c r="Q153" s="20">
        <v>-98.183999999999997</v>
      </c>
      <c r="R153" s="20" t="s">
        <v>697</v>
      </c>
      <c r="W153" s="20">
        <v>0.5</v>
      </c>
      <c r="Y153" s="20">
        <v>0.5</v>
      </c>
      <c r="Z153" s="20" t="s">
        <v>698</v>
      </c>
      <c r="AF153" s="20">
        <v>0</v>
      </c>
      <c r="AG153" s="20" t="s">
        <v>698</v>
      </c>
      <c r="AM153" s="20">
        <v>0</v>
      </c>
      <c r="AN153" s="20" t="s">
        <v>699</v>
      </c>
      <c r="AP153" s="20" t="s">
        <v>700</v>
      </c>
      <c r="AQ153" s="23">
        <v>44602.333333333336</v>
      </c>
      <c r="AR153" s="20" t="s">
        <v>701</v>
      </c>
      <c r="AS153" s="20" t="s">
        <v>702</v>
      </c>
      <c r="AT153" s="20" t="s">
        <v>703</v>
      </c>
      <c r="AU153" s="20" t="s">
        <v>696</v>
      </c>
      <c r="AW153" s="23">
        <v>44602.333333333336</v>
      </c>
      <c r="AX153" s="23">
        <v>44602.375</v>
      </c>
      <c r="AZ153" s="20" t="s">
        <v>696</v>
      </c>
      <c r="BA153" s="20" t="s">
        <v>753</v>
      </c>
      <c r="BB153" s="23">
        <v>44602.363194444442</v>
      </c>
      <c r="BC153" s="23">
        <v>44602.333333333336</v>
      </c>
      <c r="BD153" s="23">
        <v>44602.353472222225</v>
      </c>
      <c r="BF153" s="20" t="s">
        <v>754</v>
      </c>
      <c r="BH153" s="20" t="s">
        <v>698</v>
      </c>
      <c r="BV153" s="20" t="s">
        <v>698</v>
      </c>
      <c r="BX153" s="20" t="s">
        <v>698</v>
      </c>
      <c r="CA153" s="20">
        <v>0</v>
      </c>
      <c r="CB153" s="20" t="s">
        <v>1877</v>
      </c>
      <c r="CC153" s="20" t="s">
        <v>1878</v>
      </c>
      <c r="CD153" s="20" t="s">
        <v>1513</v>
      </c>
      <c r="CE153" s="20">
        <v>67554</v>
      </c>
      <c r="CF153" s="20" t="s">
        <v>1879</v>
      </c>
      <c r="CG153" s="20" t="s">
        <v>1880</v>
      </c>
      <c r="CH153" s="20" t="s">
        <v>710</v>
      </c>
      <c r="CI153" s="20" t="s">
        <v>711</v>
      </c>
      <c r="CJ153" s="20" t="s">
        <v>698</v>
      </c>
      <c r="CK153" s="20" t="s">
        <v>712</v>
      </c>
      <c r="CL153" s="20" t="s">
        <v>713</v>
      </c>
      <c r="CM153" s="20" t="s">
        <v>758</v>
      </c>
      <c r="CP153" s="20" t="s">
        <v>698</v>
      </c>
      <c r="DM153" s="20" t="s">
        <v>743</v>
      </c>
      <c r="DN153" s="20" t="s">
        <v>1011</v>
      </c>
      <c r="FK153" s="20" t="s">
        <v>728</v>
      </c>
      <c r="FL153" s="20" t="s">
        <v>728</v>
      </c>
      <c r="FM153" s="20" t="s">
        <v>962</v>
      </c>
      <c r="FN153" s="20" t="s">
        <v>1881</v>
      </c>
      <c r="FO153" s="20" t="s">
        <v>720</v>
      </c>
      <c r="FR153" s="20" t="s">
        <v>721</v>
      </c>
      <c r="FY153" s="20" t="s">
        <v>698</v>
      </c>
      <c r="GC153" s="20" t="s">
        <v>696</v>
      </c>
      <c r="GD153" s="20" t="s">
        <v>698</v>
      </c>
      <c r="GE153" s="20" t="s">
        <v>698</v>
      </c>
      <c r="GK153" s="20" t="s">
        <v>698</v>
      </c>
      <c r="GT153" s="20" t="s">
        <v>698</v>
      </c>
      <c r="GU153" s="20" t="s">
        <v>698</v>
      </c>
      <c r="HF153" s="20">
        <v>0</v>
      </c>
      <c r="HG153" s="20">
        <v>0</v>
      </c>
      <c r="HH153" s="20">
        <v>1000</v>
      </c>
      <c r="HI153" s="20">
        <v>1024</v>
      </c>
      <c r="HJ153" s="20">
        <v>3000</v>
      </c>
      <c r="HK153" s="20">
        <v>0</v>
      </c>
      <c r="HM153" s="20">
        <v>5024</v>
      </c>
      <c r="HN153" s="20">
        <v>0</v>
      </c>
      <c r="HO153" s="20">
        <v>0</v>
      </c>
      <c r="HP153" s="20">
        <v>0</v>
      </c>
      <c r="HQ153" s="20">
        <v>0</v>
      </c>
      <c r="HR153" s="20">
        <v>60</v>
      </c>
      <c r="HS153" s="20">
        <v>285</v>
      </c>
      <c r="HT153" s="20" t="s">
        <v>750</v>
      </c>
      <c r="HV153" s="24">
        <v>25569</v>
      </c>
      <c r="HW153" s="20" t="s">
        <v>698</v>
      </c>
      <c r="HY153" s="20" t="s">
        <v>723</v>
      </c>
      <c r="HZ153" s="20" t="s">
        <v>698</v>
      </c>
      <c r="IS153" s="20" t="s">
        <v>724</v>
      </c>
      <c r="IT153" s="20" t="s">
        <v>696</v>
      </c>
      <c r="IU153" s="20" t="s">
        <v>696</v>
      </c>
      <c r="IV153" s="20" t="s">
        <v>696</v>
      </c>
      <c r="IW153" s="20" t="s">
        <v>698</v>
      </c>
      <c r="IX153" s="20" t="s">
        <v>698</v>
      </c>
      <c r="IY153" s="20" t="s">
        <v>696</v>
      </c>
      <c r="IZ153" s="20" t="s">
        <v>696</v>
      </c>
      <c r="JA153" s="20" t="s">
        <v>696</v>
      </c>
      <c r="JB153" s="20" t="s">
        <v>698</v>
      </c>
      <c r="JC153" s="20" t="s">
        <v>698</v>
      </c>
      <c r="JD153" s="20" t="s">
        <v>725</v>
      </c>
      <c r="JE153" s="20" t="s">
        <v>1882</v>
      </c>
      <c r="JR153" s="20" t="s">
        <v>698</v>
      </c>
      <c r="JS153" s="20" t="s">
        <v>698</v>
      </c>
      <c r="JX153" s="20" t="s">
        <v>789</v>
      </c>
      <c r="JY153" s="20" t="s">
        <v>914</v>
      </c>
      <c r="QB153" s="20" t="s">
        <v>914</v>
      </c>
      <c r="QS153" s="20" t="s">
        <v>1659</v>
      </c>
      <c r="RK153" s="20" t="s">
        <v>696</v>
      </c>
      <c r="RL153" s="20" t="s">
        <v>1883</v>
      </c>
      <c r="XL153" s="20" t="s">
        <v>1812</v>
      </c>
      <c r="XM153" s="20" t="s">
        <v>1813</v>
      </c>
      <c r="XN153" s="20" t="s">
        <v>1814</v>
      </c>
      <c r="XO153" s="20">
        <v>7139894339</v>
      </c>
      <c r="XQ153" s="24">
        <v>44631</v>
      </c>
      <c r="XU153" s="20" t="s">
        <v>730</v>
      </c>
      <c r="XV153" s="20" t="s">
        <v>733</v>
      </c>
      <c r="XW153" s="20" t="s">
        <v>1360</v>
      </c>
      <c r="XX153" s="20" t="s">
        <v>732</v>
      </c>
      <c r="XY153" s="20" t="s">
        <v>1884</v>
      </c>
    </row>
    <row r="154" spans="1:649" ht="13">
      <c r="A154" s="20">
        <v>974</v>
      </c>
      <c r="B154" s="21">
        <v>44630</v>
      </c>
      <c r="C154" s="20">
        <v>2022</v>
      </c>
      <c r="D154" s="20">
        <v>20220051</v>
      </c>
      <c r="E154" s="20">
        <v>36446</v>
      </c>
      <c r="F154" s="20" t="s">
        <v>885</v>
      </c>
      <c r="G154" s="20">
        <v>18718</v>
      </c>
      <c r="H154" s="20" t="s">
        <v>918</v>
      </c>
      <c r="I154" s="20" t="s">
        <v>692</v>
      </c>
      <c r="J154" s="20" t="s">
        <v>693</v>
      </c>
      <c r="K154" s="20" t="s">
        <v>694</v>
      </c>
      <c r="L154" s="20">
        <v>77002</v>
      </c>
      <c r="M154" s="22">
        <v>44601.722222222219</v>
      </c>
      <c r="N154" s="20" t="s">
        <v>695</v>
      </c>
      <c r="O154" s="20" t="s">
        <v>698</v>
      </c>
      <c r="P154" s="20">
        <v>32.182960000000001</v>
      </c>
      <c r="Q154" s="20">
        <v>-98.539293000000001</v>
      </c>
      <c r="R154" s="20" t="s">
        <v>844</v>
      </c>
      <c r="S154" s="20" t="s">
        <v>845</v>
      </c>
      <c r="W154" s="20">
        <v>23.81</v>
      </c>
      <c r="Y154" s="20">
        <v>23.81</v>
      </c>
      <c r="Z154" s="20" t="s">
        <v>698</v>
      </c>
      <c r="AF154" s="20">
        <v>0</v>
      </c>
      <c r="AG154" s="20" t="s">
        <v>698</v>
      </c>
      <c r="AM154" s="20">
        <v>0</v>
      </c>
      <c r="AN154" s="20" t="s">
        <v>775</v>
      </c>
      <c r="AQ154" s="23">
        <v>44601.722222222219</v>
      </c>
      <c r="AR154" s="20" t="s">
        <v>776</v>
      </c>
      <c r="AS154" s="20" t="s">
        <v>702</v>
      </c>
      <c r="AT154" s="20" t="s">
        <v>703</v>
      </c>
      <c r="AU154" s="20" t="s">
        <v>698</v>
      </c>
      <c r="AV154" s="20" t="s">
        <v>1885</v>
      </c>
      <c r="AZ154" s="20" t="s">
        <v>698</v>
      </c>
      <c r="BC154" s="23">
        <v>44601.722222222219</v>
      </c>
      <c r="BD154" s="23">
        <v>44601.722222222219</v>
      </c>
      <c r="BE154" s="23">
        <v>44602.551388888889</v>
      </c>
      <c r="BF154" s="20">
        <v>1328614</v>
      </c>
      <c r="BG154" s="20">
        <v>1328793</v>
      </c>
      <c r="BH154" s="20" t="s">
        <v>698</v>
      </c>
      <c r="BN154" s="20" t="s">
        <v>777</v>
      </c>
      <c r="BP154" s="23">
        <v>44601.725694444445</v>
      </c>
      <c r="BQ154" s="20" t="s">
        <v>779</v>
      </c>
      <c r="BR154" s="20" t="s">
        <v>777</v>
      </c>
      <c r="BT154" s="23">
        <v>44601.725694444445</v>
      </c>
      <c r="BU154" s="20" t="s">
        <v>779</v>
      </c>
      <c r="BV154" s="20" t="s">
        <v>696</v>
      </c>
      <c r="BW154" s="23">
        <v>44601.739583333336</v>
      </c>
      <c r="BX154" s="20" t="s">
        <v>696</v>
      </c>
      <c r="BY154" s="23">
        <v>44601.770833333336</v>
      </c>
      <c r="BZ154" s="23">
        <v>44601.895833333336</v>
      </c>
      <c r="CA154" s="20">
        <v>0</v>
      </c>
      <c r="CB154" s="20" t="s">
        <v>1886</v>
      </c>
      <c r="CC154" s="20" t="s">
        <v>1887</v>
      </c>
      <c r="CD154" s="20" t="s">
        <v>694</v>
      </c>
      <c r="CE154" s="20">
        <v>76444</v>
      </c>
      <c r="CF154" s="20" t="s">
        <v>1888</v>
      </c>
      <c r="CG154" s="20" t="s">
        <v>1889</v>
      </c>
      <c r="CH154" s="20" t="s">
        <v>784</v>
      </c>
      <c r="CI154" s="20">
        <v>212</v>
      </c>
      <c r="CJ154" s="20" t="s">
        <v>698</v>
      </c>
      <c r="CK154" s="20" t="s">
        <v>712</v>
      </c>
      <c r="CL154" s="20" t="s">
        <v>713</v>
      </c>
      <c r="CM154" s="20" t="s">
        <v>758</v>
      </c>
      <c r="CP154" s="20" t="s">
        <v>698</v>
      </c>
      <c r="DM154" s="20" t="s">
        <v>715</v>
      </c>
      <c r="DN154" s="20" t="s">
        <v>1278</v>
      </c>
      <c r="FK154" s="20">
        <v>2019</v>
      </c>
      <c r="FL154" s="20">
        <v>2019</v>
      </c>
      <c r="FM154" s="20" t="s">
        <v>719</v>
      </c>
      <c r="FO154" s="20" t="s">
        <v>720</v>
      </c>
      <c r="FR154" s="20" t="s">
        <v>721</v>
      </c>
      <c r="FY154" s="20" t="s">
        <v>698</v>
      </c>
      <c r="GC154" s="20" t="s">
        <v>696</v>
      </c>
      <c r="GD154" s="20" t="s">
        <v>698</v>
      </c>
      <c r="GE154" s="20" t="s">
        <v>696</v>
      </c>
      <c r="GH154" s="20" t="s">
        <v>696</v>
      </c>
      <c r="GK154" s="20" t="s">
        <v>698</v>
      </c>
      <c r="GT154" s="20" t="s">
        <v>696</v>
      </c>
      <c r="GU154" s="20" t="s">
        <v>698</v>
      </c>
      <c r="HF154" s="20">
        <v>0</v>
      </c>
      <c r="HG154" s="20">
        <v>2791</v>
      </c>
      <c r="HH154" s="20">
        <v>4000</v>
      </c>
      <c r="HI154" s="20">
        <v>0</v>
      </c>
      <c r="HJ154" s="20">
        <v>265000</v>
      </c>
      <c r="HK154" s="20">
        <v>0</v>
      </c>
      <c r="HM154" s="20">
        <v>271791</v>
      </c>
      <c r="HN154" s="20">
        <v>0</v>
      </c>
      <c r="HO154" s="20">
        <v>0</v>
      </c>
      <c r="HP154" s="20">
        <v>0</v>
      </c>
      <c r="HQ154" s="20">
        <v>0</v>
      </c>
      <c r="HR154" s="20">
        <v>400</v>
      </c>
      <c r="HS154" s="20">
        <v>720</v>
      </c>
      <c r="HT154" s="20" t="s">
        <v>787</v>
      </c>
      <c r="HV154" s="24">
        <v>43858</v>
      </c>
      <c r="HW154" s="20" t="s">
        <v>696</v>
      </c>
      <c r="HX154" s="24">
        <v>44321</v>
      </c>
      <c r="HY154" s="20" t="s">
        <v>723</v>
      </c>
      <c r="HZ154" s="20" t="s">
        <v>698</v>
      </c>
      <c r="IC154" s="20">
        <v>30</v>
      </c>
      <c r="ID154" s="20" t="s">
        <v>696</v>
      </c>
      <c r="IL154" s="20" t="s">
        <v>698</v>
      </c>
      <c r="IS154" s="20" t="s">
        <v>724</v>
      </c>
      <c r="IT154" s="20" t="s">
        <v>696</v>
      </c>
      <c r="IU154" s="20" t="s">
        <v>696</v>
      </c>
      <c r="IV154" s="20" t="s">
        <v>696</v>
      </c>
      <c r="IW154" s="20" t="s">
        <v>698</v>
      </c>
      <c r="IX154" s="20" t="s">
        <v>698</v>
      </c>
      <c r="IY154" s="20" t="s">
        <v>696</v>
      </c>
      <c r="IZ154" s="20" t="s">
        <v>696</v>
      </c>
      <c r="JA154" s="20" t="s">
        <v>696</v>
      </c>
      <c r="JB154" s="20" t="s">
        <v>698</v>
      </c>
      <c r="JC154" s="20" t="s">
        <v>698</v>
      </c>
      <c r="JD154" s="20" t="s">
        <v>859</v>
      </c>
      <c r="JJ154" s="20" t="s">
        <v>696</v>
      </c>
      <c r="JR154" s="20" t="s">
        <v>698</v>
      </c>
      <c r="JS154" s="20" t="s">
        <v>698</v>
      </c>
      <c r="JX154" s="20" t="s">
        <v>789</v>
      </c>
      <c r="JY154" s="20" t="s">
        <v>914</v>
      </c>
      <c r="QB154" s="20" t="s">
        <v>914</v>
      </c>
      <c r="QS154" s="20" t="s">
        <v>1659</v>
      </c>
      <c r="RK154" s="20" t="s">
        <v>696</v>
      </c>
      <c r="RL154" s="20" t="s">
        <v>1890</v>
      </c>
      <c r="VZ154" s="20" t="s">
        <v>696</v>
      </c>
      <c r="XL154" s="20" t="s">
        <v>1620</v>
      </c>
      <c r="XM154" s="20" t="s">
        <v>1891</v>
      </c>
      <c r="XN154" s="20" t="s">
        <v>1622</v>
      </c>
      <c r="XO154" s="20" t="s">
        <v>1623</v>
      </c>
      <c r="XQ154" s="24">
        <v>44630</v>
      </c>
      <c r="XU154" s="20" t="s">
        <v>730</v>
      </c>
      <c r="XV154" s="20" t="s">
        <v>733</v>
      </c>
      <c r="XW154" s="20" t="s">
        <v>1360</v>
      </c>
      <c r="XX154" s="20" t="s">
        <v>732</v>
      </c>
      <c r="XY154" s="20" t="s">
        <v>1892</v>
      </c>
    </row>
    <row r="155" spans="1:649" ht="13">
      <c r="A155" s="20">
        <v>975</v>
      </c>
      <c r="B155" s="21">
        <v>44631</v>
      </c>
      <c r="C155" s="20">
        <v>2022</v>
      </c>
      <c r="D155" s="20">
        <v>20220055</v>
      </c>
      <c r="E155" s="20">
        <v>36453</v>
      </c>
      <c r="F155" s="20" t="s">
        <v>885</v>
      </c>
      <c r="G155" s="20">
        <v>18718</v>
      </c>
      <c r="H155" s="20" t="s">
        <v>918</v>
      </c>
      <c r="I155" s="20" t="s">
        <v>692</v>
      </c>
      <c r="J155" s="20" t="s">
        <v>693</v>
      </c>
      <c r="K155" s="20" t="s">
        <v>694</v>
      </c>
      <c r="L155" s="20">
        <v>77002</v>
      </c>
      <c r="M155" s="22">
        <v>44601.354166666664</v>
      </c>
      <c r="N155" s="20" t="s">
        <v>695</v>
      </c>
      <c r="O155" s="20" t="s">
        <v>698</v>
      </c>
      <c r="P155" s="20">
        <v>29.935393999999999</v>
      </c>
      <c r="Q155" s="20">
        <v>-95.382818999999998</v>
      </c>
      <c r="R155" s="20" t="s">
        <v>697</v>
      </c>
      <c r="W155" s="20">
        <v>2</v>
      </c>
      <c r="Y155" s="20">
        <v>2</v>
      </c>
      <c r="Z155" s="20" t="s">
        <v>698</v>
      </c>
      <c r="AF155" s="20">
        <v>0</v>
      </c>
      <c r="AG155" s="20" t="s">
        <v>698</v>
      </c>
      <c r="AM155" s="20">
        <v>0</v>
      </c>
      <c r="AN155" s="20" t="s">
        <v>699</v>
      </c>
      <c r="AP155" s="20" t="s">
        <v>700</v>
      </c>
      <c r="AQ155" s="23">
        <v>44601.354166666664</v>
      </c>
      <c r="AR155" s="20" t="s">
        <v>701</v>
      </c>
      <c r="AS155" s="20" t="s">
        <v>702</v>
      </c>
      <c r="AT155" s="20" t="s">
        <v>1200</v>
      </c>
      <c r="AZ155" s="20" t="s">
        <v>696</v>
      </c>
      <c r="BA155" s="20" t="s">
        <v>753</v>
      </c>
      <c r="BB155" s="23">
        <v>44601.5</v>
      </c>
      <c r="BC155" s="23">
        <v>44601.354166666664</v>
      </c>
      <c r="BD155" s="23">
        <v>44601.354166666664</v>
      </c>
      <c r="BF155" s="20" t="s">
        <v>754</v>
      </c>
      <c r="BH155" s="20" t="s">
        <v>698</v>
      </c>
      <c r="BV155" s="20" t="s">
        <v>698</v>
      </c>
      <c r="BX155" s="20" t="s">
        <v>698</v>
      </c>
      <c r="CA155" s="20">
        <v>0</v>
      </c>
      <c r="CB155" s="20" t="s">
        <v>1893</v>
      </c>
      <c r="CC155" s="20" t="s">
        <v>1894</v>
      </c>
      <c r="CD155" s="20" t="s">
        <v>694</v>
      </c>
      <c r="CE155" s="20">
        <v>77060</v>
      </c>
      <c r="CF155" s="20" t="s">
        <v>693</v>
      </c>
      <c r="CG155" s="20" t="s">
        <v>1056</v>
      </c>
      <c r="CH155" s="20" t="s">
        <v>710</v>
      </c>
      <c r="CI155" s="20" t="s">
        <v>711</v>
      </c>
      <c r="CJ155" s="20" t="s">
        <v>698</v>
      </c>
      <c r="CK155" s="20" t="s">
        <v>712</v>
      </c>
      <c r="CL155" s="20" t="s">
        <v>741</v>
      </c>
      <c r="CM155" s="20" t="s">
        <v>742</v>
      </c>
      <c r="CO155" s="20">
        <v>10</v>
      </c>
      <c r="CP155" s="20" t="s">
        <v>698</v>
      </c>
      <c r="DM155" s="20" t="s">
        <v>715</v>
      </c>
      <c r="DN155" s="20" t="s">
        <v>1895</v>
      </c>
      <c r="FK155" s="20" t="s">
        <v>728</v>
      </c>
      <c r="FL155" s="20" t="s">
        <v>728</v>
      </c>
      <c r="FM155" s="20" t="s">
        <v>719</v>
      </c>
      <c r="FO155" s="20" t="s">
        <v>720</v>
      </c>
      <c r="FR155" s="20" t="s">
        <v>749</v>
      </c>
      <c r="FY155" s="20" t="s">
        <v>698</v>
      </c>
      <c r="GC155" s="20" t="s">
        <v>696</v>
      </c>
      <c r="GD155" s="20" t="s">
        <v>698</v>
      </c>
      <c r="GE155" s="20" t="s">
        <v>698</v>
      </c>
      <c r="GK155" s="20" t="s">
        <v>698</v>
      </c>
      <c r="GT155" s="20" t="s">
        <v>696</v>
      </c>
      <c r="GU155" s="20" t="s">
        <v>696</v>
      </c>
      <c r="GX155" s="20" t="s">
        <v>696</v>
      </c>
      <c r="GY155" s="20" t="s">
        <v>696</v>
      </c>
      <c r="HB155" s="20" t="s">
        <v>696</v>
      </c>
      <c r="HC155" s="20" t="s">
        <v>696</v>
      </c>
      <c r="HF155" s="20">
        <v>0</v>
      </c>
      <c r="HG155" s="20">
        <v>200</v>
      </c>
      <c r="HH155" s="20">
        <v>500</v>
      </c>
      <c r="HI155" s="20">
        <v>18624</v>
      </c>
      <c r="HJ155" s="20">
        <v>0</v>
      </c>
      <c r="HK155" s="20">
        <v>0</v>
      </c>
      <c r="HM155" s="20">
        <v>19324</v>
      </c>
      <c r="HN155" s="20">
        <v>0</v>
      </c>
      <c r="HO155" s="20">
        <v>0</v>
      </c>
      <c r="HP155" s="20">
        <v>0</v>
      </c>
      <c r="HQ155" s="20">
        <v>0</v>
      </c>
      <c r="HR155" s="20">
        <v>25</v>
      </c>
      <c r="HS155" s="20">
        <v>285</v>
      </c>
      <c r="HT155" s="20" t="s">
        <v>750</v>
      </c>
      <c r="HV155" s="24">
        <v>38718</v>
      </c>
      <c r="HW155" s="20" t="s">
        <v>698</v>
      </c>
      <c r="HY155" s="20" t="s">
        <v>723</v>
      </c>
      <c r="HZ155" s="20" t="s">
        <v>698</v>
      </c>
      <c r="IS155" s="20" t="s">
        <v>724</v>
      </c>
      <c r="IT155" s="20" t="s">
        <v>698</v>
      </c>
      <c r="IY155" s="20" t="s">
        <v>698</v>
      </c>
      <c r="JD155" s="20" t="s">
        <v>725</v>
      </c>
      <c r="JE155" s="20" t="s">
        <v>1896</v>
      </c>
      <c r="JR155" s="20" t="s">
        <v>698</v>
      </c>
      <c r="JS155" s="20" t="s">
        <v>698</v>
      </c>
      <c r="JX155" s="20" t="s">
        <v>833</v>
      </c>
      <c r="JY155" s="20" t="s">
        <v>834</v>
      </c>
      <c r="JZ155" s="20" t="s">
        <v>834</v>
      </c>
      <c r="LD155" s="20" t="s">
        <v>835</v>
      </c>
      <c r="LG155" s="20" t="s">
        <v>696</v>
      </c>
      <c r="LL155" s="20" t="s">
        <v>696</v>
      </c>
      <c r="LP155" s="20" t="s">
        <v>696</v>
      </c>
      <c r="LU155" s="20" t="s">
        <v>698</v>
      </c>
      <c r="LV155" s="20" t="s">
        <v>698</v>
      </c>
      <c r="LW155" s="20" t="s">
        <v>838</v>
      </c>
      <c r="LX155" s="20" t="s">
        <v>838</v>
      </c>
      <c r="XL155" s="20" t="s">
        <v>1812</v>
      </c>
      <c r="XM155" s="20" t="s">
        <v>1813</v>
      </c>
      <c r="XN155" s="20" t="s">
        <v>1814</v>
      </c>
      <c r="XO155" s="20">
        <v>7139894339</v>
      </c>
      <c r="XQ155" s="24">
        <v>44631</v>
      </c>
      <c r="XU155" s="20" t="s">
        <v>730</v>
      </c>
      <c r="XV155" s="20">
        <v>7139897126</v>
      </c>
      <c r="XW155" s="20" t="s">
        <v>1360</v>
      </c>
      <c r="XX155" s="20" t="s">
        <v>732</v>
      </c>
      <c r="XY155" s="20" t="s">
        <v>1897</v>
      </c>
    </row>
    <row r="156" spans="1:649" ht="13">
      <c r="A156" s="20">
        <v>1006</v>
      </c>
      <c r="B156" s="21">
        <v>44592</v>
      </c>
      <c r="C156" s="20">
        <v>2022</v>
      </c>
      <c r="D156" s="20">
        <v>20220016</v>
      </c>
      <c r="E156" s="20">
        <v>36285</v>
      </c>
      <c r="F156" s="20" t="s">
        <v>885</v>
      </c>
      <c r="G156" s="20">
        <v>39596</v>
      </c>
      <c r="H156" s="20" t="s">
        <v>796</v>
      </c>
      <c r="I156" s="20" t="s">
        <v>692</v>
      </c>
      <c r="J156" s="20" t="s">
        <v>693</v>
      </c>
      <c r="K156" s="20" t="s">
        <v>694</v>
      </c>
      <c r="L156" s="20">
        <v>77002</v>
      </c>
      <c r="M156" s="22">
        <v>44564.604166666664</v>
      </c>
      <c r="N156" s="20" t="s">
        <v>695</v>
      </c>
      <c r="O156" s="20" t="s">
        <v>698</v>
      </c>
      <c r="P156" s="20">
        <v>38.787778000000003</v>
      </c>
      <c r="Q156" s="20">
        <v>-89.083454000000003</v>
      </c>
      <c r="R156" s="20" t="s">
        <v>697</v>
      </c>
      <c r="W156" s="20">
        <v>140</v>
      </c>
      <c r="Y156" s="20">
        <v>140</v>
      </c>
      <c r="Z156" s="20" t="s">
        <v>698</v>
      </c>
      <c r="AF156" s="20">
        <v>0</v>
      </c>
      <c r="AG156" s="20" t="s">
        <v>698</v>
      </c>
      <c r="AM156" s="20">
        <v>0</v>
      </c>
      <c r="AN156" s="20" t="s">
        <v>699</v>
      </c>
      <c r="AP156" s="20" t="s">
        <v>700</v>
      </c>
      <c r="AQ156" s="23">
        <v>44564.620138888888</v>
      </c>
      <c r="AR156" s="20" t="s">
        <v>736</v>
      </c>
      <c r="AS156" s="20" t="s">
        <v>702</v>
      </c>
      <c r="AT156" s="20" t="s">
        <v>703</v>
      </c>
      <c r="AZ156" s="20" t="s">
        <v>698</v>
      </c>
      <c r="BC156" s="23">
        <v>44564.620138888888</v>
      </c>
      <c r="BD156" s="23">
        <v>44564.620138888888</v>
      </c>
      <c r="BE156" s="23">
        <v>44564.695138888892</v>
      </c>
      <c r="BF156" s="20">
        <v>1325820</v>
      </c>
      <c r="BG156" s="20">
        <v>1325938</v>
      </c>
      <c r="BH156" s="20" t="s">
        <v>698</v>
      </c>
      <c r="BV156" s="20" t="s">
        <v>696</v>
      </c>
      <c r="BW156" s="23">
        <v>44564.604166666664</v>
      </c>
      <c r="BX156" s="20" t="s">
        <v>698</v>
      </c>
      <c r="CA156" s="20">
        <v>0</v>
      </c>
      <c r="CB156" s="20" t="s">
        <v>1898</v>
      </c>
      <c r="CC156" s="20" t="s">
        <v>1899</v>
      </c>
      <c r="CD156" s="20" t="s">
        <v>1366</v>
      </c>
      <c r="CE156" s="20">
        <v>62892</v>
      </c>
      <c r="CF156" s="20" t="s">
        <v>1900</v>
      </c>
      <c r="CG156" s="20" t="s">
        <v>1368</v>
      </c>
      <c r="CH156" s="20" t="s">
        <v>710</v>
      </c>
      <c r="CI156" s="20" t="s">
        <v>1901</v>
      </c>
      <c r="CJ156" s="20" t="s">
        <v>698</v>
      </c>
      <c r="CK156" s="20" t="s">
        <v>712</v>
      </c>
      <c r="CL156" s="20" t="s">
        <v>713</v>
      </c>
      <c r="CM156" s="20" t="s">
        <v>758</v>
      </c>
      <c r="CP156" s="20" t="s">
        <v>698</v>
      </c>
      <c r="DM156" s="20" t="s">
        <v>743</v>
      </c>
      <c r="DN156" s="20" t="s">
        <v>1895</v>
      </c>
      <c r="FK156" s="20">
        <v>1950</v>
      </c>
      <c r="FL156" s="20">
        <v>1950</v>
      </c>
      <c r="FM156" s="20" t="s">
        <v>719</v>
      </c>
      <c r="FO156" s="20" t="s">
        <v>720</v>
      </c>
      <c r="FR156" s="20" t="s">
        <v>823</v>
      </c>
      <c r="FY156" s="20" t="s">
        <v>698</v>
      </c>
      <c r="GC156" s="20" t="s">
        <v>696</v>
      </c>
      <c r="GD156" s="20" t="s">
        <v>698</v>
      </c>
      <c r="GE156" s="20" t="s">
        <v>696</v>
      </c>
      <c r="GH156" s="20" t="s">
        <v>696</v>
      </c>
      <c r="GK156" s="20" t="s">
        <v>698</v>
      </c>
      <c r="GT156" s="20" t="s">
        <v>698</v>
      </c>
      <c r="GU156" s="20" t="s">
        <v>698</v>
      </c>
      <c r="HF156" s="20">
        <v>0</v>
      </c>
      <c r="HG156" s="20">
        <v>3043</v>
      </c>
      <c r="HH156" s="20">
        <v>5000</v>
      </c>
      <c r="HI156" s="20">
        <v>30000</v>
      </c>
      <c r="HJ156" s="20">
        <v>170000</v>
      </c>
      <c r="HK156" s="20">
        <v>0</v>
      </c>
      <c r="HM156" s="20">
        <v>208043</v>
      </c>
      <c r="HN156" s="20">
        <v>0</v>
      </c>
      <c r="HO156" s="20">
        <v>0</v>
      </c>
      <c r="HP156" s="20">
        <v>0</v>
      </c>
      <c r="HQ156" s="20">
        <v>0</v>
      </c>
      <c r="HR156" s="20">
        <v>30</v>
      </c>
      <c r="HS156" s="20">
        <v>285</v>
      </c>
      <c r="HT156" s="20" t="s">
        <v>750</v>
      </c>
      <c r="HV156" s="24">
        <v>18264</v>
      </c>
      <c r="HW156" s="20" t="s">
        <v>698</v>
      </c>
      <c r="HY156" s="20" t="s">
        <v>723</v>
      </c>
      <c r="HZ156" s="20" t="s">
        <v>698</v>
      </c>
      <c r="IS156" s="20" t="s">
        <v>724</v>
      </c>
      <c r="IT156" s="20" t="s">
        <v>696</v>
      </c>
      <c r="IU156" s="20" t="s">
        <v>696</v>
      </c>
      <c r="IV156" s="20" t="s">
        <v>696</v>
      </c>
      <c r="IW156" s="20" t="s">
        <v>698</v>
      </c>
      <c r="IX156" s="20" t="s">
        <v>698</v>
      </c>
      <c r="IY156" s="20" t="s">
        <v>696</v>
      </c>
      <c r="IZ156" s="20" t="s">
        <v>696</v>
      </c>
      <c r="JA156" s="20" t="s">
        <v>696</v>
      </c>
      <c r="JB156" s="20" t="s">
        <v>698</v>
      </c>
      <c r="JC156" s="20" t="s">
        <v>698</v>
      </c>
      <c r="JD156" s="20" t="s">
        <v>725</v>
      </c>
      <c r="JE156" s="20" t="s">
        <v>726</v>
      </c>
      <c r="JR156" s="20" t="s">
        <v>698</v>
      </c>
      <c r="JS156" s="20" t="s">
        <v>698</v>
      </c>
      <c r="JX156" s="20" t="s">
        <v>789</v>
      </c>
      <c r="JY156" s="20" t="s">
        <v>953</v>
      </c>
      <c r="QB156" s="20" t="s">
        <v>953</v>
      </c>
      <c r="QQ156" s="20" t="s">
        <v>1294</v>
      </c>
      <c r="RH156" s="20" t="s">
        <v>696</v>
      </c>
      <c r="XL156" s="20" t="s">
        <v>1902</v>
      </c>
      <c r="XM156" s="20" t="s">
        <v>1903</v>
      </c>
      <c r="XN156" s="20" t="s">
        <v>1904</v>
      </c>
      <c r="XO156" s="20" t="s">
        <v>1905</v>
      </c>
      <c r="XQ156" s="24">
        <v>44592</v>
      </c>
      <c r="XU156" s="20" t="s">
        <v>730</v>
      </c>
      <c r="XV156" s="20" t="s">
        <v>733</v>
      </c>
      <c r="XW156" s="20" t="s">
        <v>1360</v>
      </c>
      <c r="XX156" s="20" t="s">
        <v>732</v>
      </c>
      <c r="XY156" s="20" t="s">
        <v>1906</v>
      </c>
    </row>
    <row r="157" spans="1:649" ht="13">
      <c r="A157" s="20">
        <v>1009</v>
      </c>
      <c r="B157" s="21">
        <v>44592</v>
      </c>
      <c r="C157" s="20">
        <v>2021</v>
      </c>
      <c r="D157" s="20">
        <v>20220015</v>
      </c>
      <c r="E157" s="20">
        <v>36280</v>
      </c>
      <c r="F157" s="20" t="s">
        <v>885</v>
      </c>
      <c r="G157" s="20">
        <v>12470</v>
      </c>
      <c r="H157" s="20" t="s">
        <v>1070</v>
      </c>
      <c r="I157" s="20" t="s">
        <v>692</v>
      </c>
      <c r="J157" s="20" t="s">
        <v>693</v>
      </c>
      <c r="K157" s="20" t="s">
        <v>694</v>
      </c>
      <c r="L157" s="20">
        <v>77002</v>
      </c>
      <c r="M157" s="22">
        <v>44558.375</v>
      </c>
      <c r="N157" s="20" t="s">
        <v>843</v>
      </c>
      <c r="O157" s="20" t="s">
        <v>698</v>
      </c>
      <c r="P157" s="20">
        <v>40.701497400000001</v>
      </c>
      <c r="Q157" s="20">
        <v>-84.127166000000003</v>
      </c>
      <c r="R157" s="20" t="s">
        <v>697</v>
      </c>
      <c r="W157" s="20">
        <v>5</v>
      </c>
      <c r="Y157" s="20">
        <v>5</v>
      </c>
      <c r="Z157" s="20" t="s">
        <v>698</v>
      </c>
      <c r="AF157" s="20">
        <v>0</v>
      </c>
      <c r="AG157" s="20" t="s">
        <v>698</v>
      </c>
      <c r="AM157" s="20">
        <v>0</v>
      </c>
      <c r="AN157" s="20" t="s">
        <v>699</v>
      </c>
      <c r="AP157" s="20" t="s">
        <v>700</v>
      </c>
      <c r="AQ157" s="23">
        <v>44558.375</v>
      </c>
      <c r="AR157" s="20" t="s">
        <v>736</v>
      </c>
      <c r="AS157" s="20" t="s">
        <v>702</v>
      </c>
      <c r="AT157" s="20" t="s">
        <v>1200</v>
      </c>
      <c r="AZ157" s="20" t="s">
        <v>698</v>
      </c>
      <c r="BC157" s="23">
        <v>44558.375</v>
      </c>
      <c r="BD157" s="23">
        <v>44558.375</v>
      </c>
      <c r="BF157" s="20" t="s">
        <v>754</v>
      </c>
      <c r="BH157" s="20" t="s">
        <v>698</v>
      </c>
      <c r="BV157" s="20" t="s">
        <v>696</v>
      </c>
      <c r="BW157" s="23">
        <v>44558.375</v>
      </c>
      <c r="BX157" s="20" t="s">
        <v>698</v>
      </c>
      <c r="CA157" s="20">
        <v>0</v>
      </c>
      <c r="CB157" s="20" t="s">
        <v>1907</v>
      </c>
      <c r="CC157" s="20" t="s">
        <v>1908</v>
      </c>
      <c r="CD157" s="20" t="s">
        <v>1075</v>
      </c>
      <c r="CE157" s="20">
        <v>45804</v>
      </c>
      <c r="CF157" s="20" t="s">
        <v>1909</v>
      </c>
      <c r="CG157" s="20" t="s">
        <v>1076</v>
      </c>
      <c r="CH157" s="20" t="s">
        <v>784</v>
      </c>
      <c r="CI157" s="20">
        <v>0</v>
      </c>
      <c r="CJ157" s="20" t="s">
        <v>698</v>
      </c>
      <c r="CK157" s="20" t="s">
        <v>712</v>
      </c>
      <c r="CL157" s="20" t="s">
        <v>741</v>
      </c>
      <c r="CM157" s="20" t="s">
        <v>742</v>
      </c>
      <c r="CO157" s="20">
        <v>18</v>
      </c>
      <c r="CP157" s="20" t="s">
        <v>698</v>
      </c>
      <c r="DM157" s="20" t="s">
        <v>743</v>
      </c>
      <c r="DN157" s="20" t="s">
        <v>744</v>
      </c>
      <c r="DO157" s="20" t="s">
        <v>745</v>
      </c>
      <c r="DP157" s="20" t="s">
        <v>698</v>
      </c>
      <c r="DQ157" s="20">
        <v>30</v>
      </c>
      <c r="DR157" s="20">
        <v>0.375</v>
      </c>
      <c r="DS157" s="20">
        <v>35000</v>
      </c>
      <c r="DT157" s="20" t="s">
        <v>1024</v>
      </c>
      <c r="DU157" s="20" t="s">
        <v>804</v>
      </c>
      <c r="DW157" s="20" t="s">
        <v>728</v>
      </c>
      <c r="DX157" s="20" t="s">
        <v>928</v>
      </c>
      <c r="DZ157" s="20" t="s">
        <v>696</v>
      </c>
      <c r="FK157" s="20">
        <v>1950</v>
      </c>
      <c r="FL157" s="20">
        <v>1950</v>
      </c>
      <c r="FM157" s="20" t="s">
        <v>719</v>
      </c>
      <c r="FO157" s="20" t="s">
        <v>720</v>
      </c>
      <c r="FR157" s="20" t="s">
        <v>749</v>
      </c>
      <c r="FY157" s="20" t="s">
        <v>698</v>
      </c>
      <c r="GC157" s="20" t="s">
        <v>696</v>
      </c>
      <c r="GD157" s="20" t="s">
        <v>698</v>
      </c>
      <c r="GE157" s="20" t="s">
        <v>696</v>
      </c>
      <c r="GH157" s="20" t="s">
        <v>696</v>
      </c>
      <c r="GK157" s="20" t="s">
        <v>698</v>
      </c>
      <c r="GT157" s="20" t="s">
        <v>696</v>
      </c>
      <c r="GU157" s="20" t="s">
        <v>696</v>
      </c>
      <c r="GX157" s="20" t="s">
        <v>696</v>
      </c>
      <c r="GY157" s="20" t="s">
        <v>696</v>
      </c>
      <c r="HF157" s="20">
        <v>0</v>
      </c>
      <c r="HG157" s="20">
        <v>500</v>
      </c>
      <c r="HH157" s="20">
        <v>2500</v>
      </c>
      <c r="HI157" s="20">
        <v>21860</v>
      </c>
      <c r="HJ157" s="20">
        <v>16000</v>
      </c>
      <c r="HK157" s="20">
        <v>0</v>
      </c>
      <c r="HM157" s="20">
        <v>40860</v>
      </c>
      <c r="HN157" s="20">
        <v>0</v>
      </c>
      <c r="HO157" s="20">
        <v>0</v>
      </c>
      <c r="HP157" s="20">
        <v>0</v>
      </c>
      <c r="HQ157" s="20">
        <v>0</v>
      </c>
      <c r="HR157" s="20">
        <v>150</v>
      </c>
      <c r="HS157" s="20">
        <v>285</v>
      </c>
      <c r="HT157" s="20" t="s">
        <v>722</v>
      </c>
      <c r="HV157" s="24">
        <v>28126</v>
      </c>
      <c r="HW157" s="20" t="s">
        <v>698</v>
      </c>
      <c r="HY157" s="20" t="s">
        <v>723</v>
      </c>
      <c r="HZ157" s="20" t="s">
        <v>698</v>
      </c>
      <c r="IS157" s="20" t="s">
        <v>724</v>
      </c>
      <c r="IT157" s="20" t="s">
        <v>696</v>
      </c>
      <c r="IU157" s="20" t="s">
        <v>696</v>
      </c>
      <c r="IV157" s="20" t="s">
        <v>696</v>
      </c>
      <c r="IW157" s="20" t="s">
        <v>698</v>
      </c>
      <c r="IX157" s="20" t="s">
        <v>698</v>
      </c>
      <c r="IY157" s="20" t="s">
        <v>696</v>
      </c>
      <c r="IZ157" s="20" t="s">
        <v>696</v>
      </c>
      <c r="JA157" s="20" t="s">
        <v>696</v>
      </c>
      <c r="JB157" s="20" t="s">
        <v>698</v>
      </c>
      <c r="JC157" s="20" t="s">
        <v>698</v>
      </c>
      <c r="JD157" s="20" t="s">
        <v>725</v>
      </c>
      <c r="JE157" s="20" t="s">
        <v>726</v>
      </c>
      <c r="JR157" s="20" t="s">
        <v>698</v>
      </c>
      <c r="JS157" s="20" t="s">
        <v>698</v>
      </c>
      <c r="JX157" s="20" t="s">
        <v>833</v>
      </c>
      <c r="JY157" s="20" t="s">
        <v>834</v>
      </c>
      <c r="JZ157" s="20" t="s">
        <v>834</v>
      </c>
      <c r="LD157" s="20" t="s">
        <v>835</v>
      </c>
      <c r="LG157" s="20" t="s">
        <v>696</v>
      </c>
      <c r="LH157" s="20" t="s">
        <v>696</v>
      </c>
      <c r="LL157" s="20" t="s">
        <v>696</v>
      </c>
      <c r="LP157" s="20" t="s">
        <v>696</v>
      </c>
      <c r="LU157" s="20" t="s">
        <v>696</v>
      </c>
      <c r="LV157" s="20" t="s">
        <v>698</v>
      </c>
      <c r="LW157" s="20" t="s">
        <v>838</v>
      </c>
      <c r="LX157" s="20" t="s">
        <v>838</v>
      </c>
      <c r="SC157" s="20" t="s">
        <v>698</v>
      </c>
      <c r="UO157" s="20" t="s">
        <v>698</v>
      </c>
      <c r="UR157" s="20" t="s">
        <v>698</v>
      </c>
      <c r="UZ157" s="20" t="s">
        <v>698</v>
      </c>
      <c r="XL157" s="20" t="s">
        <v>1902</v>
      </c>
      <c r="XM157" s="20" t="s">
        <v>1903</v>
      </c>
      <c r="XN157" s="20" t="s">
        <v>1904</v>
      </c>
      <c r="XO157" s="20" t="s">
        <v>1905</v>
      </c>
      <c r="XQ157" s="24">
        <v>44588</v>
      </c>
      <c r="XU157" s="20" t="s">
        <v>730</v>
      </c>
      <c r="XV157" s="20" t="s">
        <v>733</v>
      </c>
      <c r="XW157" s="20" t="s">
        <v>1360</v>
      </c>
      <c r="XX157" s="20" t="s">
        <v>732</v>
      </c>
      <c r="XY157" s="20" t="s">
        <v>1910</v>
      </c>
    </row>
    <row r="158" spans="1:649" ht="13">
      <c r="A158" s="20">
        <v>1015</v>
      </c>
      <c r="B158" s="21">
        <v>44575</v>
      </c>
      <c r="C158" s="20">
        <v>2021</v>
      </c>
      <c r="D158" s="20">
        <v>20220009</v>
      </c>
      <c r="E158" s="20">
        <v>36247</v>
      </c>
      <c r="F158" s="20" t="s">
        <v>885</v>
      </c>
      <c r="G158" s="20">
        <v>18718</v>
      </c>
      <c r="H158" s="20" t="s">
        <v>918</v>
      </c>
      <c r="I158" s="20" t="s">
        <v>692</v>
      </c>
      <c r="J158" s="20" t="s">
        <v>693</v>
      </c>
      <c r="K158" s="20" t="s">
        <v>694</v>
      </c>
      <c r="L158" s="20">
        <v>77002</v>
      </c>
      <c r="M158" s="22">
        <v>44545.466666666667</v>
      </c>
      <c r="P158" s="20">
        <v>40.752127000000002</v>
      </c>
      <c r="Q158" s="20">
        <v>-75.959760000000003</v>
      </c>
      <c r="R158" s="20" t="s">
        <v>844</v>
      </c>
      <c r="S158" s="20" t="s">
        <v>936</v>
      </c>
      <c r="W158" s="20">
        <v>9.52</v>
      </c>
      <c r="Y158" s="20">
        <v>9.52</v>
      </c>
      <c r="Z158" s="20" t="s">
        <v>698</v>
      </c>
      <c r="AF158" s="20">
        <v>0</v>
      </c>
      <c r="AG158" s="20" t="s">
        <v>698</v>
      </c>
      <c r="AM158" s="20">
        <v>0</v>
      </c>
      <c r="AN158" s="20" t="s">
        <v>699</v>
      </c>
      <c r="AP158" s="20" t="s">
        <v>700</v>
      </c>
      <c r="AQ158" s="23">
        <v>44545.458333333336</v>
      </c>
      <c r="AR158" s="20" t="s">
        <v>776</v>
      </c>
      <c r="AS158" s="20" t="s">
        <v>702</v>
      </c>
      <c r="AU158" s="20" t="s">
        <v>696</v>
      </c>
      <c r="AW158" s="23">
        <v>44545.466666666667</v>
      </c>
      <c r="AX158" s="23">
        <v>44548.125</v>
      </c>
      <c r="BC158" s="23">
        <v>44545.466666666667</v>
      </c>
      <c r="BE158" s="23">
        <v>44545.512499999997</v>
      </c>
      <c r="BF158" s="20">
        <v>1324588</v>
      </c>
      <c r="BH158" s="20" t="s">
        <v>698</v>
      </c>
      <c r="BM158" s="20" t="s">
        <v>698</v>
      </c>
      <c r="BQ158" s="20" t="s">
        <v>798</v>
      </c>
      <c r="BU158" s="20" t="s">
        <v>798</v>
      </c>
      <c r="CA158" s="20">
        <v>0</v>
      </c>
      <c r="CB158" s="20" t="s">
        <v>1911</v>
      </c>
      <c r="CC158" s="20" t="s">
        <v>1912</v>
      </c>
      <c r="CD158" s="20" t="s">
        <v>921</v>
      </c>
      <c r="CE158" s="20">
        <v>18252</v>
      </c>
      <c r="CF158" s="20" t="s">
        <v>1913</v>
      </c>
      <c r="CG158" s="20" t="s">
        <v>1914</v>
      </c>
      <c r="CH158" s="20" t="s">
        <v>710</v>
      </c>
      <c r="CI158" s="20">
        <v>73774.899999999994</v>
      </c>
      <c r="CJ158" s="20" t="s">
        <v>698</v>
      </c>
      <c r="CK158" s="20" t="s">
        <v>785</v>
      </c>
      <c r="CL158" s="20" t="s">
        <v>741</v>
      </c>
      <c r="CM158" s="20" t="s">
        <v>742</v>
      </c>
      <c r="CO158" s="20">
        <v>30</v>
      </c>
      <c r="CP158" s="20" t="s">
        <v>698</v>
      </c>
      <c r="DM158" s="20" t="s">
        <v>743</v>
      </c>
      <c r="DN158" s="20" t="s">
        <v>744</v>
      </c>
      <c r="DO158" s="20" t="s">
        <v>745</v>
      </c>
      <c r="DQ158" s="20">
        <v>6</v>
      </c>
      <c r="DR158" s="20">
        <v>0.28499999999999998</v>
      </c>
      <c r="DS158" s="20">
        <v>30000</v>
      </c>
      <c r="DT158" s="20" t="s">
        <v>1689</v>
      </c>
      <c r="DU158" s="20" t="s">
        <v>926</v>
      </c>
      <c r="DW158" s="20" t="s">
        <v>728</v>
      </c>
      <c r="DX158" s="20" t="s">
        <v>805</v>
      </c>
      <c r="FK158" s="20">
        <v>1931</v>
      </c>
      <c r="FL158" s="20">
        <v>1931</v>
      </c>
      <c r="FM158" s="20" t="s">
        <v>719</v>
      </c>
      <c r="FO158" s="20" t="s">
        <v>720</v>
      </c>
      <c r="FR158" s="20" t="s">
        <v>749</v>
      </c>
      <c r="FY158" s="20" t="s">
        <v>698</v>
      </c>
      <c r="GC158" s="20" t="s">
        <v>696</v>
      </c>
      <c r="GD158" s="20" t="s">
        <v>698</v>
      </c>
      <c r="GE158" s="20" t="s">
        <v>696</v>
      </c>
      <c r="GH158" s="20" t="s">
        <v>696</v>
      </c>
      <c r="GK158" s="20" t="s">
        <v>698</v>
      </c>
      <c r="GT158" s="20" t="s">
        <v>698</v>
      </c>
      <c r="GU158" s="20" t="s">
        <v>698</v>
      </c>
      <c r="HF158" s="20">
        <v>0</v>
      </c>
      <c r="HG158" s="20">
        <v>240</v>
      </c>
      <c r="HH158" s="20">
        <v>172055</v>
      </c>
      <c r="HI158" s="20">
        <v>91826</v>
      </c>
      <c r="HJ158" s="20">
        <v>34586</v>
      </c>
      <c r="HK158" s="20">
        <v>0</v>
      </c>
      <c r="HM158" s="20">
        <v>298707</v>
      </c>
      <c r="HR158" s="20">
        <v>456</v>
      </c>
      <c r="HS158" s="20">
        <v>1100</v>
      </c>
      <c r="HY158" s="20" t="s">
        <v>723</v>
      </c>
      <c r="HZ158" s="20" t="s">
        <v>698</v>
      </c>
      <c r="IC158" s="20">
        <v>29462</v>
      </c>
      <c r="ID158" s="20" t="s">
        <v>696</v>
      </c>
      <c r="IL158" s="20" t="s">
        <v>698</v>
      </c>
      <c r="IS158" s="20" t="s">
        <v>724</v>
      </c>
      <c r="IT158" s="20" t="s">
        <v>696</v>
      </c>
      <c r="IU158" s="20" t="s">
        <v>696</v>
      </c>
      <c r="IV158" s="20" t="s">
        <v>696</v>
      </c>
      <c r="IW158" s="20" t="s">
        <v>698</v>
      </c>
      <c r="IX158" s="20" t="s">
        <v>698</v>
      </c>
      <c r="IY158" s="20" t="s">
        <v>696</v>
      </c>
      <c r="IZ158" s="20" t="s">
        <v>696</v>
      </c>
      <c r="JA158" s="20" t="s">
        <v>696</v>
      </c>
      <c r="JB158" s="20" t="s">
        <v>698</v>
      </c>
      <c r="JC158" s="20" t="s">
        <v>698</v>
      </c>
      <c r="JD158" s="20" t="s">
        <v>725</v>
      </c>
      <c r="JE158" s="20" t="s">
        <v>726</v>
      </c>
      <c r="JR158" s="20" t="s">
        <v>698</v>
      </c>
      <c r="JS158" s="20" t="s">
        <v>698</v>
      </c>
      <c r="JX158" s="20" t="s">
        <v>833</v>
      </c>
      <c r="JY158" s="20" t="s">
        <v>860</v>
      </c>
      <c r="JZ158" s="20" t="s">
        <v>860</v>
      </c>
      <c r="KA158" s="20" t="s">
        <v>835</v>
      </c>
      <c r="KC158" s="20" t="s">
        <v>696</v>
      </c>
      <c r="KL158" s="20" t="s">
        <v>696</v>
      </c>
      <c r="KP158" s="20" t="s">
        <v>696</v>
      </c>
      <c r="KQ158" s="20" t="s">
        <v>696</v>
      </c>
      <c r="KR158" s="20">
        <v>1970</v>
      </c>
      <c r="KS158" s="20" t="s">
        <v>696</v>
      </c>
      <c r="KT158" s="20" t="s">
        <v>696</v>
      </c>
      <c r="KU158" s="20" t="s">
        <v>696</v>
      </c>
      <c r="KV158" s="20" t="s">
        <v>696</v>
      </c>
      <c r="KX158" s="20">
        <v>2021</v>
      </c>
      <c r="KY158" s="20">
        <v>2020</v>
      </c>
      <c r="LC158" s="20" t="s">
        <v>696</v>
      </c>
      <c r="SC158" s="20" t="s">
        <v>696</v>
      </c>
      <c r="UJ158" s="20">
        <v>2021</v>
      </c>
      <c r="UO158" s="20" t="s">
        <v>698</v>
      </c>
      <c r="UR158" s="20" t="s">
        <v>698</v>
      </c>
      <c r="UZ158" s="20" t="s">
        <v>698</v>
      </c>
      <c r="XL158" s="20" t="s">
        <v>1902</v>
      </c>
      <c r="XM158" s="20" t="s">
        <v>1903</v>
      </c>
      <c r="XN158" s="20" t="s">
        <v>1904</v>
      </c>
      <c r="XO158" s="20" t="s">
        <v>1905</v>
      </c>
      <c r="XQ158" s="24">
        <v>44575</v>
      </c>
      <c r="XU158" s="20" t="s">
        <v>730</v>
      </c>
      <c r="XV158" s="20" t="s">
        <v>733</v>
      </c>
      <c r="XW158" s="20" t="s">
        <v>1360</v>
      </c>
      <c r="XX158" s="20" t="s">
        <v>732</v>
      </c>
      <c r="XY158" s="20" t="s">
        <v>1915</v>
      </c>
    </row>
    <row r="159" spans="1:649" ht="13">
      <c r="A159" s="20">
        <v>1016</v>
      </c>
      <c r="B159" s="21">
        <v>44575</v>
      </c>
      <c r="C159" s="20">
        <v>2021</v>
      </c>
      <c r="D159" s="20">
        <v>20220008</v>
      </c>
      <c r="E159" s="20">
        <v>39308</v>
      </c>
      <c r="F159" s="20" t="s">
        <v>825</v>
      </c>
      <c r="G159" s="20">
        <v>22830</v>
      </c>
      <c r="H159" s="20" t="s">
        <v>973</v>
      </c>
      <c r="I159" s="20" t="s">
        <v>974</v>
      </c>
      <c r="J159" s="20" t="s">
        <v>975</v>
      </c>
      <c r="K159" s="20" t="s">
        <v>976</v>
      </c>
      <c r="L159" s="20" t="s">
        <v>977</v>
      </c>
      <c r="M159" s="22">
        <v>44545.03402777778</v>
      </c>
      <c r="N159" s="20" t="s">
        <v>695</v>
      </c>
      <c r="O159" s="20" t="s">
        <v>698</v>
      </c>
      <c r="P159" s="20">
        <v>41.626998999999998</v>
      </c>
      <c r="Q159" s="20">
        <v>-87.446404000000001</v>
      </c>
      <c r="R159" s="20" t="s">
        <v>844</v>
      </c>
      <c r="S159" s="20" t="s">
        <v>1916</v>
      </c>
      <c r="W159" s="20">
        <v>38.15</v>
      </c>
      <c r="Y159" s="20">
        <v>38.15</v>
      </c>
      <c r="Z159" s="20" t="s">
        <v>698</v>
      </c>
      <c r="AF159" s="20">
        <v>0</v>
      </c>
      <c r="AG159" s="20" t="s">
        <v>698</v>
      </c>
      <c r="AM159" s="20">
        <v>0</v>
      </c>
      <c r="AN159" s="20" t="s">
        <v>699</v>
      </c>
      <c r="AP159" s="20" t="s">
        <v>700</v>
      </c>
      <c r="AQ159" s="23">
        <v>44545.03402777778</v>
      </c>
      <c r="AR159" s="20" t="s">
        <v>776</v>
      </c>
      <c r="AS159" s="20" t="s">
        <v>702</v>
      </c>
      <c r="AT159" s="20" t="s">
        <v>703</v>
      </c>
      <c r="AU159" s="20" t="s">
        <v>696</v>
      </c>
      <c r="AW159" s="23">
        <v>44544.945138888892</v>
      </c>
      <c r="AX159" s="23">
        <v>44547.498611111114</v>
      </c>
      <c r="AZ159" s="20" t="s">
        <v>698</v>
      </c>
      <c r="BC159" s="23">
        <v>44545.041666666664</v>
      </c>
      <c r="BD159" s="23">
        <v>44545.054861111108</v>
      </c>
      <c r="BE159" s="23">
        <v>44545.068749999999</v>
      </c>
      <c r="BF159" s="20">
        <v>1324782</v>
      </c>
      <c r="BG159" s="20">
        <v>1324782</v>
      </c>
      <c r="BH159" s="20" t="s">
        <v>698</v>
      </c>
      <c r="BN159" s="20" t="s">
        <v>777</v>
      </c>
      <c r="BP159" s="23">
        <v>44544.945138888892</v>
      </c>
      <c r="BQ159" s="20" t="s">
        <v>798</v>
      </c>
      <c r="BR159" s="20" t="s">
        <v>777</v>
      </c>
      <c r="BT159" s="23">
        <v>44544.945138888892</v>
      </c>
      <c r="BU159" s="20" t="s">
        <v>779</v>
      </c>
      <c r="BV159" s="20" t="s">
        <v>696</v>
      </c>
      <c r="BW159" s="23">
        <v>44545.010416666664</v>
      </c>
      <c r="BX159" s="20" t="s">
        <v>696</v>
      </c>
      <c r="BY159" s="23">
        <v>44545.135416666664</v>
      </c>
      <c r="BZ159" s="23">
        <v>44545.291666666664</v>
      </c>
      <c r="CA159" s="20">
        <v>0</v>
      </c>
      <c r="CB159" s="20" t="s">
        <v>1917</v>
      </c>
      <c r="CC159" s="20" t="s">
        <v>1918</v>
      </c>
      <c r="CD159" s="20" t="s">
        <v>1345</v>
      </c>
      <c r="CE159" s="20">
        <v>46312</v>
      </c>
      <c r="CF159" s="20" t="s">
        <v>1919</v>
      </c>
      <c r="CG159" s="20" t="s">
        <v>1347</v>
      </c>
      <c r="CH159" s="20" t="s">
        <v>784</v>
      </c>
      <c r="CI159" s="20">
        <v>0</v>
      </c>
      <c r="CJ159" s="20" t="s">
        <v>698</v>
      </c>
      <c r="CK159" s="20" t="s">
        <v>712</v>
      </c>
      <c r="CL159" s="20" t="s">
        <v>713</v>
      </c>
      <c r="CM159" s="20" t="s">
        <v>758</v>
      </c>
      <c r="CP159" s="20" t="s">
        <v>698</v>
      </c>
      <c r="DM159" s="20" t="s">
        <v>743</v>
      </c>
      <c r="DN159" s="20" t="s">
        <v>1170</v>
      </c>
      <c r="EU159" s="20" t="s">
        <v>719</v>
      </c>
      <c r="EV159" s="20" t="s">
        <v>1172</v>
      </c>
      <c r="FK159" s="20">
        <v>2018</v>
      </c>
      <c r="FL159" s="20" t="s">
        <v>728</v>
      </c>
      <c r="FM159" s="20" t="s">
        <v>719</v>
      </c>
      <c r="FO159" s="20" t="s">
        <v>720</v>
      </c>
      <c r="FR159" s="20" t="s">
        <v>823</v>
      </c>
      <c r="FY159" s="20" t="s">
        <v>698</v>
      </c>
      <c r="GC159" s="20" t="s">
        <v>696</v>
      </c>
      <c r="GD159" s="20" t="s">
        <v>698</v>
      </c>
      <c r="GE159" s="20" t="s">
        <v>698</v>
      </c>
      <c r="GK159" s="20" t="s">
        <v>698</v>
      </c>
      <c r="GT159" s="20" t="s">
        <v>696</v>
      </c>
      <c r="GU159" s="20" t="s">
        <v>696</v>
      </c>
      <c r="GX159" s="20" t="s">
        <v>696</v>
      </c>
      <c r="GY159" s="20" t="s">
        <v>696</v>
      </c>
      <c r="HF159" s="20">
        <v>0</v>
      </c>
      <c r="HG159" s="20">
        <v>3683</v>
      </c>
      <c r="HH159" s="20">
        <v>300</v>
      </c>
      <c r="HI159" s="20">
        <v>176500</v>
      </c>
      <c r="HJ159" s="20">
        <v>0</v>
      </c>
      <c r="HK159" s="20">
        <v>0</v>
      </c>
      <c r="HM159" s="20">
        <v>180483</v>
      </c>
      <c r="HN159" s="20">
        <v>0</v>
      </c>
      <c r="HO159" s="20">
        <v>0</v>
      </c>
      <c r="HP159" s="20">
        <v>0</v>
      </c>
      <c r="HQ159" s="20">
        <v>0</v>
      </c>
      <c r="HR159" s="20">
        <v>30</v>
      </c>
      <c r="HS159" s="20">
        <v>720</v>
      </c>
      <c r="HT159" s="20" t="s">
        <v>943</v>
      </c>
      <c r="HV159" s="24">
        <v>39204</v>
      </c>
      <c r="HW159" s="20" t="s">
        <v>698</v>
      </c>
      <c r="HY159" s="20" t="s">
        <v>723</v>
      </c>
      <c r="HZ159" s="20" t="s">
        <v>698</v>
      </c>
      <c r="IC159" s="20">
        <v>9852</v>
      </c>
      <c r="ID159" s="20" t="s">
        <v>696</v>
      </c>
      <c r="IL159" s="20" t="s">
        <v>698</v>
      </c>
      <c r="IS159" s="20" t="s">
        <v>724</v>
      </c>
      <c r="IT159" s="20" t="s">
        <v>696</v>
      </c>
      <c r="IU159" s="20" t="s">
        <v>696</v>
      </c>
      <c r="IV159" s="20" t="s">
        <v>696</v>
      </c>
      <c r="IW159" s="20" t="s">
        <v>698</v>
      </c>
      <c r="IX159" s="20" t="s">
        <v>698</v>
      </c>
      <c r="IY159" s="20" t="s">
        <v>698</v>
      </c>
      <c r="JD159" s="20" t="s">
        <v>859</v>
      </c>
      <c r="JI159" s="20" t="s">
        <v>696</v>
      </c>
      <c r="JJ159" s="20" t="s">
        <v>696</v>
      </c>
      <c r="JR159" s="20" t="s">
        <v>696</v>
      </c>
      <c r="JS159" s="20" t="s">
        <v>698</v>
      </c>
      <c r="JT159" s="20">
        <v>1</v>
      </c>
      <c r="JU159" s="20">
        <v>0</v>
      </c>
      <c r="JX159" s="20" t="s">
        <v>789</v>
      </c>
      <c r="JY159" s="20" t="s">
        <v>953</v>
      </c>
      <c r="QB159" s="20" t="s">
        <v>953</v>
      </c>
      <c r="QQ159" s="20" t="s">
        <v>1847</v>
      </c>
      <c r="RK159" s="20" t="s">
        <v>696</v>
      </c>
      <c r="RL159" s="20" t="s">
        <v>1920</v>
      </c>
      <c r="XL159" s="20" t="s">
        <v>1001</v>
      </c>
      <c r="XM159" s="20" t="s">
        <v>1354</v>
      </c>
      <c r="XN159" s="20" t="s">
        <v>999</v>
      </c>
      <c r="XO159" s="20" t="s">
        <v>1000</v>
      </c>
      <c r="XQ159" s="24">
        <v>45362</v>
      </c>
      <c r="XU159" s="20" t="s">
        <v>1002</v>
      </c>
      <c r="XV159" s="20">
        <v>2694910411</v>
      </c>
      <c r="XW159" s="20" t="s">
        <v>1004</v>
      </c>
      <c r="XX159" s="20" t="s">
        <v>1005</v>
      </c>
      <c r="XY159" s="20" t="s">
        <v>1921</v>
      </c>
    </row>
    <row r="160" spans="1:649" ht="13">
      <c r="A160" s="20">
        <v>1023</v>
      </c>
      <c r="B160" s="21">
        <v>44550</v>
      </c>
      <c r="C160" s="20">
        <v>2021</v>
      </c>
      <c r="D160" s="20">
        <v>20210349</v>
      </c>
      <c r="E160" s="20">
        <v>36906</v>
      </c>
      <c r="F160" s="20" t="s">
        <v>825</v>
      </c>
      <c r="G160" s="20">
        <v>18718</v>
      </c>
      <c r="H160" s="20" t="s">
        <v>918</v>
      </c>
      <c r="I160" s="20" t="s">
        <v>692</v>
      </c>
      <c r="J160" s="20" t="s">
        <v>693</v>
      </c>
      <c r="K160" s="20" t="s">
        <v>694</v>
      </c>
      <c r="L160" s="20">
        <v>77002</v>
      </c>
      <c r="M160" s="22">
        <v>44535.708333333336</v>
      </c>
      <c r="N160" s="20" t="s">
        <v>695</v>
      </c>
      <c r="O160" s="20" t="s">
        <v>698</v>
      </c>
      <c r="P160" s="20">
        <v>36.492054000000003</v>
      </c>
      <c r="Q160" s="20">
        <v>-96.143842000000006</v>
      </c>
      <c r="R160" s="20" t="s">
        <v>697</v>
      </c>
      <c r="W160" s="20">
        <v>115</v>
      </c>
      <c r="Y160" s="20">
        <v>110</v>
      </c>
      <c r="Z160" s="20" t="s">
        <v>698</v>
      </c>
      <c r="AF160" s="20">
        <v>0</v>
      </c>
      <c r="AG160" s="20" t="s">
        <v>698</v>
      </c>
      <c r="AM160" s="20">
        <v>0</v>
      </c>
      <c r="AN160" s="20" t="s">
        <v>766</v>
      </c>
      <c r="AO160" s="20" t="s">
        <v>1922</v>
      </c>
      <c r="AQ160" s="23">
        <v>44535.753472222219</v>
      </c>
      <c r="AR160" s="20" t="s">
        <v>776</v>
      </c>
      <c r="AS160" s="20" t="s">
        <v>702</v>
      </c>
      <c r="AT160" s="20" t="s">
        <v>703</v>
      </c>
      <c r="AU160" s="20" t="s">
        <v>698</v>
      </c>
      <c r="AV160" s="20" t="s">
        <v>1923</v>
      </c>
      <c r="AZ160" s="20" t="s">
        <v>698</v>
      </c>
      <c r="BC160" s="23">
        <v>44535.753472222219</v>
      </c>
      <c r="BD160" s="23">
        <v>44535.753472222219</v>
      </c>
      <c r="BE160" s="23">
        <v>44535.787499999999</v>
      </c>
      <c r="BF160" s="20">
        <v>1323692</v>
      </c>
      <c r="BG160" s="20">
        <v>1323867</v>
      </c>
      <c r="BH160" s="20" t="s">
        <v>698</v>
      </c>
      <c r="BN160" s="20" t="s">
        <v>777</v>
      </c>
      <c r="BP160" s="23">
        <v>44535.784722222219</v>
      </c>
      <c r="BQ160" s="20" t="s">
        <v>779</v>
      </c>
      <c r="BR160" s="20" t="s">
        <v>777</v>
      </c>
      <c r="BT160" s="23">
        <v>44535.791666666664</v>
      </c>
      <c r="BU160" s="20" t="s">
        <v>779</v>
      </c>
      <c r="BV160" s="20" t="s">
        <v>696</v>
      </c>
      <c r="BW160" s="23">
        <v>44535.753472222219</v>
      </c>
      <c r="BX160" s="20" t="s">
        <v>696</v>
      </c>
      <c r="BY160" s="23">
        <v>44535.751388888886</v>
      </c>
      <c r="BZ160" s="23">
        <v>44535.802083333336</v>
      </c>
      <c r="CA160" s="20">
        <v>0</v>
      </c>
      <c r="CB160" s="20" t="s">
        <v>1924</v>
      </c>
      <c r="CC160" s="20" t="s">
        <v>1925</v>
      </c>
      <c r="CD160" s="20" t="s">
        <v>739</v>
      </c>
      <c r="CE160" s="20">
        <v>74002</v>
      </c>
      <c r="CF160" s="20" t="s">
        <v>1926</v>
      </c>
      <c r="CG160" s="20" t="s">
        <v>1927</v>
      </c>
      <c r="CH160" s="20" t="s">
        <v>784</v>
      </c>
      <c r="CI160" s="20">
        <v>7.59</v>
      </c>
      <c r="CJ160" s="20" t="s">
        <v>698</v>
      </c>
      <c r="CK160" s="20" t="s">
        <v>785</v>
      </c>
      <c r="CL160" s="20" t="s">
        <v>741</v>
      </c>
      <c r="CM160" s="20" t="s">
        <v>742</v>
      </c>
      <c r="CO160" s="20">
        <v>34</v>
      </c>
      <c r="CP160" s="20" t="s">
        <v>698</v>
      </c>
      <c r="DM160" s="20" t="s">
        <v>715</v>
      </c>
      <c r="DN160" s="20" t="s">
        <v>744</v>
      </c>
      <c r="DO160" s="20" t="s">
        <v>745</v>
      </c>
      <c r="DP160" s="20" t="s">
        <v>698</v>
      </c>
      <c r="DQ160" s="20">
        <v>8</v>
      </c>
      <c r="DR160" s="20">
        <v>0.20300000000000001</v>
      </c>
      <c r="DS160" s="20">
        <v>35000</v>
      </c>
      <c r="DT160" s="20" t="s">
        <v>1024</v>
      </c>
      <c r="DU160" s="20" t="s">
        <v>747</v>
      </c>
      <c r="DW160" s="20" t="s">
        <v>728</v>
      </c>
      <c r="DX160" s="20" t="s">
        <v>805</v>
      </c>
      <c r="DZ160" s="20" t="s">
        <v>696</v>
      </c>
      <c r="FK160" s="20">
        <v>1931</v>
      </c>
      <c r="FL160" s="20">
        <v>1931</v>
      </c>
      <c r="FM160" s="20" t="s">
        <v>719</v>
      </c>
      <c r="FO160" s="20" t="s">
        <v>720</v>
      </c>
      <c r="FR160" s="20" t="s">
        <v>749</v>
      </c>
      <c r="FY160" s="20" t="s">
        <v>698</v>
      </c>
      <c r="GC160" s="20" t="s">
        <v>696</v>
      </c>
      <c r="GD160" s="20" t="s">
        <v>698</v>
      </c>
      <c r="GE160" s="20" t="s">
        <v>696</v>
      </c>
      <c r="GH160" s="20" t="s">
        <v>696</v>
      </c>
      <c r="GK160" s="20" t="s">
        <v>698</v>
      </c>
      <c r="GT160" s="20" t="s">
        <v>698</v>
      </c>
      <c r="GU160" s="20" t="s">
        <v>698</v>
      </c>
      <c r="HF160" s="20">
        <v>15000</v>
      </c>
      <c r="HG160" s="20">
        <v>500</v>
      </c>
      <c r="HH160" s="20">
        <v>50000</v>
      </c>
      <c r="HI160" s="20">
        <v>50000</v>
      </c>
      <c r="HJ160" s="20">
        <v>25000</v>
      </c>
      <c r="HK160" s="20">
        <v>0</v>
      </c>
      <c r="HM160" s="20">
        <v>140500</v>
      </c>
      <c r="HN160" s="20">
        <v>0</v>
      </c>
      <c r="HO160" s="20">
        <v>0</v>
      </c>
      <c r="HP160" s="20">
        <v>0</v>
      </c>
      <c r="HQ160" s="20">
        <v>0</v>
      </c>
      <c r="HR160" s="20">
        <v>25</v>
      </c>
      <c r="HS160" s="20">
        <v>750</v>
      </c>
      <c r="HT160" s="20" t="s">
        <v>787</v>
      </c>
      <c r="HV160" s="24">
        <v>33107</v>
      </c>
      <c r="HW160" s="20" t="s">
        <v>698</v>
      </c>
      <c r="HY160" s="20" t="s">
        <v>723</v>
      </c>
      <c r="HZ160" s="20" t="s">
        <v>698</v>
      </c>
      <c r="IC160" s="20">
        <v>16982</v>
      </c>
      <c r="ID160" s="20" t="s">
        <v>696</v>
      </c>
      <c r="IL160" s="20" t="s">
        <v>698</v>
      </c>
      <c r="IS160" s="20" t="s">
        <v>724</v>
      </c>
      <c r="IT160" s="20" t="s">
        <v>696</v>
      </c>
      <c r="IU160" s="20" t="s">
        <v>696</v>
      </c>
      <c r="IV160" s="20" t="s">
        <v>696</v>
      </c>
      <c r="IW160" s="20" t="s">
        <v>698</v>
      </c>
      <c r="IX160" s="20" t="s">
        <v>698</v>
      </c>
      <c r="IY160" s="20" t="s">
        <v>696</v>
      </c>
      <c r="IZ160" s="20" t="s">
        <v>696</v>
      </c>
      <c r="JA160" s="20" t="s">
        <v>696</v>
      </c>
      <c r="JB160" s="20" t="s">
        <v>698</v>
      </c>
      <c r="JC160" s="20" t="s">
        <v>698</v>
      </c>
      <c r="JD160" s="20" t="s">
        <v>725</v>
      </c>
      <c r="JE160" s="20" t="s">
        <v>726</v>
      </c>
      <c r="JR160" s="20" t="s">
        <v>698</v>
      </c>
      <c r="JS160" s="20" t="s">
        <v>698</v>
      </c>
      <c r="JX160" s="20" t="s">
        <v>833</v>
      </c>
      <c r="JY160" s="20" t="s">
        <v>860</v>
      </c>
      <c r="JZ160" s="20" t="s">
        <v>860</v>
      </c>
      <c r="KA160" s="20" t="s">
        <v>835</v>
      </c>
      <c r="KC160" s="20" t="s">
        <v>696</v>
      </c>
      <c r="KL160" s="20" t="s">
        <v>696</v>
      </c>
      <c r="KP160" s="20" t="s">
        <v>696</v>
      </c>
      <c r="KQ160" s="20" t="s">
        <v>696</v>
      </c>
      <c r="KR160" s="20">
        <v>1975</v>
      </c>
      <c r="KS160" s="20" t="s">
        <v>698</v>
      </c>
      <c r="KT160" s="20" t="s">
        <v>696</v>
      </c>
      <c r="KU160" s="20" t="s">
        <v>696</v>
      </c>
      <c r="KV160" s="20" t="s">
        <v>696</v>
      </c>
      <c r="KX160" s="20">
        <v>2022</v>
      </c>
      <c r="KY160" s="20">
        <v>2021</v>
      </c>
      <c r="LC160" s="20" t="s">
        <v>698</v>
      </c>
      <c r="SC160" s="20" t="s">
        <v>696</v>
      </c>
      <c r="SD160" s="20" t="s">
        <v>696</v>
      </c>
      <c r="SG160" s="20" t="s">
        <v>696</v>
      </c>
      <c r="SK160" s="20">
        <v>2019</v>
      </c>
      <c r="SL160" s="20" t="s">
        <v>863</v>
      </c>
      <c r="SM160" s="20" t="s">
        <v>864</v>
      </c>
      <c r="SO160" s="20" t="s">
        <v>865</v>
      </c>
      <c r="SQ160" s="20">
        <v>2014</v>
      </c>
      <c r="SR160" s="20" t="s">
        <v>863</v>
      </c>
      <c r="SS160" s="20" t="s">
        <v>864</v>
      </c>
      <c r="SU160" s="20" t="s">
        <v>865</v>
      </c>
      <c r="TQ160" s="20">
        <v>2019</v>
      </c>
      <c r="TR160" s="20" t="s">
        <v>863</v>
      </c>
      <c r="TS160" s="20" t="s">
        <v>865</v>
      </c>
      <c r="TU160" s="20" t="s">
        <v>866</v>
      </c>
      <c r="TV160" s="20">
        <v>2014</v>
      </c>
      <c r="TW160" s="20" t="s">
        <v>863</v>
      </c>
      <c r="TX160" s="20" t="s">
        <v>865</v>
      </c>
      <c r="TZ160" s="20" t="s">
        <v>866</v>
      </c>
      <c r="UO160" s="20" t="s">
        <v>696</v>
      </c>
      <c r="UP160" s="20">
        <v>1990</v>
      </c>
      <c r="UQ160" s="20">
        <v>1648</v>
      </c>
      <c r="UR160" s="20" t="s">
        <v>698</v>
      </c>
      <c r="UZ160" s="20" t="s">
        <v>698</v>
      </c>
      <c r="XL160" s="20" t="s">
        <v>1655</v>
      </c>
      <c r="XM160" s="20" t="s">
        <v>1626</v>
      </c>
      <c r="XN160" s="20" t="s">
        <v>1647</v>
      </c>
      <c r="XO160" s="20" t="s">
        <v>1648</v>
      </c>
      <c r="XQ160" s="24">
        <v>44770</v>
      </c>
      <c r="XU160" s="20" t="s">
        <v>730</v>
      </c>
      <c r="XV160" s="20" t="s">
        <v>733</v>
      </c>
      <c r="XW160" s="20" t="s">
        <v>1360</v>
      </c>
      <c r="XX160" s="20" t="s">
        <v>732</v>
      </c>
      <c r="XY160" s="20" t="s">
        <v>1928</v>
      </c>
    </row>
    <row r="161" spans="1:649" ht="13">
      <c r="A161" s="20">
        <v>1031</v>
      </c>
      <c r="B161" s="21">
        <v>44543</v>
      </c>
      <c r="C161" s="20">
        <v>2021</v>
      </c>
      <c r="D161" s="20">
        <v>20210347</v>
      </c>
      <c r="E161" s="20">
        <v>36120</v>
      </c>
      <c r="F161" s="20" t="s">
        <v>885</v>
      </c>
      <c r="G161" s="20">
        <v>12470</v>
      </c>
      <c r="H161" s="20" t="s">
        <v>1070</v>
      </c>
      <c r="I161" s="20" t="s">
        <v>692</v>
      </c>
      <c r="J161" s="20" t="s">
        <v>693</v>
      </c>
      <c r="K161" s="20" t="s">
        <v>694</v>
      </c>
      <c r="L161" s="20">
        <v>77002</v>
      </c>
      <c r="M161" s="22">
        <v>44519.583333333336</v>
      </c>
      <c r="P161" s="20">
        <v>40.706367999999998</v>
      </c>
      <c r="Q161" s="20">
        <v>-84.117478000000006</v>
      </c>
      <c r="R161" s="20" t="s">
        <v>697</v>
      </c>
      <c r="W161" s="20">
        <v>1</v>
      </c>
      <c r="Y161" s="20">
        <v>1</v>
      </c>
      <c r="Z161" s="20" t="s">
        <v>698</v>
      </c>
      <c r="AF161" s="20">
        <v>0</v>
      </c>
      <c r="AG161" s="20" t="s">
        <v>698</v>
      </c>
      <c r="AM161" s="20">
        <v>0</v>
      </c>
      <c r="AN161" s="20" t="s">
        <v>699</v>
      </c>
      <c r="AP161" s="20" t="s">
        <v>700</v>
      </c>
      <c r="AQ161" s="23">
        <v>44519.583333333336</v>
      </c>
      <c r="AR161" s="20" t="s">
        <v>736</v>
      </c>
      <c r="AS161" s="20" t="s">
        <v>702</v>
      </c>
      <c r="AU161" s="20" t="s">
        <v>698</v>
      </c>
      <c r="AV161" s="20" t="s">
        <v>1929</v>
      </c>
      <c r="BC161" s="23">
        <v>44519.583333333336</v>
      </c>
      <c r="BF161" s="20" t="s">
        <v>754</v>
      </c>
      <c r="BH161" s="20" t="s">
        <v>698</v>
      </c>
      <c r="BM161" s="20" t="s">
        <v>698</v>
      </c>
      <c r="CA161" s="20">
        <v>0</v>
      </c>
      <c r="CB161" s="20" t="s">
        <v>1907</v>
      </c>
      <c r="CC161" s="20" t="s">
        <v>1930</v>
      </c>
      <c r="CD161" s="20" t="s">
        <v>1075</v>
      </c>
      <c r="CE161" s="20">
        <v>45804</v>
      </c>
      <c r="CF161" s="20" t="s">
        <v>1909</v>
      </c>
      <c r="CG161" s="20" t="s">
        <v>1076</v>
      </c>
      <c r="CH161" s="20" t="s">
        <v>1931</v>
      </c>
      <c r="CI161" s="20">
        <v>0</v>
      </c>
      <c r="CJ161" s="20" t="s">
        <v>698</v>
      </c>
      <c r="CK161" s="20" t="s">
        <v>712</v>
      </c>
      <c r="CL161" s="20" t="s">
        <v>741</v>
      </c>
      <c r="CM161" s="20" t="s">
        <v>742</v>
      </c>
      <c r="CO161" s="20">
        <v>18</v>
      </c>
      <c r="CP161" s="20" t="s">
        <v>698</v>
      </c>
      <c r="DM161" s="20" t="s">
        <v>743</v>
      </c>
      <c r="DN161" s="20" t="s">
        <v>1932</v>
      </c>
      <c r="FK161" s="20">
        <v>2021</v>
      </c>
      <c r="FM161" s="20" t="s">
        <v>719</v>
      </c>
      <c r="FO161" s="20" t="s">
        <v>720</v>
      </c>
      <c r="FR161" s="20" t="s">
        <v>823</v>
      </c>
      <c r="FY161" s="20" t="s">
        <v>698</v>
      </c>
      <c r="GC161" s="20" t="s">
        <v>696</v>
      </c>
      <c r="GD161" s="20" t="s">
        <v>698</v>
      </c>
      <c r="GE161" s="20" t="s">
        <v>696</v>
      </c>
      <c r="GH161" s="20" t="s">
        <v>696</v>
      </c>
      <c r="GK161" s="20" t="s">
        <v>698</v>
      </c>
      <c r="GT161" s="20" t="s">
        <v>696</v>
      </c>
      <c r="GU161" s="20" t="s">
        <v>696</v>
      </c>
      <c r="GX161" s="20" t="s">
        <v>696</v>
      </c>
      <c r="GY161" s="20" t="s">
        <v>696</v>
      </c>
      <c r="HF161" s="20">
        <v>0</v>
      </c>
      <c r="HG161" s="20">
        <v>80</v>
      </c>
      <c r="HH161" s="20">
        <v>1800</v>
      </c>
      <c r="HI161" s="20">
        <v>20000</v>
      </c>
      <c r="HJ161" s="20">
        <v>1500</v>
      </c>
      <c r="HK161" s="20">
        <v>0</v>
      </c>
      <c r="HM161" s="20">
        <v>23380</v>
      </c>
      <c r="HR161" s="20">
        <v>0</v>
      </c>
      <c r="HS161" s="20">
        <v>70</v>
      </c>
      <c r="HY161" s="20" t="s">
        <v>723</v>
      </c>
      <c r="HZ161" s="20" t="s">
        <v>698</v>
      </c>
      <c r="IS161" s="20" t="s">
        <v>724</v>
      </c>
      <c r="IT161" s="20" t="s">
        <v>696</v>
      </c>
      <c r="IU161" s="20" t="s">
        <v>696</v>
      </c>
      <c r="IV161" s="20" t="s">
        <v>696</v>
      </c>
      <c r="IW161" s="20" t="s">
        <v>698</v>
      </c>
      <c r="IX161" s="20" t="s">
        <v>698</v>
      </c>
      <c r="IY161" s="20" t="s">
        <v>696</v>
      </c>
      <c r="IZ161" s="20" t="s">
        <v>696</v>
      </c>
      <c r="JA161" s="20" t="s">
        <v>696</v>
      </c>
      <c r="JB161" s="20" t="s">
        <v>698</v>
      </c>
      <c r="JC161" s="20" t="s">
        <v>698</v>
      </c>
      <c r="JD161" s="20" t="s">
        <v>725</v>
      </c>
      <c r="JE161" s="20" t="s">
        <v>726</v>
      </c>
      <c r="JR161" s="20" t="s">
        <v>698</v>
      </c>
      <c r="JS161" s="20" t="s">
        <v>698</v>
      </c>
      <c r="JX161" s="20" t="s">
        <v>789</v>
      </c>
      <c r="JY161" s="20" t="s">
        <v>953</v>
      </c>
      <c r="QB161" s="20" t="s">
        <v>953</v>
      </c>
      <c r="QQ161" s="20" t="s">
        <v>766</v>
      </c>
      <c r="QR161" s="20" t="s">
        <v>1933</v>
      </c>
      <c r="RK161" s="20" t="s">
        <v>696</v>
      </c>
      <c r="RL161" s="20" t="s">
        <v>1934</v>
      </c>
      <c r="XL161" s="20" t="s">
        <v>1902</v>
      </c>
      <c r="XM161" s="20" t="s">
        <v>1903</v>
      </c>
      <c r="XN161" s="20" t="s">
        <v>1904</v>
      </c>
      <c r="XO161" s="20" t="s">
        <v>1905</v>
      </c>
      <c r="XQ161" s="24">
        <v>44543</v>
      </c>
      <c r="XU161" s="20" t="s">
        <v>1624</v>
      </c>
      <c r="XV161" s="20">
        <v>9795319036</v>
      </c>
      <c r="XW161" s="20" t="s">
        <v>1626</v>
      </c>
      <c r="XX161" s="20" t="s">
        <v>1627</v>
      </c>
      <c r="XY161" s="20" t="s">
        <v>1935</v>
      </c>
    </row>
    <row r="162" spans="1:649" ht="13">
      <c r="A162" s="20">
        <v>1047</v>
      </c>
      <c r="B162" s="21">
        <v>44522</v>
      </c>
      <c r="C162" s="20">
        <v>2021</v>
      </c>
      <c r="D162" s="20">
        <v>20210331</v>
      </c>
      <c r="E162" s="20">
        <v>36033</v>
      </c>
      <c r="F162" s="20" t="s">
        <v>885</v>
      </c>
      <c r="G162" s="20">
        <v>22442</v>
      </c>
      <c r="H162" s="20" t="s">
        <v>886</v>
      </c>
      <c r="I162" s="20" t="s">
        <v>692</v>
      </c>
      <c r="J162" s="20" t="s">
        <v>693</v>
      </c>
      <c r="K162" s="20" t="s">
        <v>694</v>
      </c>
      <c r="L162" s="20">
        <v>77002</v>
      </c>
      <c r="M162" s="22">
        <v>44501.460416666669</v>
      </c>
      <c r="P162" s="20">
        <v>31.777937000000001</v>
      </c>
      <c r="Q162" s="20">
        <v>-96.400397999999996</v>
      </c>
      <c r="R162" s="20" t="s">
        <v>697</v>
      </c>
      <c r="W162" s="20">
        <v>2</v>
      </c>
      <c r="Y162" s="20">
        <v>2</v>
      </c>
      <c r="Z162" s="20" t="s">
        <v>698</v>
      </c>
      <c r="AF162" s="20">
        <v>0</v>
      </c>
      <c r="AG162" s="20" t="s">
        <v>698</v>
      </c>
      <c r="AM162" s="20">
        <v>0</v>
      </c>
      <c r="AN162" s="20" t="s">
        <v>699</v>
      </c>
      <c r="AP162" s="20" t="s">
        <v>700</v>
      </c>
      <c r="AQ162" s="23">
        <v>44501.460416666669</v>
      </c>
      <c r="AR162" s="20" t="s">
        <v>736</v>
      </c>
      <c r="AS162" s="20" t="s">
        <v>702</v>
      </c>
      <c r="AU162" s="20" t="s">
        <v>698</v>
      </c>
      <c r="AV162" s="20" t="s">
        <v>1936</v>
      </c>
      <c r="BC162" s="23">
        <v>44501.558333333334</v>
      </c>
      <c r="BF162" s="20" t="s">
        <v>754</v>
      </c>
      <c r="BH162" s="20" t="s">
        <v>698</v>
      </c>
      <c r="BM162" s="20" t="s">
        <v>698</v>
      </c>
      <c r="CA162" s="20">
        <v>0</v>
      </c>
      <c r="CB162" s="20" t="s">
        <v>1937</v>
      </c>
      <c r="CC162" s="20" t="s">
        <v>1938</v>
      </c>
      <c r="CD162" s="20" t="s">
        <v>694</v>
      </c>
      <c r="CE162" s="20">
        <v>77659</v>
      </c>
      <c r="CF162" s="20" t="s">
        <v>1939</v>
      </c>
      <c r="CG162" s="20" t="s">
        <v>1940</v>
      </c>
      <c r="CH162" s="20" t="s">
        <v>1931</v>
      </c>
      <c r="CI162" s="20">
        <v>0</v>
      </c>
      <c r="CJ162" s="20" t="s">
        <v>698</v>
      </c>
      <c r="CK162" s="20" t="s">
        <v>712</v>
      </c>
      <c r="CL162" s="20" t="s">
        <v>741</v>
      </c>
      <c r="CM162" s="20" t="s">
        <v>742</v>
      </c>
      <c r="CO162" s="20">
        <v>120</v>
      </c>
      <c r="CP162" s="20" t="s">
        <v>698</v>
      </c>
      <c r="DM162" s="20" t="s">
        <v>743</v>
      </c>
      <c r="DN162" s="20" t="s">
        <v>744</v>
      </c>
      <c r="DO162" s="20" t="s">
        <v>745</v>
      </c>
      <c r="DQ162" s="20">
        <v>36</v>
      </c>
      <c r="DR162" s="20">
        <v>0.375</v>
      </c>
      <c r="DS162" s="20">
        <v>42000</v>
      </c>
      <c r="DT162" s="20" t="s">
        <v>985</v>
      </c>
      <c r="DU162" s="20" t="s">
        <v>747</v>
      </c>
      <c r="DW162" s="20" t="s">
        <v>1941</v>
      </c>
      <c r="DX162" s="20" t="s">
        <v>748</v>
      </c>
      <c r="FK162" s="20">
        <v>2018</v>
      </c>
      <c r="FL162" s="20">
        <v>2018</v>
      </c>
      <c r="FM162" s="20" t="s">
        <v>719</v>
      </c>
      <c r="FO162" s="20" t="s">
        <v>720</v>
      </c>
      <c r="FR162" s="20" t="s">
        <v>749</v>
      </c>
      <c r="FY162" s="20" t="s">
        <v>698</v>
      </c>
      <c r="GC162" s="20" t="s">
        <v>696</v>
      </c>
      <c r="GD162" s="20" t="s">
        <v>698</v>
      </c>
      <c r="GE162" s="20" t="s">
        <v>696</v>
      </c>
      <c r="GH162" s="20" t="s">
        <v>696</v>
      </c>
      <c r="GK162" s="20" t="s">
        <v>698</v>
      </c>
      <c r="GT162" s="20" t="s">
        <v>698</v>
      </c>
      <c r="GU162" s="20" t="s">
        <v>698</v>
      </c>
      <c r="HF162" s="20">
        <v>0</v>
      </c>
      <c r="HG162" s="20">
        <v>168</v>
      </c>
      <c r="HH162" s="20">
        <v>1000</v>
      </c>
      <c r="HI162" s="20">
        <v>34000</v>
      </c>
      <c r="HJ162" s="20">
        <v>5000</v>
      </c>
      <c r="HK162" s="20">
        <v>0</v>
      </c>
      <c r="HM162" s="20">
        <v>40168</v>
      </c>
      <c r="HR162" s="20">
        <v>5</v>
      </c>
      <c r="HS162" s="20">
        <v>285</v>
      </c>
      <c r="HY162" s="20" t="s">
        <v>723</v>
      </c>
      <c r="HZ162" s="20" t="s">
        <v>698</v>
      </c>
      <c r="IS162" s="20" t="s">
        <v>724</v>
      </c>
      <c r="IT162" s="20" t="s">
        <v>696</v>
      </c>
      <c r="IU162" s="20" t="s">
        <v>696</v>
      </c>
      <c r="IV162" s="20" t="s">
        <v>696</v>
      </c>
      <c r="IW162" s="20" t="s">
        <v>698</v>
      </c>
      <c r="IX162" s="20" t="s">
        <v>698</v>
      </c>
      <c r="IY162" s="20" t="s">
        <v>696</v>
      </c>
      <c r="IZ162" s="20" t="s">
        <v>696</v>
      </c>
      <c r="JA162" s="20" t="s">
        <v>696</v>
      </c>
      <c r="JB162" s="20" t="s">
        <v>698</v>
      </c>
      <c r="JC162" s="20" t="s">
        <v>698</v>
      </c>
      <c r="JD162" s="20" t="s">
        <v>725</v>
      </c>
      <c r="JE162" s="20" t="s">
        <v>726</v>
      </c>
      <c r="JR162" s="20" t="s">
        <v>698</v>
      </c>
      <c r="JS162" s="20" t="s">
        <v>698</v>
      </c>
      <c r="JX162" s="20" t="s">
        <v>833</v>
      </c>
      <c r="JY162" s="20" t="s">
        <v>834</v>
      </c>
      <c r="JZ162" s="20" t="s">
        <v>834</v>
      </c>
      <c r="LD162" s="20" t="s">
        <v>1442</v>
      </c>
      <c r="LG162" s="20" t="s">
        <v>696</v>
      </c>
      <c r="LH162" s="20" t="s">
        <v>696</v>
      </c>
      <c r="LL162" s="20" t="s">
        <v>696</v>
      </c>
      <c r="LP162" s="20" t="s">
        <v>696</v>
      </c>
      <c r="LU162" s="20" t="s">
        <v>696</v>
      </c>
      <c r="LV162" s="20" t="s">
        <v>698</v>
      </c>
      <c r="LW162" s="20" t="s">
        <v>838</v>
      </c>
      <c r="LX162" s="20" t="s">
        <v>838</v>
      </c>
      <c r="SC162" s="20" t="s">
        <v>698</v>
      </c>
      <c r="UO162" s="20" t="s">
        <v>696</v>
      </c>
      <c r="UP162" s="20">
        <v>2018</v>
      </c>
      <c r="UQ162" s="20">
        <v>364</v>
      </c>
      <c r="UR162" s="20" t="s">
        <v>698</v>
      </c>
      <c r="UZ162" s="20" t="s">
        <v>698</v>
      </c>
      <c r="XL162" s="20" t="s">
        <v>1902</v>
      </c>
      <c r="XM162" s="20" t="s">
        <v>1903</v>
      </c>
      <c r="XN162" s="20" t="s">
        <v>1904</v>
      </c>
      <c r="XO162" s="20" t="s">
        <v>1905</v>
      </c>
      <c r="XQ162" s="24">
        <v>44522</v>
      </c>
      <c r="XU162" s="20" t="s">
        <v>1624</v>
      </c>
      <c r="XV162" s="20">
        <v>9795319036</v>
      </c>
      <c r="XW162" s="20" t="s">
        <v>1626</v>
      </c>
      <c r="XX162" s="20" t="s">
        <v>1627</v>
      </c>
      <c r="XY162" s="20" t="s">
        <v>1942</v>
      </c>
    </row>
    <row r="163" spans="1:649" ht="13">
      <c r="A163" s="20">
        <v>1057</v>
      </c>
      <c r="B163" s="21">
        <v>44518</v>
      </c>
      <c r="C163" s="20">
        <v>2021</v>
      </c>
      <c r="D163" s="20">
        <v>20210325</v>
      </c>
      <c r="E163" s="20">
        <v>36012</v>
      </c>
      <c r="F163" s="20" t="s">
        <v>885</v>
      </c>
      <c r="G163" s="20">
        <v>39706</v>
      </c>
      <c r="H163" s="20" t="s">
        <v>1943</v>
      </c>
      <c r="I163" s="20" t="s">
        <v>692</v>
      </c>
      <c r="J163" s="20" t="s">
        <v>693</v>
      </c>
      <c r="K163" s="20" t="s">
        <v>694</v>
      </c>
      <c r="L163" s="20">
        <v>77002</v>
      </c>
      <c r="M163" s="22">
        <v>44490.166666666664</v>
      </c>
      <c r="P163" s="20">
        <v>30.001258329999999</v>
      </c>
      <c r="Q163" s="20">
        <v>-93.992594440000005</v>
      </c>
      <c r="R163" s="20" t="s">
        <v>697</v>
      </c>
      <c r="W163" s="20">
        <v>10</v>
      </c>
      <c r="Y163" s="20">
        <v>10</v>
      </c>
      <c r="Z163" s="20" t="s">
        <v>698</v>
      </c>
      <c r="AF163" s="20">
        <v>0</v>
      </c>
      <c r="AG163" s="20" t="s">
        <v>698</v>
      </c>
      <c r="AM163" s="20">
        <v>0</v>
      </c>
      <c r="AN163" s="20" t="s">
        <v>699</v>
      </c>
      <c r="AP163" s="20" t="s">
        <v>700</v>
      </c>
      <c r="AQ163" s="23">
        <v>44490.166666666664</v>
      </c>
      <c r="AR163" s="20" t="s">
        <v>736</v>
      </c>
      <c r="AS163" s="20" t="s">
        <v>702</v>
      </c>
      <c r="AU163" s="20" t="s">
        <v>698</v>
      </c>
      <c r="AV163" s="20" t="s">
        <v>1944</v>
      </c>
      <c r="BC163" s="23">
        <v>44490.166666666664</v>
      </c>
      <c r="BF163" s="20" t="s">
        <v>754</v>
      </c>
      <c r="BH163" s="20" t="s">
        <v>698</v>
      </c>
      <c r="BM163" s="20" t="s">
        <v>698</v>
      </c>
      <c r="CA163" s="20">
        <v>0</v>
      </c>
      <c r="CB163" s="20" t="s">
        <v>818</v>
      </c>
      <c r="CC163" s="20" t="s">
        <v>819</v>
      </c>
      <c r="CD163" s="20" t="s">
        <v>694</v>
      </c>
      <c r="CE163" s="20">
        <v>77627</v>
      </c>
      <c r="CF163" s="20" t="s">
        <v>820</v>
      </c>
      <c r="CG163" s="20" t="s">
        <v>821</v>
      </c>
      <c r="CH163" s="20" t="s">
        <v>710</v>
      </c>
      <c r="CI163" s="20" t="s">
        <v>711</v>
      </c>
      <c r="CJ163" s="20" t="s">
        <v>698</v>
      </c>
      <c r="CK163" s="20" t="s">
        <v>712</v>
      </c>
      <c r="CL163" s="20" t="s">
        <v>713</v>
      </c>
      <c r="CM163" s="20" t="s">
        <v>758</v>
      </c>
      <c r="CP163" s="20" t="s">
        <v>698</v>
      </c>
      <c r="DM163" s="20" t="s">
        <v>743</v>
      </c>
      <c r="DN163" s="20" t="s">
        <v>759</v>
      </c>
      <c r="FK163" s="20">
        <v>2021</v>
      </c>
      <c r="FM163" s="20" t="s">
        <v>719</v>
      </c>
      <c r="FO163" s="20" t="s">
        <v>720</v>
      </c>
      <c r="FR163" s="20" t="s">
        <v>823</v>
      </c>
      <c r="FY163" s="20" t="s">
        <v>698</v>
      </c>
      <c r="GC163" s="20" t="s">
        <v>696</v>
      </c>
      <c r="GD163" s="20" t="s">
        <v>698</v>
      </c>
      <c r="GE163" s="20" t="s">
        <v>696</v>
      </c>
      <c r="GH163" s="20" t="s">
        <v>696</v>
      </c>
      <c r="GK163" s="20" t="s">
        <v>698</v>
      </c>
      <c r="GT163" s="20" t="s">
        <v>698</v>
      </c>
      <c r="GU163" s="20" t="s">
        <v>696</v>
      </c>
      <c r="GX163" s="20" t="s">
        <v>696</v>
      </c>
      <c r="GY163" s="20" t="s">
        <v>698</v>
      </c>
      <c r="HF163" s="20">
        <v>0</v>
      </c>
      <c r="HG163" s="20">
        <v>700</v>
      </c>
      <c r="HH163" s="20">
        <v>2500</v>
      </c>
      <c r="HI163" s="20">
        <v>2500</v>
      </c>
      <c r="HJ163" s="20">
        <v>13000</v>
      </c>
      <c r="HK163" s="20">
        <v>0</v>
      </c>
      <c r="HM163" s="20">
        <v>18700</v>
      </c>
      <c r="HR163" s="20">
        <v>80</v>
      </c>
      <c r="HS163" s="20">
        <v>275</v>
      </c>
      <c r="HY163" s="20" t="s">
        <v>723</v>
      </c>
      <c r="HZ163" s="20" t="s">
        <v>698</v>
      </c>
      <c r="IS163" s="20" t="s">
        <v>724</v>
      </c>
      <c r="IT163" s="20" t="s">
        <v>696</v>
      </c>
      <c r="IU163" s="20" t="s">
        <v>696</v>
      </c>
      <c r="IV163" s="20" t="s">
        <v>696</v>
      </c>
      <c r="IW163" s="20" t="s">
        <v>698</v>
      </c>
      <c r="IX163" s="20" t="s">
        <v>698</v>
      </c>
      <c r="IY163" s="20" t="s">
        <v>696</v>
      </c>
      <c r="IZ163" s="20" t="s">
        <v>696</v>
      </c>
      <c r="JA163" s="20" t="s">
        <v>696</v>
      </c>
      <c r="JB163" s="20" t="s">
        <v>698</v>
      </c>
      <c r="JC163" s="20" t="s">
        <v>698</v>
      </c>
      <c r="JD163" s="20" t="s">
        <v>725</v>
      </c>
      <c r="JE163" s="20" t="s">
        <v>726</v>
      </c>
      <c r="JR163" s="20" t="s">
        <v>698</v>
      </c>
      <c r="JS163" s="20" t="s">
        <v>698</v>
      </c>
      <c r="JX163" s="20" t="s">
        <v>894</v>
      </c>
      <c r="JY163" s="20" t="s">
        <v>1080</v>
      </c>
      <c r="RM163" s="20" t="s">
        <v>1080</v>
      </c>
      <c r="RT163" s="20" t="s">
        <v>696</v>
      </c>
      <c r="RU163" s="20" t="s">
        <v>1945</v>
      </c>
      <c r="RV163" s="20" t="s">
        <v>1590</v>
      </c>
      <c r="RW163" s="20" t="s">
        <v>696</v>
      </c>
      <c r="RX163" s="20" t="s">
        <v>898</v>
      </c>
      <c r="XL163" s="20" t="s">
        <v>1902</v>
      </c>
      <c r="XM163" s="20" t="s">
        <v>1903</v>
      </c>
      <c r="XN163" s="20" t="s">
        <v>1904</v>
      </c>
      <c r="XO163" s="20" t="s">
        <v>1905</v>
      </c>
      <c r="XQ163" s="24">
        <v>44518</v>
      </c>
      <c r="XU163" s="20" t="s">
        <v>1624</v>
      </c>
      <c r="XV163" s="20">
        <v>9795319036</v>
      </c>
      <c r="XW163" s="20" t="s">
        <v>1626</v>
      </c>
      <c r="XX163" s="20" t="s">
        <v>1627</v>
      </c>
      <c r="XY163" s="20" t="s">
        <v>1946</v>
      </c>
    </row>
    <row r="164" spans="1:649" ht="13">
      <c r="A164" s="20">
        <v>1068</v>
      </c>
      <c r="B164" s="21">
        <v>44504</v>
      </c>
      <c r="C164" s="20">
        <v>2021</v>
      </c>
      <c r="D164" s="20">
        <v>20210314</v>
      </c>
      <c r="E164" s="20">
        <v>36046</v>
      </c>
      <c r="F164" s="20" t="s">
        <v>825</v>
      </c>
      <c r="G164" s="20">
        <v>18718</v>
      </c>
      <c r="H164" s="20" t="s">
        <v>918</v>
      </c>
      <c r="I164" s="20" t="s">
        <v>692</v>
      </c>
      <c r="J164" s="20" t="s">
        <v>693</v>
      </c>
      <c r="K164" s="20" t="s">
        <v>694</v>
      </c>
      <c r="L164" s="20">
        <v>77002</v>
      </c>
      <c r="M164" s="22">
        <v>44475.387499999997</v>
      </c>
      <c r="P164" s="20">
        <v>42.609662</v>
      </c>
      <c r="Q164" s="20">
        <v>-83.039991000000001</v>
      </c>
      <c r="R164" s="20" t="s">
        <v>697</v>
      </c>
      <c r="W164" s="20">
        <v>1.9</v>
      </c>
      <c r="Y164" s="20">
        <v>1.9</v>
      </c>
      <c r="Z164" s="20" t="s">
        <v>698</v>
      </c>
      <c r="AF164" s="20">
        <v>0</v>
      </c>
      <c r="AG164" s="20" t="s">
        <v>698</v>
      </c>
      <c r="AM164" s="20">
        <v>0</v>
      </c>
      <c r="AN164" s="20" t="s">
        <v>775</v>
      </c>
      <c r="AQ164" s="23">
        <v>44475.34375</v>
      </c>
      <c r="AR164" s="20" t="s">
        <v>701</v>
      </c>
      <c r="AS164" s="20" t="s">
        <v>702</v>
      </c>
      <c r="AU164" s="20" t="s">
        <v>698</v>
      </c>
      <c r="AV164" s="20" t="s">
        <v>1947</v>
      </c>
      <c r="BC164" s="23">
        <v>44475.387499999997</v>
      </c>
      <c r="BF164" s="20" t="s">
        <v>754</v>
      </c>
      <c r="BH164" s="20" t="s">
        <v>698</v>
      </c>
      <c r="BM164" s="20" t="s">
        <v>698</v>
      </c>
      <c r="CA164" s="20">
        <v>0</v>
      </c>
      <c r="CB164" s="20" t="s">
        <v>1948</v>
      </c>
      <c r="CC164" s="20" t="s">
        <v>1949</v>
      </c>
      <c r="CD164" s="20" t="s">
        <v>976</v>
      </c>
      <c r="CE164" s="20">
        <v>48314</v>
      </c>
      <c r="CF164" s="20" t="s">
        <v>1950</v>
      </c>
      <c r="CG164" s="20" t="s">
        <v>1579</v>
      </c>
      <c r="CH164" s="20" t="s">
        <v>1931</v>
      </c>
      <c r="CI164" s="20">
        <v>194</v>
      </c>
      <c r="CJ164" s="20" t="s">
        <v>698</v>
      </c>
      <c r="CK164" s="20" t="s">
        <v>712</v>
      </c>
      <c r="CL164" s="20" t="s">
        <v>713</v>
      </c>
      <c r="CM164" s="20" t="s">
        <v>758</v>
      </c>
      <c r="CP164" s="20" t="s">
        <v>698</v>
      </c>
      <c r="DM164" s="20" t="s">
        <v>743</v>
      </c>
      <c r="DN164" s="20" t="s">
        <v>1951</v>
      </c>
      <c r="FK164" s="20">
        <v>2006</v>
      </c>
      <c r="FM164" s="20" t="s">
        <v>719</v>
      </c>
      <c r="FO164" s="20" t="s">
        <v>720</v>
      </c>
      <c r="FR164" s="20" t="s">
        <v>768</v>
      </c>
      <c r="FY164" s="20" t="s">
        <v>698</v>
      </c>
      <c r="GC164" s="20" t="s">
        <v>698</v>
      </c>
      <c r="GD164" s="20" t="s">
        <v>698</v>
      </c>
      <c r="GE164" s="20" t="s">
        <v>698</v>
      </c>
      <c r="GK164" s="20" t="s">
        <v>698</v>
      </c>
      <c r="GT164" s="20" t="s">
        <v>696</v>
      </c>
      <c r="GU164" s="20" t="s">
        <v>696</v>
      </c>
      <c r="GX164" s="20" t="s">
        <v>696</v>
      </c>
      <c r="GY164" s="20" t="s">
        <v>696</v>
      </c>
      <c r="HF164" s="20">
        <v>0</v>
      </c>
      <c r="HG164" s="20">
        <v>152</v>
      </c>
      <c r="HH164" s="20">
        <v>3000</v>
      </c>
      <c r="HI164" s="20">
        <v>5000</v>
      </c>
      <c r="HJ164" s="20">
        <v>8000</v>
      </c>
      <c r="HK164" s="20">
        <v>0</v>
      </c>
      <c r="HM164" s="20">
        <v>16152</v>
      </c>
      <c r="HR164" s="20">
        <v>300</v>
      </c>
      <c r="HS164" s="20">
        <v>1300</v>
      </c>
      <c r="HY164" s="20" t="s">
        <v>723</v>
      </c>
      <c r="HZ164" s="20" t="s">
        <v>698</v>
      </c>
      <c r="IS164" s="20" t="s">
        <v>724</v>
      </c>
      <c r="IT164" s="20" t="s">
        <v>696</v>
      </c>
      <c r="IU164" s="20" t="s">
        <v>696</v>
      </c>
      <c r="IV164" s="20" t="s">
        <v>696</v>
      </c>
      <c r="IW164" s="20" t="s">
        <v>698</v>
      </c>
      <c r="IX164" s="20" t="s">
        <v>698</v>
      </c>
      <c r="IY164" s="20" t="s">
        <v>696</v>
      </c>
      <c r="IZ164" s="20" t="s">
        <v>696</v>
      </c>
      <c r="JA164" s="20" t="s">
        <v>696</v>
      </c>
      <c r="JB164" s="20" t="s">
        <v>698</v>
      </c>
      <c r="JC164" s="20" t="s">
        <v>698</v>
      </c>
      <c r="JD164" s="20" t="s">
        <v>725</v>
      </c>
      <c r="JE164" s="20" t="s">
        <v>726</v>
      </c>
      <c r="JR164" s="20" t="s">
        <v>698</v>
      </c>
      <c r="JS164" s="20" t="s">
        <v>698</v>
      </c>
      <c r="JX164" s="20" t="s">
        <v>833</v>
      </c>
      <c r="JY164" s="20" t="s">
        <v>860</v>
      </c>
      <c r="JZ164" s="20" t="s">
        <v>860</v>
      </c>
      <c r="KA164" s="20" t="s">
        <v>835</v>
      </c>
      <c r="KD164" s="20" t="s">
        <v>696</v>
      </c>
      <c r="KL164" s="20" t="s">
        <v>696</v>
      </c>
      <c r="KP164" s="20" t="s">
        <v>698</v>
      </c>
      <c r="LB164" s="20" t="s">
        <v>696</v>
      </c>
      <c r="LC164" s="20" t="s">
        <v>698</v>
      </c>
      <c r="XL164" s="20" t="s">
        <v>1902</v>
      </c>
      <c r="XM164" s="20" t="s">
        <v>1903</v>
      </c>
      <c r="XN164" s="20" t="s">
        <v>1904</v>
      </c>
      <c r="XO164" s="20" t="s">
        <v>1905</v>
      </c>
      <c r="XQ164" s="24">
        <v>44529</v>
      </c>
      <c r="XU164" s="20" t="s">
        <v>730</v>
      </c>
      <c r="XV164" s="20" t="s">
        <v>733</v>
      </c>
      <c r="XW164" s="20" t="s">
        <v>1360</v>
      </c>
      <c r="XX164" s="20" t="s">
        <v>732</v>
      </c>
      <c r="XY164" s="20" t="s">
        <v>1952</v>
      </c>
    </row>
    <row r="165" spans="1:649" ht="13">
      <c r="A165" s="20">
        <v>1075</v>
      </c>
      <c r="B165" s="21">
        <v>44495</v>
      </c>
      <c r="C165" s="20">
        <v>2021</v>
      </c>
      <c r="D165" s="20">
        <v>20210304</v>
      </c>
      <c r="E165" s="20">
        <v>35916</v>
      </c>
      <c r="F165" s="20" t="s">
        <v>885</v>
      </c>
      <c r="G165" s="20">
        <v>18718</v>
      </c>
      <c r="H165" s="20" t="s">
        <v>918</v>
      </c>
      <c r="I165" s="20" t="s">
        <v>692</v>
      </c>
      <c r="J165" s="20" t="s">
        <v>693</v>
      </c>
      <c r="K165" s="20" t="s">
        <v>694</v>
      </c>
      <c r="L165" s="20">
        <v>77002</v>
      </c>
      <c r="M165" s="22">
        <v>44468.604166666664</v>
      </c>
      <c r="P165" s="20">
        <v>32.066916999999997</v>
      </c>
      <c r="Q165" s="20">
        <v>-96.472069000000005</v>
      </c>
      <c r="R165" s="20" t="s">
        <v>697</v>
      </c>
      <c r="W165" s="20">
        <v>1.5</v>
      </c>
      <c r="Y165" s="20">
        <v>1.5</v>
      </c>
      <c r="Z165" s="20" t="s">
        <v>698</v>
      </c>
      <c r="AF165" s="20">
        <v>0</v>
      </c>
      <c r="AG165" s="20" t="s">
        <v>698</v>
      </c>
      <c r="AM165" s="20">
        <v>0</v>
      </c>
      <c r="AN165" s="20" t="s">
        <v>699</v>
      </c>
      <c r="AP165" s="20" t="s">
        <v>1013</v>
      </c>
      <c r="AQ165" s="23">
        <v>44468.614583333336</v>
      </c>
      <c r="AR165" s="20" t="s">
        <v>736</v>
      </c>
      <c r="AS165" s="20" t="s">
        <v>702</v>
      </c>
      <c r="AU165" s="20" t="s">
        <v>698</v>
      </c>
      <c r="AV165" s="20" t="s">
        <v>1953</v>
      </c>
      <c r="BC165" s="23">
        <v>44468.614583333336</v>
      </c>
      <c r="BF165" s="20" t="s">
        <v>754</v>
      </c>
      <c r="BH165" s="20" t="s">
        <v>698</v>
      </c>
      <c r="BM165" s="20" t="s">
        <v>698</v>
      </c>
      <c r="CA165" s="20">
        <v>0</v>
      </c>
      <c r="CB165" s="20" t="s">
        <v>1420</v>
      </c>
      <c r="CC165" s="20" t="s">
        <v>1954</v>
      </c>
      <c r="CD165" s="20" t="s">
        <v>694</v>
      </c>
      <c r="CE165" s="20">
        <v>75110</v>
      </c>
      <c r="CF165" s="20" t="s">
        <v>1296</v>
      </c>
      <c r="CG165" s="20" t="s">
        <v>1283</v>
      </c>
      <c r="CH165" s="20" t="s">
        <v>1931</v>
      </c>
      <c r="CI165" s="20">
        <v>0</v>
      </c>
      <c r="CJ165" s="20" t="s">
        <v>698</v>
      </c>
      <c r="CK165" s="20" t="s">
        <v>712</v>
      </c>
      <c r="CL165" s="20" t="s">
        <v>741</v>
      </c>
      <c r="CM165" s="20" t="s">
        <v>742</v>
      </c>
      <c r="CO165" s="20">
        <v>168</v>
      </c>
      <c r="CP165" s="20" t="s">
        <v>698</v>
      </c>
      <c r="DM165" s="20" t="s">
        <v>743</v>
      </c>
      <c r="DN165" s="20" t="s">
        <v>744</v>
      </c>
      <c r="DO165" s="20" t="s">
        <v>745</v>
      </c>
      <c r="DQ165" s="20">
        <v>24</v>
      </c>
      <c r="DR165" s="20">
        <v>0.375</v>
      </c>
      <c r="DS165" s="20">
        <v>42000</v>
      </c>
      <c r="DT165" s="20" t="s">
        <v>985</v>
      </c>
      <c r="DU165" s="20" t="s">
        <v>747</v>
      </c>
      <c r="DW165" s="20" t="s">
        <v>728</v>
      </c>
      <c r="DX165" s="20" t="s">
        <v>748</v>
      </c>
      <c r="FK165" s="20">
        <v>2015</v>
      </c>
      <c r="FL165" s="20">
        <v>2015</v>
      </c>
      <c r="FM165" s="20" t="s">
        <v>719</v>
      </c>
      <c r="FO165" s="20" t="s">
        <v>720</v>
      </c>
      <c r="FR165" s="20" t="s">
        <v>749</v>
      </c>
      <c r="FY165" s="20" t="s">
        <v>698</v>
      </c>
      <c r="GC165" s="20" t="s">
        <v>696</v>
      </c>
      <c r="GD165" s="20" t="s">
        <v>698</v>
      </c>
      <c r="GE165" s="20" t="s">
        <v>696</v>
      </c>
      <c r="GH165" s="20" t="s">
        <v>696</v>
      </c>
      <c r="GK165" s="20" t="s">
        <v>698</v>
      </c>
      <c r="GT165" s="20" t="s">
        <v>696</v>
      </c>
      <c r="GU165" s="20" t="s">
        <v>696</v>
      </c>
      <c r="GZ165" s="20" t="s">
        <v>696</v>
      </c>
      <c r="HA165" s="20" t="s">
        <v>696</v>
      </c>
      <c r="HF165" s="20">
        <v>0</v>
      </c>
      <c r="HG165" s="20">
        <v>160</v>
      </c>
      <c r="HH165" s="20">
        <v>1000</v>
      </c>
      <c r="HI165" s="20">
        <v>11000</v>
      </c>
      <c r="HJ165" s="20">
        <v>8000</v>
      </c>
      <c r="HK165" s="20">
        <v>0</v>
      </c>
      <c r="HM165" s="20">
        <v>20160</v>
      </c>
      <c r="HR165" s="20">
        <v>0</v>
      </c>
      <c r="HS165" s="20">
        <v>0</v>
      </c>
      <c r="HY165" s="20" t="s">
        <v>723</v>
      </c>
      <c r="HZ165" s="20" t="s">
        <v>698</v>
      </c>
      <c r="IS165" s="20" t="s">
        <v>724</v>
      </c>
      <c r="IT165" s="20" t="s">
        <v>696</v>
      </c>
      <c r="IU165" s="20" t="s">
        <v>696</v>
      </c>
      <c r="IV165" s="20" t="s">
        <v>696</v>
      </c>
      <c r="IW165" s="20" t="s">
        <v>698</v>
      </c>
      <c r="IX165" s="20" t="s">
        <v>698</v>
      </c>
      <c r="IY165" s="20" t="s">
        <v>696</v>
      </c>
      <c r="IZ165" s="20" t="s">
        <v>696</v>
      </c>
      <c r="JA165" s="20" t="s">
        <v>696</v>
      </c>
      <c r="JB165" s="20" t="s">
        <v>698</v>
      </c>
      <c r="JC165" s="20" t="s">
        <v>698</v>
      </c>
      <c r="JD165" s="20" t="s">
        <v>725</v>
      </c>
      <c r="JE165" s="20" t="s">
        <v>726</v>
      </c>
      <c r="JR165" s="20" t="s">
        <v>698</v>
      </c>
      <c r="JS165" s="20" t="s">
        <v>698</v>
      </c>
      <c r="JX165" s="20" t="s">
        <v>833</v>
      </c>
      <c r="JY165" s="20" t="s">
        <v>834</v>
      </c>
      <c r="JZ165" s="20" t="s">
        <v>834</v>
      </c>
      <c r="LD165" s="20" t="s">
        <v>1442</v>
      </c>
      <c r="LG165" s="20" t="s">
        <v>696</v>
      </c>
      <c r="LH165" s="20" t="s">
        <v>696</v>
      </c>
      <c r="LL165" s="20" t="s">
        <v>696</v>
      </c>
      <c r="LP165" s="20" t="s">
        <v>696</v>
      </c>
      <c r="LU165" s="20" t="s">
        <v>698</v>
      </c>
      <c r="LV165" s="20" t="s">
        <v>698</v>
      </c>
      <c r="LW165" s="20" t="s">
        <v>838</v>
      </c>
      <c r="LX165" s="20" t="s">
        <v>838</v>
      </c>
      <c r="SC165" s="20" t="s">
        <v>698</v>
      </c>
      <c r="UO165" s="20" t="s">
        <v>698</v>
      </c>
      <c r="UR165" s="20" t="s">
        <v>698</v>
      </c>
      <c r="UZ165" s="20" t="s">
        <v>698</v>
      </c>
      <c r="XL165" s="20" t="s">
        <v>1902</v>
      </c>
      <c r="XM165" s="20" t="s">
        <v>1903</v>
      </c>
      <c r="XN165" s="20" t="s">
        <v>1904</v>
      </c>
      <c r="XO165" s="20" t="s">
        <v>1905</v>
      </c>
      <c r="XQ165" s="24">
        <v>44495</v>
      </c>
      <c r="XU165" s="20" t="s">
        <v>1624</v>
      </c>
      <c r="XV165" s="20">
        <v>9795319036</v>
      </c>
      <c r="XW165" s="20" t="s">
        <v>1626</v>
      </c>
      <c r="XX165" s="20" t="s">
        <v>1627</v>
      </c>
      <c r="XY165" s="20" t="s">
        <v>1955</v>
      </c>
    </row>
    <row r="166" spans="1:649" ht="13">
      <c r="A166" s="20">
        <v>1079</v>
      </c>
      <c r="B166" s="21">
        <v>44497</v>
      </c>
      <c r="C166" s="20">
        <v>2021</v>
      </c>
      <c r="D166" s="20">
        <v>20210307</v>
      </c>
      <c r="E166" s="20">
        <v>35928</v>
      </c>
      <c r="F166" s="20" t="s">
        <v>885</v>
      </c>
      <c r="G166" s="20">
        <v>39205</v>
      </c>
      <c r="H166" s="20" t="s">
        <v>957</v>
      </c>
      <c r="I166" s="20" t="s">
        <v>692</v>
      </c>
      <c r="J166" s="20" t="s">
        <v>693</v>
      </c>
      <c r="K166" s="20" t="s">
        <v>694</v>
      </c>
      <c r="L166" s="20">
        <v>77002</v>
      </c>
      <c r="M166" s="22">
        <v>44467.34375</v>
      </c>
      <c r="P166" s="20">
        <v>47.799233000000001</v>
      </c>
      <c r="Q166" s="20">
        <v>-102.923277</v>
      </c>
      <c r="R166" s="20" t="s">
        <v>697</v>
      </c>
      <c r="W166" s="20">
        <v>0.2</v>
      </c>
      <c r="Y166" s="20">
        <v>0.2</v>
      </c>
      <c r="Z166" s="20" t="s">
        <v>698</v>
      </c>
      <c r="AF166" s="20">
        <v>0</v>
      </c>
      <c r="AG166" s="20" t="s">
        <v>698</v>
      </c>
      <c r="AM166" s="20">
        <v>0</v>
      </c>
      <c r="AN166" s="20" t="s">
        <v>699</v>
      </c>
      <c r="AP166" s="20" t="s">
        <v>700</v>
      </c>
      <c r="AQ166" s="23">
        <v>44467.34375</v>
      </c>
      <c r="AR166" s="20" t="s">
        <v>701</v>
      </c>
      <c r="AS166" s="20" t="s">
        <v>702</v>
      </c>
      <c r="AU166" s="20" t="s">
        <v>698</v>
      </c>
      <c r="AV166" s="20" t="s">
        <v>1956</v>
      </c>
      <c r="BC166" s="23">
        <v>44467.34375</v>
      </c>
      <c r="BF166" s="20" t="s">
        <v>754</v>
      </c>
      <c r="BH166" s="20" t="s">
        <v>698</v>
      </c>
      <c r="BM166" s="20" t="s">
        <v>698</v>
      </c>
      <c r="CA166" s="20">
        <v>0</v>
      </c>
      <c r="CB166" s="20" t="s">
        <v>1957</v>
      </c>
      <c r="CC166" s="20" t="s">
        <v>1958</v>
      </c>
      <c r="CD166" s="20" t="s">
        <v>707</v>
      </c>
      <c r="CE166" s="20">
        <v>58854</v>
      </c>
      <c r="CF166" s="20" t="s">
        <v>1669</v>
      </c>
      <c r="CG166" s="20" t="s">
        <v>709</v>
      </c>
      <c r="CH166" s="20" t="s">
        <v>710</v>
      </c>
      <c r="CI166" s="20" t="s">
        <v>711</v>
      </c>
      <c r="CJ166" s="20" t="s">
        <v>698</v>
      </c>
      <c r="CK166" s="20" t="s">
        <v>712</v>
      </c>
      <c r="CL166" s="20" t="s">
        <v>713</v>
      </c>
      <c r="CM166" s="20" t="s">
        <v>758</v>
      </c>
      <c r="CP166" s="20" t="s">
        <v>698</v>
      </c>
      <c r="DM166" s="20" t="s">
        <v>743</v>
      </c>
      <c r="DN166" s="20" t="s">
        <v>766</v>
      </c>
      <c r="FJ166" s="20" t="s">
        <v>1847</v>
      </c>
      <c r="FK166" s="20">
        <v>2021</v>
      </c>
      <c r="FM166" s="20" t="s">
        <v>719</v>
      </c>
      <c r="FO166" s="20" t="s">
        <v>720</v>
      </c>
      <c r="FR166" s="20" t="s">
        <v>823</v>
      </c>
      <c r="FY166" s="20" t="s">
        <v>698</v>
      </c>
      <c r="GC166" s="20" t="s">
        <v>698</v>
      </c>
      <c r="GD166" s="20" t="s">
        <v>698</v>
      </c>
      <c r="GE166" s="20" t="s">
        <v>698</v>
      </c>
      <c r="GK166" s="20" t="s">
        <v>698</v>
      </c>
      <c r="GT166" s="20" t="s">
        <v>698</v>
      </c>
      <c r="GU166" s="20" t="s">
        <v>698</v>
      </c>
      <c r="HF166" s="20">
        <v>0</v>
      </c>
      <c r="HG166" s="20">
        <v>16</v>
      </c>
      <c r="HH166" s="20">
        <v>235</v>
      </c>
      <c r="HI166" s="20">
        <v>565</v>
      </c>
      <c r="HJ166" s="20">
        <v>0</v>
      </c>
      <c r="HK166" s="20">
        <v>0</v>
      </c>
      <c r="HM166" s="20">
        <v>816</v>
      </c>
      <c r="HR166" s="20">
        <v>490</v>
      </c>
      <c r="HS166" s="20">
        <v>1440</v>
      </c>
      <c r="HY166" s="20" t="s">
        <v>723</v>
      </c>
      <c r="HZ166" s="20" t="s">
        <v>698</v>
      </c>
      <c r="IS166" s="20" t="s">
        <v>724</v>
      </c>
      <c r="IT166" s="20" t="s">
        <v>696</v>
      </c>
      <c r="IU166" s="20" t="s">
        <v>696</v>
      </c>
      <c r="IV166" s="20" t="s">
        <v>696</v>
      </c>
      <c r="IW166" s="20" t="s">
        <v>698</v>
      </c>
      <c r="IX166" s="20" t="s">
        <v>698</v>
      </c>
      <c r="IY166" s="20" t="s">
        <v>696</v>
      </c>
      <c r="IZ166" s="20" t="s">
        <v>696</v>
      </c>
      <c r="JA166" s="20" t="s">
        <v>696</v>
      </c>
      <c r="JB166" s="20" t="s">
        <v>698</v>
      </c>
      <c r="JC166" s="20" t="s">
        <v>698</v>
      </c>
      <c r="JD166" s="20" t="s">
        <v>725</v>
      </c>
      <c r="JE166" s="20" t="s">
        <v>726</v>
      </c>
      <c r="JR166" s="20" t="s">
        <v>698</v>
      </c>
      <c r="JS166" s="20" t="s">
        <v>698</v>
      </c>
      <c r="JX166" s="20" t="s">
        <v>789</v>
      </c>
      <c r="JY166" s="20" t="s">
        <v>953</v>
      </c>
      <c r="QB166" s="20" t="s">
        <v>953</v>
      </c>
      <c r="QQ166" s="20" t="s">
        <v>1847</v>
      </c>
      <c r="QV166" s="20" t="s">
        <v>696</v>
      </c>
      <c r="XL166" s="20" t="s">
        <v>1902</v>
      </c>
      <c r="XM166" s="20" t="s">
        <v>1903</v>
      </c>
      <c r="XN166" s="20" t="s">
        <v>1904</v>
      </c>
      <c r="XO166" s="20" t="s">
        <v>1905</v>
      </c>
      <c r="XQ166" s="24">
        <v>44497</v>
      </c>
      <c r="XU166" s="20" t="s">
        <v>730</v>
      </c>
      <c r="XV166" s="20" t="s">
        <v>733</v>
      </c>
      <c r="XW166" s="20" t="s">
        <v>1360</v>
      </c>
      <c r="XX166" s="20" t="s">
        <v>732</v>
      </c>
      <c r="XY166" s="20" t="s">
        <v>1959</v>
      </c>
    </row>
    <row r="167" spans="1:649" ht="13">
      <c r="A167" s="20">
        <v>1083</v>
      </c>
      <c r="B167" s="21">
        <v>44487</v>
      </c>
      <c r="C167" s="20">
        <v>2021</v>
      </c>
      <c r="D167" s="20">
        <v>20210299</v>
      </c>
      <c r="E167" s="20">
        <v>35895</v>
      </c>
      <c r="F167" s="20" t="s">
        <v>825</v>
      </c>
      <c r="G167" s="20">
        <v>31476</v>
      </c>
      <c r="H167" s="20" t="s">
        <v>735</v>
      </c>
      <c r="I167" s="20" t="s">
        <v>692</v>
      </c>
      <c r="J167" s="20" t="s">
        <v>693</v>
      </c>
      <c r="K167" s="20" t="s">
        <v>694</v>
      </c>
      <c r="L167" s="20">
        <v>77002</v>
      </c>
      <c r="M167" s="22">
        <v>44462.37777777778</v>
      </c>
      <c r="P167" s="20">
        <v>40.206229999999998</v>
      </c>
      <c r="Q167" s="20">
        <v>-104.608678</v>
      </c>
      <c r="R167" s="20" t="s">
        <v>697</v>
      </c>
      <c r="W167" s="20">
        <v>0.2</v>
      </c>
      <c r="Y167" s="20">
        <v>0.2</v>
      </c>
      <c r="Z167" s="20" t="s">
        <v>698</v>
      </c>
      <c r="AF167" s="20">
        <v>0</v>
      </c>
      <c r="AG167" s="20" t="s">
        <v>698</v>
      </c>
      <c r="AM167" s="20">
        <v>0</v>
      </c>
      <c r="AN167" s="20" t="s">
        <v>699</v>
      </c>
      <c r="AP167" s="20" t="s">
        <v>700</v>
      </c>
      <c r="AQ167" s="23">
        <v>44462.384722222225</v>
      </c>
      <c r="AR167" s="20" t="s">
        <v>907</v>
      </c>
      <c r="AS167" s="20" t="s">
        <v>702</v>
      </c>
      <c r="AU167" s="20" t="s">
        <v>698</v>
      </c>
      <c r="AV167" s="20" t="s">
        <v>1960</v>
      </c>
      <c r="BC167" s="23">
        <v>44462.384722222225</v>
      </c>
      <c r="BF167" s="20" t="s">
        <v>754</v>
      </c>
      <c r="BH167" s="20" t="s">
        <v>698</v>
      </c>
      <c r="BM167" s="20" t="s">
        <v>698</v>
      </c>
      <c r="CA167" s="20">
        <v>0</v>
      </c>
      <c r="CB167" s="20" t="s">
        <v>1961</v>
      </c>
      <c r="CC167" s="20" t="s">
        <v>1962</v>
      </c>
      <c r="CD167" s="20" t="s">
        <v>1963</v>
      </c>
      <c r="CE167" s="20">
        <v>80645</v>
      </c>
      <c r="CF167" s="20" t="s">
        <v>1964</v>
      </c>
      <c r="CG167" s="20" t="s">
        <v>1965</v>
      </c>
      <c r="CH167" s="20" t="s">
        <v>1931</v>
      </c>
      <c r="CI167" s="20">
        <v>0</v>
      </c>
      <c r="CJ167" s="20" t="s">
        <v>698</v>
      </c>
      <c r="CK167" s="20" t="s">
        <v>712</v>
      </c>
      <c r="CL167" s="20" t="s">
        <v>910</v>
      </c>
      <c r="CP167" s="20" t="s">
        <v>698</v>
      </c>
      <c r="DM167" s="20" t="s">
        <v>743</v>
      </c>
      <c r="DN167" s="20" t="s">
        <v>911</v>
      </c>
      <c r="EW167" s="20" t="s">
        <v>912</v>
      </c>
      <c r="EY167" s="20" t="s">
        <v>913</v>
      </c>
      <c r="FK167" s="20">
        <v>2013</v>
      </c>
      <c r="FM167" s="20" t="s">
        <v>962</v>
      </c>
      <c r="FN167" s="20" t="s">
        <v>1676</v>
      </c>
      <c r="FO167" s="20" t="s">
        <v>720</v>
      </c>
      <c r="FR167" s="20" t="s">
        <v>721</v>
      </c>
      <c r="FY167" s="20" t="s">
        <v>698</v>
      </c>
      <c r="GC167" s="20" t="s">
        <v>696</v>
      </c>
      <c r="GD167" s="20" t="s">
        <v>698</v>
      </c>
      <c r="GE167" s="20" t="s">
        <v>696</v>
      </c>
      <c r="GH167" s="20" t="s">
        <v>696</v>
      </c>
      <c r="GK167" s="20" t="s">
        <v>698</v>
      </c>
      <c r="GT167" s="20" t="s">
        <v>698</v>
      </c>
      <c r="GU167" s="20" t="s">
        <v>698</v>
      </c>
      <c r="HF167" s="20">
        <v>0</v>
      </c>
      <c r="HG167" s="20">
        <v>16</v>
      </c>
      <c r="HH167" s="20">
        <v>500</v>
      </c>
      <c r="HI167" s="20">
        <v>1500</v>
      </c>
      <c r="HJ167" s="20">
        <v>0</v>
      </c>
      <c r="HK167" s="20">
        <v>0</v>
      </c>
      <c r="HM167" s="20">
        <v>2016</v>
      </c>
      <c r="HR167" s="20">
        <v>10</v>
      </c>
      <c r="HS167" s="20">
        <v>285</v>
      </c>
      <c r="HY167" s="20" t="s">
        <v>723</v>
      </c>
      <c r="HZ167" s="20" t="s">
        <v>698</v>
      </c>
      <c r="IS167" s="20" t="s">
        <v>724</v>
      </c>
      <c r="IT167" s="20" t="s">
        <v>696</v>
      </c>
      <c r="IU167" s="20" t="s">
        <v>696</v>
      </c>
      <c r="IV167" s="20" t="s">
        <v>696</v>
      </c>
      <c r="IW167" s="20" t="s">
        <v>698</v>
      </c>
      <c r="IX167" s="20" t="s">
        <v>698</v>
      </c>
      <c r="IY167" s="20" t="s">
        <v>696</v>
      </c>
      <c r="IZ167" s="20" t="s">
        <v>696</v>
      </c>
      <c r="JA167" s="20" t="s">
        <v>696</v>
      </c>
      <c r="JB167" s="20" t="s">
        <v>698</v>
      </c>
      <c r="JC167" s="20" t="s">
        <v>698</v>
      </c>
      <c r="JD167" s="20" t="s">
        <v>725</v>
      </c>
      <c r="JE167" s="20" t="s">
        <v>726</v>
      </c>
      <c r="JR167" s="20" t="s">
        <v>698</v>
      </c>
      <c r="JS167" s="20" t="s">
        <v>698</v>
      </c>
      <c r="JX167" s="20" t="s">
        <v>789</v>
      </c>
      <c r="JY167" s="20" t="s">
        <v>914</v>
      </c>
      <c r="QB167" s="20" t="s">
        <v>914</v>
      </c>
      <c r="QS167" s="20" t="s">
        <v>915</v>
      </c>
      <c r="RK167" s="20" t="s">
        <v>696</v>
      </c>
      <c r="RL167" s="20" t="s">
        <v>1966</v>
      </c>
      <c r="XL167" s="20" t="s">
        <v>1902</v>
      </c>
      <c r="XM167" s="20" t="s">
        <v>1903</v>
      </c>
      <c r="XN167" s="20" t="s">
        <v>1904</v>
      </c>
      <c r="XO167" s="20">
        <v>7139894527</v>
      </c>
      <c r="XQ167" s="24">
        <v>44488</v>
      </c>
      <c r="XU167" s="20" t="s">
        <v>1624</v>
      </c>
      <c r="XV167" s="20">
        <v>9795319036</v>
      </c>
      <c r="XW167" s="20" t="s">
        <v>1626</v>
      </c>
      <c r="XX167" s="20" t="s">
        <v>1627</v>
      </c>
      <c r="XY167" s="20" t="s">
        <v>1967</v>
      </c>
    </row>
    <row r="168" spans="1:649" ht="13">
      <c r="A168" s="20">
        <v>1084</v>
      </c>
      <c r="B168" s="21">
        <v>44487</v>
      </c>
      <c r="C168" s="20">
        <v>2021</v>
      </c>
      <c r="D168" s="20">
        <v>20210298</v>
      </c>
      <c r="E168" s="20">
        <v>35890</v>
      </c>
      <c r="F168" s="20" t="s">
        <v>885</v>
      </c>
      <c r="G168" s="20">
        <v>22442</v>
      </c>
      <c r="H168" s="20" t="s">
        <v>886</v>
      </c>
      <c r="I168" s="20" t="s">
        <v>692</v>
      </c>
      <c r="J168" s="20" t="s">
        <v>693</v>
      </c>
      <c r="K168" s="20" t="s">
        <v>694</v>
      </c>
      <c r="L168" s="20">
        <v>77002</v>
      </c>
      <c r="M168" s="22">
        <v>44462.291666666664</v>
      </c>
      <c r="P168" s="20">
        <v>30.150176999999999</v>
      </c>
      <c r="Q168" s="20">
        <v>-94.404161000000002</v>
      </c>
      <c r="R168" s="20" t="s">
        <v>697</v>
      </c>
      <c r="W168" s="20">
        <v>2</v>
      </c>
      <c r="Y168" s="20">
        <v>2</v>
      </c>
      <c r="Z168" s="20" t="s">
        <v>698</v>
      </c>
      <c r="AF168" s="20">
        <v>0</v>
      </c>
      <c r="AG168" s="20" t="s">
        <v>698</v>
      </c>
      <c r="AM168" s="20">
        <v>0</v>
      </c>
      <c r="AN168" s="20" t="s">
        <v>699</v>
      </c>
      <c r="AP168" s="20" t="s">
        <v>700</v>
      </c>
      <c r="AQ168" s="23">
        <v>44462.3125</v>
      </c>
      <c r="AR168" s="20" t="s">
        <v>736</v>
      </c>
      <c r="AS168" s="20" t="s">
        <v>702</v>
      </c>
      <c r="AU168" s="20" t="s">
        <v>698</v>
      </c>
      <c r="AV168" s="20" t="s">
        <v>1968</v>
      </c>
      <c r="BC168" s="23">
        <v>44462.3125</v>
      </c>
      <c r="BF168" s="20" t="s">
        <v>754</v>
      </c>
      <c r="BH168" s="20" t="s">
        <v>698</v>
      </c>
      <c r="BM168" s="20" t="s">
        <v>698</v>
      </c>
      <c r="CA168" s="20">
        <v>0</v>
      </c>
      <c r="CB168" s="20" t="s">
        <v>1969</v>
      </c>
      <c r="CC168" s="20" t="s">
        <v>1970</v>
      </c>
      <c r="CD168" s="20" t="s">
        <v>694</v>
      </c>
      <c r="CE168" s="20">
        <v>77659</v>
      </c>
      <c r="CF168" s="20" t="s">
        <v>1038</v>
      </c>
      <c r="CG168" s="20" t="s">
        <v>1039</v>
      </c>
      <c r="CH168" s="20" t="s">
        <v>710</v>
      </c>
      <c r="CI168" s="20">
        <v>150264</v>
      </c>
      <c r="CJ168" s="20" t="s">
        <v>698</v>
      </c>
      <c r="CK168" s="20" t="s">
        <v>712</v>
      </c>
      <c r="CL168" s="20" t="s">
        <v>713</v>
      </c>
      <c r="CM168" s="20" t="s">
        <v>758</v>
      </c>
      <c r="CP168" s="20" t="s">
        <v>698</v>
      </c>
      <c r="DM168" s="20" t="s">
        <v>743</v>
      </c>
      <c r="DN168" s="20" t="s">
        <v>822</v>
      </c>
      <c r="FK168" s="20">
        <v>2016</v>
      </c>
      <c r="FM168" s="20" t="s">
        <v>719</v>
      </c>
      <c r="FO168" s="20" t="s">
        <v>720</v>
      </c>
      <c r="FR168" s="20" t="s">
        <v>823</v>
      </c>
      <c r="FY168" s="20" t="s">
        <v>698</v>
      </c>
      <c r="GC168" s="20" t="s">
        <v>696</v>
      </c>
      <c r="GD168" s="20" t="s">
        <v>698</v>
      </c>
      <c r="GE168" s="20" t="s">
        <v>696</v>
      </c>
      <c r="GH168" s="20" t="s">
        <v>696</v>
      </c>
      <c r="GK168" s="20" t="s">
        <v>698</v>
      </c>
      <c r="GT168" s="20" t="s">
        <v>698</v>
      </c>
      <c r="GU168" s="20" t="s">
        <v>698</v>
      </c>
      <c r="HF168" s="20">
        <v>0</v>
      </c>
      <c r="HG168" s="20">
        <v>150</v>
      </c>
      <c r="HH168" s="20">
        <v>1000</v>
      </c>
      <c r="HI168" s="20">
        <v>10000</v>
      </c>
      <c r="HJ168" s="20">
        <v>13850</v>
      </c>
      <c r="HK168" s="20">
        <v>0</v>
      </c>
      <c r="HM168" s="20">
        <v>25000</v>
      </c>
      <c r="HR168" s="20">
        <v>280</v>
      </c>
      <c r="HS168" s="20">
        <v>650</v>
      </c>
      <c r="HY168" s="20" t="s">
        <v>723</v>
      </c>
      <c r="HZ168" s="20" t="s">
        <v>698</v>
      </c>
      <c r="IS168" s="20" t="s">
        <v>724</v>
      </c>
      <c r="IT168" s="20" t="s">
        <v>696</v>
      </c>
      <c r="IU168" s="20" t="s">
        <v>696</v>
      </c>
      <c r="IV168" s="20" t="s">
        <v>696</v>
      </c>
      <c r="IW168" s="20" t="s">
        <v>698</v>
      </c>
      <c r="IX168" s="20" t="s">
        <v>698</v>
      </c>
      <c r="IY168" s="20" t="s">
        <v>696</v>
      </c>
      <c r="IZ168" s="20" t="s">
        <v>696</v>
      </c>
      <c r="JA168" s="20" t="s">
        <v>696</v>
      </c>
      <c r="JB168" s="20" t="s">
        <v>698</v>
      </c>
      <c r="JC168" s="20" t="s">
        <v>698</v>
      </c>
      <c r="JD168" s="20" t="s">
        <v>725</v>
      </c>
      <c r="JE168" s="20" t="s">
        <v>726</v>
      </c>
      <c r="JR168" s="20" t="s">
        <v>698</v>
      </c>
      <c r="JS168" s="20" t="s">
        <v>698</v>
      </c>
      <c r="JX168" s="20" t="s">
        <v>789</v>
      </c>
      <c r="JY168" s="20" t="s">
        <v>953</v>
      </c>
      <c r="QB168" s="20" t="s">
        <v>953</v>
      </c>
      <c r="QQ168" s="20" t="s">
        <v>954</v>
      </c>
      <c r="QV168" s="20" t="s">
        <v>696</v>
      </c>
      <c r="XL168" s="20" t="s">
        <v>1902</v>
      </c>
      <c r="XM168" s="20" t="s">
        <v>1903</v>
      </c>
      <c r="XN168" s="20" t="s">
        <v>1904</v>
      </c>
      <c r="XO168" s="20" t="s">
        <v>1905</v>
      </c>
      <c r="XQ168" s="24">
        <v>44487</v>
      </c>
      <c r="XU168" s="20" t="s">
        <v>1624</v>
      </c>
      <c r="XV168" s="20">
        <v>9795319036</v>
      </c>
      <c r="XW168" s="20" t="s">
        <v>1626</v>
      </c>
      <c r="XX168" s="20" t="s">
        <v>1627</v>
      </c>
      <c r="XY168" s="20" t="s">
        <v>1971</v>
      </c>
    </row>
    <row r="169" spans="1:649" ht="13">
      <c r="A169" s="20">
        <v>1085</v>
      </c>
      <c r="B169" s="21">
        <v>44484</v>
      </c>
      <c r="C169" s="20">
        <v>2021</v>
      </c>
      <c r="D169" s="20">
        <v>20210295</v>
      </c>
      <c r="E169" s="20">
        <v>35883</v>
      </c>
      <c r="F169" s="20" t="s">
        <v>885</v>
      </c>
      <c r="G169" s="20">
        <v>12470</v>
      </c>
      <c r="H169" s="20" t="s">
        <v>1070</v>
      </c>
      <c r="I169" s="20" t="s">
        <v>692</v>
      </c>
      <c r="J169" s="20" t="s">
        <v>693</v>
      </c>
      <c r="K169" s="20" t="s">
        <v>694</v>
      </c>
      <c r="L169" s="20">
        <v>77002</v>
      </c>
      <c r="M169" s="22">
        <v>44459.3125</v>
      </c>
      <c r="P169" s="20">
        <v>40.707631999999997</v>
      </c>
      <c r="Q169" s="20">
        <v>-84.122129000000001</v>
      </c>
      <c r="R169" s="20" t="s">
        <v>697</v>
      </c>
      <c r="W169" s="20">
        <v>0.3</v>
      </c>
      <c r="Y169" s="20">
        <v>0.3</v>
      </c>
      <c r="Z169" s="20" t="s">
        <v>698</v>
      </c>
      <c r="AF169" s="20">
        <v>0</v>
      </c>
      <c r="AG169" s="20" t="s">
        <v>698</v>
      </c>
      <c r="AM169" s="20">
        <v>0</v>
      </c>
      <c r="AN169" s="20" t="s">
        <v>699</v>
      </c>
      <c r="AP169" s="20" t="s">
        <v>700</v>
      </c>
      <c r="AQ169" s="23">
        <v>44459.3125</v>
      </c>
      <c r="AR169" s="20" t="s">
        <v>736</v>
      </c>
      <c r="AS169" s="20" t="s">
        <v>702</v>
      </c>
      <c r="AU169" s="20" t="s">
        <v>698</v>
      </c>
      <c r="AV169" s="20" t="s">
        <v>1972</v>
      </c>
      <c r="BC169" s="23">
        <v>44459.3125</v>
      </c>
      <c r="BF169" s="20" t="s">
        <v>754</v>
      </c>
      <c r="BH169" s="20" t="s">
        <v>698</v>
      </c>
      <c r="BM169" s="20" t="s">
        <v>698</v>
      </c>
      <c r="CA169" s="20">
        <v>0</v>
      </c>
      <c r="CB169" s="20" t="s">
        <v>1907</v>
      </c>
      <c r="CC169" s="20" t="s">
        <v>1973</v>
      </c>
      <c r="CD169" s="20" t="s">
        <v>1075</v>
      </c>
      <c r="CE169" s="20">
        <v>45804</v>
      </c>
      <c r="CF169" s="20" t="s">
        <v>1909</v>
      </c>
      <c r="CG169" s="20" t="s">
        <v>1076</v>
      </c>
      <c r="CH169" s="20" t="s">
        <v>1931</v>
      </c>
      <c r="CI169" s="20">
        <v>0</v>
      </c>
      <c r="CJ169" s="20" t="s">
        <v>698</v>
      </c>
      <c r="CK169" s="20" t="s">
        <v>712</v>
      </c>
      <c r="CL169" s="20" t="s">
        <v>741</v>
      </c>
      <c r="CM169" s="20" t="s">
        <v>742</v>
      </c>
      <c r="CO169" s="20">
        <v>48</v>
      </c>
      <c r="CP169" s="20" t="s">
        <v>698</v>
      </c>
      <c r="DM169" s="20" t="s">
        <v>743</v>
      </c>
      <c r="DN169" s="20" t="s">
        <v>744</v>
      </c>
      <c r="DO169" s="20" t="s">
        <v>745</v>
      </c>
      <c r="DQ169" s="20">
        <v>10</v>
      </c>
      <c r="DR169" s="20">
        <v>0.28100000000000003</v>
      </c>
      <c r="DS169" s="20">
        <v>35000</v>
      </c>
      <c r="DT169" s="20" t="s">
        <v>1024</v>
      </c>
      <c r="DU169" s="20" t="s">
        <v>804</v>
      </c>
      <c r="DW169" s="20" t="s">
        <v>728</v>
      </c>
      <c r="DX169" s="20" t="s">
        <v>805</v>
      </c>
      <c r="FK169" s="20">
        <v>1950</v>
      </c>
      <c r="FL169" s="20">
        <v>1950</v>
      </c>
      <c r="FM169" s="20" t="s">
        <v>719</v>
      </c>
      <c r="FO169" s="20" t="s">
        <v>720</v>
      </c>
      <c r="FR169" s="20" t="s">
        <v>749</v>
      </c>
      <c r="FY169" s="20" t="s">
        <v>698</v>
      </c>
      <c r="GC169" s="20" t="s">
        <v>696</v>
      </c>
      <c r="GD169" s="20" t="s">
        <v>698</v>
      </c>
      <c r="GE169" s="20" t="s">
        <v>696</v>
      </c>
      <c r="GH169" s="20" t="s">
        <v>696</v>
      </c>
      <c r="GK169" s="20" t="s">
        <v>698</v>
      </c>
      <c r="GT169" s="20" t="s">
        <v>696</v>
      </c>
      <c r="GU169" s="20" t="s">
        <v>696</v>
      </c>
      <c r="GX169" s="20" t="s">
        <v>696</v>
      </c>
      <c r="GY169" s="20" t="s">
        <v>696</v>
      </c>
      <c r="HF169" s="20">
        <v>0</v>
      </c>
      <c r="HG169" s="20">
        <v>50</v>
      </c>
      <c r="HH169" s="20">
        <v>7000</v>
      </c>
      <c r="HI169" s="20">
        <v>30000</v>
      </c>
      <c r="HJ169" s="20">
        <v>10000</v>
      </c>
      <c r="HK169" s="20">
        <v>0</v>
      </c>
      <c r="HM169" s="20">
        <v>47050</v>
      </c>
      <c r="HR169" s="20">
        <v>0</v>
      </c>
      <c r="HS169" s="20">
        <v>0</v>
      </c>
      <c r="HY169" s="20" t="s">
        <v>723</v>
      </c>
      <c r="HZ169" s="20" t="s">
        <v>698</v>
      </c>
      <c r="IS169" s="20" t="s">
        <v>724</v>
      </c>
      <c r="IT169" s="20" t="s">
        <v>696</v>
      </c>
      <c r="IU169" s="20" t="s">
        <v>696</v>
      </c>
      <c r="IV169" s="20" t="s">
        <v>696</v>
      </c>
      <c r="IW169" s="20" t="s">
        <v>698</v>
      </c>
      <c r="IX169" s="20" t="s">
        <v>698</v>
      </c>
      <c r="IY169" s="20" t="s">
        <v>696</v>
      </c>
      <c r="IZ169" s="20" t="s">
        <v>696</v>
      </c>
      <c r="JA169" s="20" t="s">
        <v>696</v>
      </c>
      <c r="JB169" s="20" t="s">
        <v>698</v>
      </c>
      <c r="JC169" s="20" t="s">
        <v>698</v>
      </c>
      <c r="JD169" s="20" t="s">
        <v>725</v>
      </c>
      <c r="JE169" s="20" t="s">
        <v>726</v>
      </c>
      <c r="JR169" s="20" t="s">
        <v>698</v>
      </c>
      <c r="JS169" s="20" t="s">
        <v>698</v>
      </c>
      <c r="JX169" s="20" t="s">
        <v>833</v>
      </c>
      <c r="JY169" s="20" t="s">
        <v>834</v>
      </c>
      <c r="JZ169" s="20" t="s">
        <v>834</v>
      </c>
      <c r="LD169" s="20" t="s">
        <v>1442</v>
      </c>
      <c r="LH169" s="20" t="s">
        <v>696</v>
      </c>
      <c r="LL169" s="20" t="s">
        <v>696</v>
      </c>
      <c r="LP169" s="20" t="s">
        <v>696</v>
      </c>
      <c r="LU169" s="20" t="s">
        <v>696</v>
      </c>
      <c r="LV169" s="20" t="s">
        <v>698</v>
      </c>
      <c r="LW169" s="20" t="s">
        <v>838</v>
      </c>
      <c r="LX169" s="20" t="s">
        <v>838</v>
      </c>
      <c r="SC169" s="20" t="s">
        <v>698</v>
      </c>
      <c r="UO169" s="20" t="s">
        <v>698</v>
      </c>
      <c r="UR169" s="20" t="s">
        <v>698</v>
      </c>
      <c r="UZ169" s="20" t="s">
        <v>698</v>
      </c>
      <c r="XL169" s="20" t="s">
        <v>1902</v>
      </c>
      <c r="XM169" s="20" t="s">
        <v>1903</v>
      </c>
      <c r="XN169" s="20" t="s">
        <v>1904</v>
      </c>
      <c r="XO169" s="20" t="s">
        <v>1905</v>
      </c>
      <c r="XQ169" s="24">
        <v>44484</v>
      </c>
      <c r="XU169" s="20" t="s">
        <v>1624</v>
      </c>
      <c r="XV169" s="20">
        <v>9795319036</v>
      </c>
      <c r="XW169" s="20" t="s">
        <v>1626</v>
      </c>
      <c r="XX169" s="20" t="s">
        <v>1627</v>
      </c>
      <c r="XY169" s="20" t="s">
        <v>1974</v>
      </c>
    </row>
    <row r="170" spans="1:649" ht="13">
      <c r="A170" s="20">
        <v>1098</v>
      </c>
      <c r="B170" s="21">
        <v>44466</v>
      </c>
      <c r="C170" s="20">
        <v>2021</v>
      </c>
      <c r="D170" s="20">
        <v>20210272</v>
      </c>
      <c r="E170" s="20">
        <v>38229</v>
      </c>
      <c r="F170" s="20" t="s">
        <v>825</v>
      </c>
      <c r="G170" s="20">
        <v>39706</v>
      </c>
      <c r="H170" s="20" t="s">
        <v>1943</v>
      </c>
      <c r="I170" s="20" t="s">
        <v>692</v>
      </c>
      <c r="J170" s="20" t="s">
        <v>693</v>
      </c>
      <c r="K170" s="20" t="s">
        <v>694</v>
      </c>
      <c r="L170" s="20">
        <v>77002</v>
      </c>
      <c r="M170" s="22">
        <v>44441.354166666664</v>
      </c>
      <c r="N170" s="20" t="s">
        <v>695</v>
      </c>
      <c r="O170" s="20" t="s">
        <v>696</v>
      </c>
      <c r="P170" s="20">
        <v>29.995016669999998</v>
      </c>
      <c r="Q170" s="20">
        <v>-93.993333329999999</v>
      </c>
      <c r="R170" s="20" t="s">
        <v>697</v>
      </c>
      <c r="W170" s="20">
        <v>66</v>
      </c>
      <c r="Y170" s="20">
        <v>66</v>
      </c>
      <c r="Z170" s="20" t="s">
        <v>698</v>
      </c>
      <c r="AF170" s="20">
        <v>0</v>
      </c>
      <c r="AG170" s="20" t="s">
        <v>698</v>
      </c>
      <c r="AM170" s="20">
        <v>0</v>
      </c>
      <c r="AN170" s="20" t="s">
        <v>699</v>
      </c>
      <c r="AP170" s="20" t="s">
        <v>700</v>
      </c>
      <c r="AQ170" s="23">
        <v>44441.354166666664</v>
      </c>
      <c r="AR170" s="20" t="s">
        <v>736</v>
      </c>
      <c r="AS170" s="20" t="s">
        <v>702</v>
      </c>
      <c r="AT170" s="20" t="s">
        <v>847</v>
      </c>
      <c r="AZ170" s="20" t="s">
        <v>698</v>
      </c>
      <c r="BC170" s="23">
        <v>44441.354166666664</v>
      </c>
      <c r="BD170" s="23">
        <v>44441.354166666664</v>
      </c>
      <c r="BF170" s="20" t="s">
        <v>754</v>
      </c>
      <c r="BH170" s="20" t="s">
        <v>698</v>
      </c>
      <c r="BV170" s="20" t="s">
        <v>696</v>
      </c>
      <c r="BW170" s="23">
        <v>44441.354166666664</v>
      </c>
      <c r="BX170" s="20" t="s">
        <v>696</v>
      </c>
      <c r="BY170" s="23">
        <v>44441.354166666664</v>
      </c>
      <c r="BZ170" s="23">
        <v>44441.354166666664</v>
      </c>
      <c r="CA170" s="20">
        <v>0</v>
      </c>
      <c r="CB170" s="20" t="s">
        <v>818</v>
      </c>
      <c r="CC170" s="20" t="s">
        <v>1975</v>
      </c>
      <c r="CD170" s="20" t="s">
        <v>694</v>
      </c>
      <c r="CE170" s="20">
        <v>77627</v>
      </c>
      <c r="CF170" s="20" t="s">
        <v>820</v>
      </c>
      <c r="CG170" s="20" t="s">
        <v>821</v>
      </c>
      <c r="CH170" s="20" t="s">
        <v>710</v>
      </c>
      <c r="CI170" s="20" t="s">
        <v>711</v>
      </c>
      <c r="CJ170" s="20" t="s">
        <v>698</v>
      </c>
      <c r="CK170" s="20" t="s">
        <v>712</v>
      </c>
      <c r="CL170" s="20" t="s">
        <v>713</v>
      </c>
      <c r="CM170" s="20" t="s">
        <v>758</v>
      </c>
      <c r="CP170" s="20" t="s">
        <v>698</v>
      </c>
      <c r="DM170" s="20" t="s">
        <v>743</v>
      </c>
      <c r="DN170" s="20" t="s">
        <v>766</v>
      </c>
      <c r="FJ170" s="20" t="s">
        <v>1976</v>
      </c>
      <c r="FK170" s="20">
        <v>1970</v>
      </c>
      <c r="FL170" s="20" t="s">
        <v>728</v>
      </c>
      <c r="FM170" s="20" t="s">
        <v>719</v>
      </c>
      <c r="FO170" s="20" t="s">
        <v>766</v>
      </c>
      <c r="FX170" s="20" t="s">
        <v>1977</v>
      </c>
      <c r="FY170" s="20" t="s">
        <v>698</v>
      </c>
      <c r="GC170" s="20" t="s">
        <v>696</v>
      </c>
      <c r="GD170" s="20" t="s">
        <v>698</v>
      </c>
      <c r="GE170" s="20" t="s">
        <v>696</v>
      </c>
      <c r="GH170" s="20" t="s">
        <v>696</v>
      </c>
      <c r="GK170" s="20" t="s">
        <v>698</v>
      </c>
      <c r="GT170" s="20" t="s">
        <v>698</v>
      </c>
      <c r="GU170" s="20" t="s">
        <v>696</v>
      </c>
      <c r="GX170" s="20" t="s">
        <v>696</v>
      </c>
      <c r="GY170" s="20" t="s">
        <v>698</v>
      </c>
      <c r="HF170" s="20">
        <v>0</v>
      </c>
      <c r="HG170" s="20">
        <v>4500</v>
      </c>
      <c r="HH170" s="20">
        <v>0</v>
      </c>
      <c r="HI170" s="20">
        <v>28500</v>
      </c>
      <c r="HJ170" s="20">
        <v>6500</v>
      </c>
      <c r="HK170" s="20">
        <v>0</v>
      </c>
      <c r="HM170" s="20">
        <v>39500</v>
      </c>
      <c r="HN170" s="20">
        <v>0</v>
      </c>
      <c r="HO170" s="20">
        <v>0</v>
      </c>
      <c r="HP170" s="20">
        <v>0</v>
      </c>
      <c r="HQ170" s="20">
        <v>0</v>
      </c>
      <c r="HR170" s="20">
        <v>80</v>
      </c>
      <c r="HS170" s="20">
        <v>285</v>
      </c>
      <c r="HT170" s="20" t="s">
        <v>787</v>
      </c>
      <c r="HV170" s="24">
        <v>44438</v>
      </c>
      <c r="HW170" s="20" t="s">
        <v>698</v>
      </c>
      <c r="HY170" s="20" t="s">
        <v>723</v>
      </c>
      <c r="HZ170" s="20" t="s">
        <v>698</v>
      </c>
      <c r="IS170" s="20" t="s">
        <v>724</v>
      </c>
      <c r="IT170" s="20" t="s">
        <v>696</v>
      </c>
      <c r="IU170" s="20" t="s">
        <v>696</v>
      </c>
      <c r="IV170" s="20" t="s">
        <v>696</v>
      </c>
      <c r="IW170" s="20" t="s">
        <v>698</v>
      </c>
      <c r="IX170" s="20" t="s">
        <v>698</v>
      </c>
      <c r="IY170" s="20" t="s">
        <v>696</v>
      </c>
      <c r="IZ170" s="20" t="s">
        <v>696</v>
      </c>
      <c r="JA170" s="20" t="s">
        <v>696</v>
      </c>
      <c r="JB170" s="20" t="s">
        <v>698</v>
      </c>
      <c r="JC170" s="20" t="s">
        <v>698</v>
      </c>
      <c r="JD170" s="20" t="s">
        <v>725</v>
      </c>
      <c r="JE170" s="20" t="s">
        <v>726</v>
      </c>
      <c r="JR170" s="20" t="s">
        <v>698</v>
      </c>
      <c r="JS170" s="20" t="s">
        <v>698</v>
      </c>
      <c r="JX170" s="20" t="s">
        <v>894</v>
      </c>
      <c r="JY170" s="20" t="s">
        <v>1032</v>
      </c>
      <c r="RM170" s="20" t="s">
        <v>1032</v>
      </c>
      <c r="RP170" s="20" t="s">
        <v>1978</v>
      </c>
      <c r="RT170" s="20" t="s">
        <v>696</v>
      </c>
      <c r="RU170" s="20" t="s">
        <v>1979</v>
      </c>
      <c r="RV170" s="20" t="s">
        <v>1590</v>
      </c>
      <c r="RW170" s="20" t="s">
        <v>696</v>
      </c>
      <c r="RX170" s="20" t="s">
        <v>898</v>
      </c>
      <c r="XL170" s="20" t="s">
        <v>730</v>
      </c>
      <c r="XM170" s="20" t="s">
        <v>1360</v>
      </c>
      <c r="XN170" s="20" t="s">
        <v>732</v>
      </c>
      <c r="XO170" s="20" t="s">
        <v>733</v>
      </c>
      <c r="XQ170" s="24">
        <v>45107</v>
      </c>
      <c r="XU170" s="20" t="s">
        <v>730</v>
      </c>
      <c r="XV170" s="20" t="s">
        <v>733</v>
      </c>
      <c r="XW170" s="20" t="s">
        <v>1360</v>
      </c>
      <c r="XX170" s="20" t="s">
        <v>732</v>
      </c>
      <c r="XY170" s="20" t="s">
        <v>1980</v>
      </c>
    </row>
    <row r="171" spans="1:649" ht="13">
      <c r="A171" s="20">
        <v>1120</v>
      </c>
      <c r="B171" s="21">
        <v>44456</v>
      </c>
      <c r="C171" s="20">
        <v>2021</v>
      </c>
      <c r="D171" s="20">
        <v>20210263</v>
      </c>
      <c r="E171" s="20">
        <v>36060</v>
      </c>
      <c r="F171" s="20" t="s">
        <v>825</v>
      </c>
      <c r="G171" s="20">
        <v>18718</v>
      </c>
      <c r="H171" s="20" t="s">
        <v>918</v>
      </c>
      <c r="I171" s="20" t="s">
        <v>692</v>
      </c>
      <c r="J171" s="20" t="s">
        <v>693</v>
      </c>
      <c r="K171" s="20" t="s">
        <v>694</v>
      </c>
      <c r="L171" s="20">
        <v>77002</v>
      </c>
      <c r="M171" s="22">
        <v>44426.181250000001</v>
      </c>
      <c r="P171" s="20">
        <v>41.793331999999999</v>
      </c>
      <c r="Q171" s="20">
        <v>-83.508146999999994</v>
      </c>
      <c r="R171" s="20" t="s">
        <v>773</v>
      </c>
      <c r="S171" s="20" t="s">
        <v>1700</v>
      </c>
      <c r="T171" s="20" t="s">
        <v>1981</v>
      </c>
      <c r="W171" s="20">
        <v>1151</v>
      </c>
      <c r="X171" s="20">
        <v>0.9</v>
      </c>
      <c r="Y171" s="20">
        <v>0</v>
      </c>
      <c r="Z171" s="20" t="s">
        <v>698</v>
      </c>
      <c r="AF171" s="20">
        <v>0</v>
      </c>
      <c r="AG171" s="20" t="s">
        <v>698</v>
      </c>
      <c r="AM171" s="20">
        <v>0</v>
      </c>
      <c r="AN171" s="20" t="s">
        <v>775</v>
      </c>
      <c r="AQ171" s="23">
        <v>44426.135416666664</v>
      </c>
      <c r="AR171" s="20" t="s">
        <v>776</v>
      </c>
      <c r="AS171" s="20" t="s">
        <v>702</v>
      </c>
      <c r="AU171" s="20" t="s">
        <v>698</v>
      </c>
      <c r="AV171" s="20" t="s">
        <v>1982</v>
      </c>
      <c r="BC171" s="23">
        <v>44426.181250000001</v>
      </c>
      <c r="BE171" s="23">
        <v>44426.239583333336</v>
      </c>
      <c r="BF171" s="20">
        <v>1313999</v>
      </c>
      <c r="BH171" s="20" t="s">
        <v>698</v>
      </c>
      <c r="BM171" s="20" t="s">
        <v>698</v>
      </c>
      <c r="BQ171" s="20" t="s">
        <v>778</v>
      </c>
      <c r="BU171" s="20" t="s">
        <v>778</v>
      </c>
      <c r="CA171" s="20">
        <v>8</v>
      </c>
      <c r="CB171" s="20" t="s">
        <v>1983</v>
      </c>
      <c r="CC171" s="20" t="s">
        <v>1984</v>
      </c>
      <c r="CD171" s="20" t="s">
        <v>976</v>
      </c>
      <c r="CE171" s="20">
        <v>48133</v>
      </c>
      <c r="CF171" s="20" t="s">
        <v>1985</v>
      </c>
      <c r="CG171" s="20" t="s">
        <v>1986</v>
      </c>
      <c r="CH171" s="20" t="s">
        <v>1931</v>
      </c>
      <c r="CI171" s="20" t="s">
        <v>1987</v>
      </c>
      <c r="CJ171" s="20" t="s">
        <v>698</v>
      </c>
      <c r="CK171" s="20" t="s">
        <v>785</v>
      </c>
      <c r="CL171" s="20" t="s">
        <v>713</v>
      </c>
      <c r="CM171" s="20" t="s">
        <v>758</v>
      </c>
      <c r="CP171" s="20" t="s">
        <v>698</v>
      </c>
      <c r="DM171" s="20" t="s">
        <v>743</v>
      </c>
      <c r="DN171" s="20" t="s">
        <v>1951</v>
      </c>
      <c r="FK171" s="20">
        <v>2021</v>
      </c>
      <c r="FM171" s="20" t="s">
        <v>719</v>
      </c>
      <c r="FO171" s="20" t="s">
        <v>766</v>
      </c>
      <c r="FX171" s="20" t="s">
        <v>1988</v>
      </c>
      <c r="FY171" s="20" t="s">
        <v>696</v>
      </c>
      <c r="FZ171" s="20" t="s">
        <v>696</v>
      </c>
      <c r="GA171" s="20" t="s">
        <v>696</v>
      </c>
      <c r="GB171" s="20" t="s">
        <v>696</v>
      </c>
      <c r="GC171" s="20" t="s">
        <v>696</v>
      </c>
      <c r="GD171" s="20" t="s">
        <v>698</v>
      </c>
      <c r="GE171" s="20" t="s">
        <v>698</v>
      </c>
      <c r="GK171" s="20" t="s">
        <v>696</v>
      </c>
      <c r="GM171" s="20" t="s">
        <v>696</v>
      </c>
      <c r="GR171" s="20">
        <v>0.01</v>
      </c>
      <c r="GS171" s="20" t="s">
        <v>1989</v>
      </c>
      <c r="GT171" s="20" t="s">
        <v>696</v>
      </c>
      <c r="GU171" s="20" t="s">
        <v>696</v>
      </c>
      <c r="GX171" s="20" t="s">
        <v>696</v>
      </c>
      <c r="GY171" s="20" t="s">
        <v>696</v>
      </c>
      <c r="HF171" s="20">
        <v>0</v>
      </c>
      <c r="HG171" s="20">
        <v>54627</v>
      </c>
      <c r="HH171" s="20">
        <v>95000</v>
      </c>
      <c r="HI171" s="20">
        <v>75000</v>
      </c>
      <c r="HJ171" s="20">
        <v>30000</v>
      </c>
      <c r="HK171" s="20">
        <v>0</v>
      </c>
      <c r="HM171" s="20">
        <v>254627</v>
      </c>
      <c r="HR171" s="20">
        <v>580</v>
      </c>
      <c r="HS171" s="20">
        <v>1298</v>
      </c>
      <c r="HY171" s="20" t="s">
        <v>723</v>
      </c>
      <c r="HZ171" s="20" t="s">
        <v>698</v>
      </c>
      <c r="IC171" s="20">
        <v>236861</v>
      </c>
      <c r="ID171" s="20" t="s">
        <v>696</v>
      </c>
      <c r="IL171" s="20" t="s">
        <v>698</v>
      </c>
      <c r="IS171" s="20" t="s">
        <v>724</v>
      </c>
      <c r="IT171" s="20" t="s">
        <v>696</v>
      </c>
      <c r="IU171" s="20" t="s">
        <v>696</v>
      </c>
      <c r="IV171" s="20" t="s">
        <v>696</v>
      </c>
      <c r="IW171" s="20" t="s">
        <v>696</v>
      </c>
      <c r="IX171" s="20" t="s">
        <v>696</v>
      </c>
      <c r="IY171" s="20" t="s">
        <v>696</v>
      </c>
      <c r="IZ171" s="20" t="s">
        <v>696</v>
      </c>
      <c r="JA171" s="20" t="s">
        <v>696</v>
      </c>
      <c r="JB171" s="20" t="s">
        <v>696</v>
      </c>
      <c r="JC171" s="20" t="s">
        <v>696</v>
      </c>
      <c r="JD171" s="20" t="s">
        <v>725</v>
      </c>
      <c r="JE171" s="20" t="s">
        <v>726</v>
      </c>
      <c r="JR171" s="20" t="s">
        <v>698</v>
      </c>
      <c r="JS171" s="20" t="s">
        <v>698</v>
      </c>
      <c r="JX171" s="20" t="s">
        <v>1062</v>
      </c>
      <c r="JY171" s="20" t="s">
        <v>1063</v>
      </c>
      <c r="NY171" s="20" t="s">
        <v>1063</v>
      </c>
      <c r="NZ171" s="20" t="s">
        <v>1106</v>
      </c>
      <c r="XL171" s="20" t="s">
        <v>1902</v>
      </c>
      <c r="XM171" s="20" t="s">
        <v>1903</v>
      </c>
      <c r="XN171" s="20" t="s">
        <v>1904</v>
      </c>
      <c r="XO171" s="20" t="s">
        <v>1905</v>
      </c>
      <c r="XQ171" s="24">
        <v>44530</v>
      </c>
      <c r="XU171" s="20" t="s">
        <v>730</v>
      </c>
      <c r="XV171" s="20" t="s">
        <v>733</v>
      </c>
      <c r="XW171" s="20" t="s">
        <v>1360</v>
      </c>
      <c r="XX171" s="20" t="s">
        <v>732</v>
      </c>
      <c r="XY171" s="20" t="s">
        <v>1990</v>
      </c>
    </row>
    <row r="172" spans="1:649" ht="13">
      <c r="A172" s="20">
        <v>1122</v>
      </c>
      <c r="B172" s="21">
        <v>44455</v>
      </c>
      <c r="C172" s="20">
        <v>2021</v>
      </c>
      <c r="D172" s="20">
        <v>20210261</v>
      </c>
      <c r="E172" s="20">
        <v>35757</v>
      </c>
      <c r="F172" s="20" t="s">
        <v>825</v>
      </c>
      <c r="G172" s="20">
        <v>39706</v>
      </c>
      <c r="H172" s="20" t="s">
        <v>1943</v>
      </c>
      <c r="I172" s="20" t="s">
        <v>692</v>
      </c>
      <c r="J172" s="20" t="s">
        <v>693</v>
      </c>
      <c r="K172" s="20" t="s">
        <v>694</v>
      </c>
      <c r="L172" s="20">
        <v>77002</v>
      </c>
      <c r="M172" s="22">
        <v>44425.635416666664</v>
      </c>
      <c r="P172" s="20">
        <v>29.99777778</v>
      </c>
      <c r="Q172" s="20">
        <v>-93.989722200000003</v>
      </c>
      <c r="R172" s="20" t="s">
        <v>697</v>
      </c>
      <c r="W172" s="20">
        <v>0.1</v>
      </c>
      <c r="Y172" s="20">
        <v>0</v>
      </c>
      <c r="Z172" s="20" t="s">
        <v>698</v>
      </c>
      <c r="AF172" s="20">
        <v>0</v>
      </c>
      <c r="AG172" s="20" t="s">
        <v>696</v>
      </c>
      <c r="AH172" s="20">
        <v>0</v>
      </c>
      <c r="AI172" s="20">
        <v>1</v>
      </c>
      <c r="AJ172" s="20">
        <v>0</v>
      </c>
      <c r="AK172" s="20">
        <v>0</v>
      </c>
      <c r="AL172" s="20">
        <v>0</v>
      </c>
      <c r="AM172" s="20">
        <v>1</v>
      </c>
      <c r="AN172" s="20" t="s">
        <v>699</v>
      </c>
      <c r="AP172" s="20" t="s">
        <v>1013</v>
      </c>
      <c r="AQ172" s="23">
        <v>44425.635416666664</v>
      </c>
      <c r="AR172" s="20" t="s">
        <v>736</v>
      </c>
      <c r="AS172" s="20" t="s">
        <v>702</v>
      </c>
      <c r="AU172" s="20" t="s">
        <v>698</v>
      </c>
      <c r="AV172" s="20" t="s">
        <v>1991</v>
      </c>
      <c r="BC172" s="23">
        <v>44425.635416666664</v>
      </c>
      <c r="BE172" s="23">
        <v>44426.73541666667</v>
      </c>
      <c r="BF172" s="20">
        <v>1314098</v>
      </c>
      <c r="BH172" s="20" t="s">
        <v>696</v>
      </c>
      <c r="BM172" s="20" t="s">
        <v>698</v>
      </c>
      <c r="CA172" s="20">
        <v>0</v>
      </c>
      <c r="CB172" s="20" t="s">
        <v>818</v>
      </c>
      <c r="CC172" s="20" t="s">
        <v>1992</v>
      </c>
      <c r="CD172" s="20" t="s">
        <v>694</v>
      </c>
      <c r="CE172" s="20">
        <v>77627</v>
      </c>
      <c r="CF172" s="20" t="s">
        <v>820</v>
      </c>
      <c r="CG172" s="20" t="s">
        <v>821</v>
      </c>
      <c r="CH172" s="20" t="s">
        <v>1931</v>
      </c>
      <c r="CI172" s="20" t="s">
        <v>711</v>
      </c>
      <c r="CJ172" s="20" t="s">
        <v>698</v>
      </c>
      <c r="CK172" s="20" t="s">
        <v>712</v>
      </c>
      <c r="CL172" s="20" t="s">
        <v>713</v>
      </c>
      <c r="CM172" s="20" t="s">
        <v>758</v>
      </c>
      <c r="CP172" s="20" t="s">
        <v>698</v>
      </c>
      <c r="DM172" s="20" t="s">
        <v>743</v>
      </c>
      <c r="DN172" s="20" t="s">
        <v>766</v>
      </c>
      <c r="FJ172" s="20" t="s">
        <v>1993</v>
      </c>
      <c r="FK172" s="20">
        <v>2021</v>
      </c>
      <c r="FM172" s="20" t="s">
        <v>962</v>
      </c>
      <c r="FN172" s="20" t="s">
        <v>1994</v>
      </c>
      <c r="FO172" s="20" t="s">
        <v>766</v>
      </c>
      <c r="FX172" s="20" t="s">
        <v>1995</v>
      </c>
      <c r="FY172" s="20" t="s">
        <v>698</v>
      </c>
      <c r="GC172" s="20" t="s">
        <v>698</v>
      </c>
      <c r="GD172" s="20" t="s">
        <v>698</v>
      </c>
      <c r="GE172" s="20" t="s">
        <v>698</v>
      </c>
      <c r="GK172" s="20" t="s">
        <v>698</v>
      </c>
      <c r="GT172" s="20" t="s">
        <v>696</v>
      </c>
      <c r="GU172" s="20" t="s">
        <v>696</v>
      </c>
      <c r="GX172" s="20" t="s">
        <v>696</v>
      </c>
      <c r="GY172" s="20" t="s">
        <v>698</v>
      </c>
      <c r="HF172" s="20">
        <v>0</v>
      </c>
      <c r="HG172" s="20">
        <v>6</v>
      </c>
      <c r="HH172" s="20">
        <v>17180</v>
      </c>
      <c r="HI172" s="20">
        <v>500</v>
      </c>
      <c r="HJ172" s="20">
        <v>0</v>
      </c>
      <c r="HK172" s="20">
        <v>0</v>
      </c>
      <c r="HM172" s="20">
        <v>17686</v>
      </c>
      <c r="HR172" s="20">
        <v>0</v>
      </c>
      <c r="HS172" s="20">
        <v>285</v>
      </c>
      <c r="HY172" s="20" t="s">
        <v>723</v>
      </c>
      <c r="HZ172" s="20" t="s">
        <v>698</v>
      </c>
      <c r="IS172" s="20" t="s">
        <v>724</v>
      </c>
      <c r="IT172" s="20" t="s">
        <v>696</v>
      </c>
      <c r="IU172" s="20" t="s">
        <v>696</v>
      </c>
      <c r="IV172" s="20" t="s">
        <v>696</v>
      </c>
      <c r="IW172" s="20" t="s">
        <v>698</v>
      </c>
      <c r="IX172" s="20" t="s">
        <v>698</v>
      </c>
      <c r="IY172" s="20" t="s">
        <v>698</v>
      </c>
      <c r="JD172" s="20" t="s">
        <v>725</v>
      </c>
      <c r="JE172" s="20" t="s">
        <v>726</v>
      </c>
      <c r="JR172" s="20" t="s">
        <v>698</v>
      </c>
      <c r="JS172" s="20" t="s">
        <v>698</v>
      </c>
      <c r="JX172" s="20" t="s">
        <v>894</v>
      </c>
      <c r="JY172" s="20" t="s">
        <v>1996</v>
      </c>
      <c r="RM172" s="20" t="s">
        <v>1996</v>
      </c>
      <c r="RQ172" s="20" t="s">
        <v>696</v>
      </c>
      <c r="RV172" s="20" t="s">
        <v>1034</v>
      </c>
      <c r="RW172" s="20" t="s">
        <v>698</v>
      </c>
      <c r="XL172" s="20" t="s">
        <v>730</v>
      </c>
      <c r="XM172" s="20" t="s">
        <v>1360</v>
      </c>
      <c r="XN172" s="20" t="s">
        <v>732</v>
      </c>
      <c r="XO172" s="20" t="s">
        <v>733</v>
      </c>
      <c r="XQ172" s="24">
        <v>44459</v>
      </c>
      <c r="XU172" s="20" t="s">
        <v>730</v>
      </c>
      <c r="XV172" s="20" t="s">
        <v>733</v>
      </c>
      <c r="XW172" s="20" t="s">
        <v>1360</v>
      </c>
      <c r="XX172" s="20" t="s">
        <v>732</v>
      </c>
      <c r="XY172" s="20" t="s">
        <v>1997</v>
      </c>
    </row>
    <row r="173" spans="1:649" ht="13">
      <c r="A173" s="20">
        <v>1142</v>
      </c>
      <c r="B173" s="21">
        <v>44425</v>
      </c>
      <c r="C173" s="20">
        <v>2021</v>
      </c>
      <c r="D173" s="20">
        <v>20210237</v>
      </c>
      <c r="E173" s="20">
        <v>35638</v>
      </c>
      <c r="F173" s="20" t="s">
        <v>885</v>
      </c>
      <c r="G173" s="20">
        <v>18718</v>
      </c>
      <c r="H173" s="20" t="s">
        <v>918</v>
      </c>
      <c r="I173" s="20" t="s">
        <v>692</v>
      </c>
      <c r="J173" s="20" t="s">
        <v>693</v>
      </c>
      <c r="K173" s="20" t="s">
        <v>694</v>
      </c>
      <c r="L173" s="20">
        <v>77002</v>
      </c>
      <c r="M173" s="22">
        <v>44398.5</v>
      </c>
      <c r="P173" s="20">
        <v>31.970562999999999</v>
      </c>
      <c r="Q173" s="20">
        <v>-102.028839</v>
      </c>
      <c r="R173" s="20" t="s">
        <v>697</v>
      </c>
      <c r="W173" s="20">
        <v>1.5</v>
      </c>
      <c r="Y173" s="20">
        <v>1.5</v>
      </c>
      <c r="Z173" s="20" t="s">
        <v>698</v>
      </c>
      <c r="AF173" s="20">
        <v>0</v>
      </c>
      <c r="AG173" s="20" t="s">
        <v>698</v>
      </c>
      <c r="AM173" s="20">
        <v>0</v>
      </c>
      <c r="AN173" s="20" t="s">
        <v>699</v>
      </c>
      <c r="AP173" s="20" t="s">
        <v>700</v>
      </c>
      <c r="AQ173" s="23">
        <v>44398.541666666664</v>
      </c>
      <c r="AR173" s="20" t="s">
        <v>701</v>
      </c>
      <c r="AS173" s="20" t="s">
        <v>702</v>
      </c>
      <c r="AU173" s="20" t="s">
        <v>696</v>
      </c>
      <c r="AW173" s="23">
        <v>44398.541666666664</v>
      </c>
      <c r="AX173" s="23">
        <v>44398.625</v>
      </c>
      <c r="BC173" s="23">
        <v>44398.541666666664</v>
      </c>
      <c r="BF173" s="20" t="s">
        <v>754</v>
      </c>
      <c r="BH173" s="20" t="s">
        <v>698</v>
      </c>
      <c r="BM173" s="20" t="s">
        <v>698</v>
      </c>
      <c r="CA173" s="20">
        <v>0</v>
      </c>
      <c r="CB173" s="20" t="s">
        <v>1998</v>
      </c>
      <c r="CC173" s="20" t="s">
        <v>1999</v>
      </c>
      <c r="CD173" s="20" t="s">
        <v>694</v>
      </c>
      <c r="CE173" s="20">
        <v>79706</v>
      </c>
      <c r="CF173" s="20" t="s">
        <v>757</v>
      </c>
      <c r="CG173" s="20" t="s">
        <v>757</v>
      </c>
      <c r="CH173" s="20" t="s">
        <v>1931</v>
      </c>
      <c r="CI173" s="20">
        <v>0</v>
      </c>
      <c r="CJ173" s="20" t="s">
        <v>698</v>
      </c>
      <c r="CK173" s="20" t="s">
        <v>712</v>
      </c>
      <c r="CL173" s="20" t="s">
        <v>713</v>
      </c>
      <c r="CM173" s="20" t="s">
        <v>758</v>
      </c>
      <c r="CP173" s="20" t="s">
        <v>698</v>
      </c>
      <c r="DM173" s="20" t="s">
        <v>715</v>
      </c>
      <c r="DN173" s="20" t="s">
        <v>829</v>
      </c>
      <c r="EM173" s="20" t="s">
        <v>1683</v>
      </c>
      <c r="FK173" s="20">
        <v>2019</v>
      </c>
      <c r="FM173" s="20" t="s">
        <v>719</v>
      </c>
      <c r="FO173" s="20" t="s">
        <v>720</v>
      </c>
      <c r="FR173" s="20" t="s">
        <v>768</v>
      </c>
      <c r="FY173" s="20" t="s">
        <v>698</v>
      </c>
      <c r="GC173" s="20" t="s">
        <v>696</v>
      </c>
      <c r="GD173" s="20" t="s">
        <v>698</v>
      </c>
      <c r="GE173" s="20" t="s">
        <v>696</v>
      </c>
      <c r="GH173" s="20" t="s">
        <v>696</v>
      </c>
      <c r="GK173" s="20" t="s">
        <v>698</v>
      </c>
      <c r="GT173" s="20" t="s">
        <v>698</v>
      </c>
      <c r="GU173" s="20" t="s">
        <v>698</v>
      </c>
      <c r="HF173" s="20">
        <v>0</v>
      </c>
      <c r="HG173" s="20">
        <v>135</v>
      </c>
      <c r="HH173" s="20">
        <v>500</v>
      </c>
      <c r="HI173" s="20">
        <v>1000</v>
      </c>
      <c r="HJ173" s="20">
        <v>1000</v>
      </c>
      <c r="HK173" s="20">
        <v>500</v>
      </c>
      <c r="HL173" s="20" t="s">
        <v>2000</v>
      </c>
      <c r="HM173" s="20">
        <v>3135</v>
      </c>
      <c r="HR173" s="20">
        <v>464</v>
      </c>
      <c r="HS173" s="20">
        <v>1480</v>
      </c>
      <c r="HY173" s="20" t="s">
        <v>723</v>
      </c>
      <c r="HZ173" s="20" t="s">
        <v>698</v>
      </c>
      <c r="IS173" s="20" t="s">
        <v>724</v>
      </c>
      <c r="IT173" s="20" t="s">
        <v>696</v>
      </c>
      <c r="IU173" s="20" t="s">
        <v>696</v>
      </c>
      <c r="IV173" s="20" t="s">
        <v>696</v>
      </c>
      <c r="IW173" s="20" t="s">
        <v>698</v>
      </c>
      <c r="IX173" s="20" t="s">
        <v>698</v>
      </c>
      <c r="IY173" s="20" t="s">
        <v>698</v>
      </c>
      <c r="JD173" s="20" t="s">
        <v>725</v>
      </c>
      <c r="JE173" s="20" t="s">
        <v>726</v>
      </c>
      <c r="JR173" s="20" t="s">
        <v>698</v>
      </c>
      <c r="JS173" s="20" t="s">
        <v>698</v>
      </c>
      <c r="JX173" s="20" t="s">
        <v>789</v>
      </c>
      <c r="JY173" s="20" t="s">
        <v>953</v>
      </c>
      <c r="QB173" s="20" t="s">
        <v>953</v>
      </c>
      <c r="QQ173" s="20" t="s">
        <v>954</v>
      </c>
      <c r="QV173" s="20" t="s">
        <v>696</v>
      </c>
      <c r="XL173" s="20" t="s">
        <v>1712</v>
      </c>
      <c r="XM173" s="20" t="s">
        <v>1713</v>
      </c>
      <c r="XN173" s="20" t="s">
        <v>1714</v>
      </c>
      <c r="XO173" s="20" t="s">
        <v>1715</v>
      </c>
      <c r="XQ173" s="24">
        <v>44425</v>
      </c>
      <c r="XU173" s="20" t="s">
        <v>1624</v>
      </c>
      <c r="XV173" s="20" t="s">
        <v>1625</v>
      </c>
      <c r="XW173" s="20" t="s">
        <v>1742</v>
      </c>
      <c r="XX173" s="20" t="s">
        <v>1627</v>
      </c>
      <c r="XY173" s="20" t="s">
        <v>2001</v>
      </c>
    </row>
    <row r="174" spans="1:649" ht="13">
      <c r="A174" s="20">
        <v>1148</v>
      </c>
      <c r="B174" s="21">
        <v>44419</v>
      </c>
      <c r="C174" s="20">
        <v>2021</v>
      </c>
      <c r="D174" s="20">
        <v>20210231</v>
      </c>
      <c r="E174" s="20">
        <v>35962</v>
      </c>
      <c r="F174" s="20" t="s">
        <v>825</v>
      </c>
      <c r="G174" s="20">
        <v>18718</v>
      </c>
      <c r="H174" s="20" t="s">
        <v>918</v>
      </c>
      <c r="I174" s="20" t="s">
        <v>692</v>
      </c>
      <c r="J174" s="20" t="s">
        <v>693</v>
      </c>
      <c r="K174" s="20" t="s">
        <v>694</v>
      </c>
      <c r="L174" s="20">
        <v>77002</v>
      </c>
      <c r="M174" s="22">
        <v>44391.555555555555</v>
      </c>
      <c r="P174" s="20">
        <v>41.688046</v>
      </c>
      <c r="Q174" s="20">
        <v>-83.495450000000005</v>
      </c>
      <c r="R174" s="20" t="s">
        <v>773</v>
      </c>
      <c r="S174" s="20" t="s">
        <v>1700</v>
      </c>
      <c r="T174" s="20" t="s">
        <v>1981</v>
      </c>
      <c r="W174" s="20">
        <v>0.3</v>
      </c>
      <c r="X174" s="20">
        <v>0</v>
      </c>
      <c r="Y174" s="20">
        <v>0</v>
      </c>
      <c r="Z174" s="20" t="s">
        <v>698</v>
      </c>
      <c r="AF174" s="20">
        <v>0</v>
      </c>
      <c r="AG174" s="20" t="s">
        <v>698</v>
      </c>
      <c r="AM174" s="20">
        <v>0</v>
      </c>
      <c r="AN174" s="20" t="s">
        <v>775</v>
      </c>
      <c r="AQ174" s="23">
        <v>44391.555555555555</v>
      </c>
      <c r="AR174" s="20" t="s">
        <v>776</v>
      </c>
      <c r="AS174" s="20" t="s">
        <v>702</v>
      </c>
      <c r="AU174" s="20" t="s">
        <v>698</v>
      </c>
      <c r="AV174" s="20" t="s">
        <v>2002</v>
      </c>
      <c r="BC174" s="23">
        <v>44391.572916666664</v>
      </c>
      <c r="BE174" s="23">
        <v>44392.46597222222</v>
      </c>
      <c r="BF174" s="20">
        <v>1310774</v>
      </c>
      <c r="BH174" s="20" t="s">
        <v>698</v>
      </c>
      <c r="BM174" s="20" t="s">
        <v>698</v>
      </c>
      <c r="BQ174" s="20" t="s">
        <v>779</v>
      </c>
      <c r="BU174" s="20" t="s">
        <v>779</v>
      </c>
      <c r="CA174" s="20">
        <v>0</v>
      </c>
      <c r="CB174" s="20" t="s">
        <v>2003</v>
      </c>
      <c r="CC174" s="20" t="s">
        <v>2004</v>
      </c>
      <c r="CD174" s="20" t="s">
        <v>1075</v>
      </c>
      <c r="CE174" s="20">
        <v>43611</v>
      </c>
      <c r="CF174" s="20" t="s">
        <v>2005</v>
      </c>
      <c r="CG174" s="20" t="s">
        <v>1520</v>
      </c>
      <c r="CH174" s="20" t="s">
        <v>710</v>
      </c>
      <c r="CI174" s="20" t="s">
        <v>2006</v>
      </c>
      <c r="CJ174" s="20" t="s">
        <v>698</v>
      </c>
      <c r="CK174" s="20" t="s">
        <v>785</v>
      </c>
      <c r="CL174" s="20" t="s">
        <v>741</v>
      </c>
      <c r="CM174" s="20" t="s">
        <v>742</v>
      </c>
      <c r="CO174" s="20">
        <v>48</v>
      </c>
      <c r="CP174" s="20" t="s">
        <v>698</v>
      </c>
      <c r="DM174" s="20" t="s">
        <v>743</v>
      </c>
      <c r="DN174" s="20" t="s">
        <v>1141</v>
      </c>
      <c r="DQ174" s="20">
        <v>6</v>
      </c>
      <c r="DR174" s="20">
        <v>0.28000000000000003</v>
      </c>
      <c r="DS174" s="20">
        <v>35000</v>
      </c>
      <c r="DT174" s="20" t="s">
        <v>1024</v>
      </c>
      <c r="DU174" s="20" t="s">
        <v>926</v>
      </c>
      <c r="DW174" s="20" t="s">
        <v>2007</v>
      </c>
      <c r="DX174" s="20" t="s">
        <v>1537</v>
      </c>
      <c r="EA174" s="20" t="s">
        <v>1142</v>
      </c>
      <c r="FK174" s="20">
        <v>1932</v>
      </c>
      <c r="FL174" s="20">
        <v>1932</v>
      </c>
      <c r="FM174" s="20" t="s">
        <v>719</v>
      </c>
      <c r="FO174" s="20" t="s">
        <v>720</v>
      </c>
      <c r="FR174" s="20" t="s">
        <v>749</v>
      </c>
      <c r="FY174" s="20" t="s">
        <v>698</v>
      </c>
      <c r="GC174" s="20" t="s">
        <v>698</v>
      </c>
      <c r="GD174" s="20" t="s">
        <v>698</v>
      </c>
      <c r="GE174" s="20" t="s">
        <v>698</v>
      </c>
      <c r="GK174" s="20" t="s">
        <v>698</v>
      </c>
      <c r="GT174" s="20" t="s">
        <v>696</v>
      </c>
      <c r="GU174" s="20" t="s">
        <v>696</v>
      </c>
      <c r="GX174" s="20" t="s">
        <v>696</v>
      </c>
      <c r="GY174" s="20" t="s">
        <v>696</v>
      </c>
      <c r="HF174" s="20">
        <v>0</v>
      </c>
      <c r="HG174" s="20">
        <v>16</v>
      </c>
      <c r="HH174" s="20">
        <v>20000</v>
      </c>
      <c r="HI174" s="20">
        <v>50000</v>
      </c>
      <c r="HJ174" s="20">
        <v>25000</v>
      </c>
      <c r="HK174" s="20">
        <v>25000</v>
      </c>
      <c r="HL174" s="20" t="s">
        <v>2008</v>
      </c>
      <c r="HM174" s="20">
        <v>120016</v>
      </c>
      <c r="HR174" s="20">
        <v>400</v>
      </c>
      <c r="HS174" s="20">
        <v>1298</v>
      </c>
      <c r="HY174" s="20" t="s">
        <v>723</v>
      </c>
      <c r="HZ174" s="20" t="s">
        <v>698</v>
      </c>
      <c r="IC174" s="20">
        <v>13228</v>
      </c>
      <c r="ID174" s="20" t="s">
        <v>696</v>
      </c>
      <c r="IL174" s="20" t="s">
        <v>698</v>
      </c>
      <c r="IS174" s="20" t="s">
        <v>724</v>
      </c>
      <c r="IT174" s="20" t="s">
        <v>696</v>
      </c>
      <c r="IU174" s="20" t="s">
        <v>696</v>
      </c>
      <c r="IV174" s="20" t="s">
        <v>696</v>
      </c>
      <c r="IW174" s="20" t="s">
        <v>698</v>
      </c>
      <c r="IX174" s="20" t="s">
        <v>698</v>
      </c>
      <c r="IY174" s="20" t="s">
        <v>696</v>
      </c>
      <c r="IZ174" s="20" t="s">
        <v>696</v>
      </c>
      <c r="JA174" s="20" t="s">
        <v>696</v>
      </c>
      <c r="JB174" s="20" t="s">
        <v>698</v>
      </c>
      <c r="JC174" s="20" t="s">
        <v>698</v>
      </c>
      <c r="JD174" s="20" t="s">
        <v>725</v>
      </c>
      <c r="JE174" s="20" t="s">
        <v>726</v>
      </c>
      <c r="JR174" s="20" t="s">
        <v>698</v>
      </c>
      <c r="JS174" s="20" t="s">
        <v>698</v>
      </c>
      <c r="JX174" s="20" t="s">
        <v>929</v>
      </c>
      <c r="JY174" s="20" t="s">
        <v>1500</v>
      </c>
      <c r="PC174" s="20" t="s">
        <v>696</v>
      </c>
      <c r="PG174" s="20" t="s">
        <v>1500</v>
      </c>
      <c r="PL174" s="20" t="s">
        <v>696</v>
      </c>
      <c r="PM174" s="20" t="s">
        <v>2009</v>
      </c>
      <c r="QA174" s="20" t="s">
        <v>696</v>
      </c>
      <c r="SC174" s="20" t="s">
        <v>696</v>
      </c>
      <c r="SD174" s="20" t="s">
        <v>696</v>
      </c>
      <c r="SG174" s="20" t="s">
        <v>696</v>
      </c>
      <c r="SK174" s="20">
        <v>2019</v>
      </c>
      <c r="TQ174" s="20">
        <v>2019</v>
      </c>
      <c r="UO174" s="20" t="s">
        <v>696</v>
      </c>
      <c r="UP174" s="20">
        <v>1985</v>
      </c>
      <c r="UQ174" s="20">
        <v>1625</v>
      </c>
      <c r="UR174" s="20" t="s">
        <v>698</v>
      </c>
      <c r="UZ174" s="20" t="s">
        <v>698</v>
      </c>
      <c r="XL174" s="20" t="s">
        <v>730</v>
      </c>
      <c r="XM174" s="20" t="s">
        <v>1360</v>
      </c>
      <c r="XN174" s="20" t="s">
        <v>732</v>
      </c>
      <c r="XO174" s="20" t="s">
        <v>733</v>
      </c>
      <c r="XQ174" s="24">
        <v>44504</v>
      </c>
      <c r="XU174" s="20" t="s">
        <v>730</v>
      </c>
      <c r="XV174" s="20" t="s">
        <v>733</v>
      </c>
      <c r="XW174" s="20" t="s">
        <v>1360</v>
      </c>
      <c r="XX174" s="20" t="s">
        <v>732</v>
      </c>
      <c r="XY174" s="20" t="s">
        <v>2010</v>
      </c>
    </row>
    <row r="175" spans="1:649" ht="13">
      <c r="A175" s="20">
        <v>1153</v>
      </c>
      <c r="B175" s="21">
        <v>44414</v>
      </c>
      <c r="C175" s="20">
        <v>2021</v>
      </c>
      <c r="D175" s="20">
        <v>20210227</v>
      </c>
      <c r="E175" s="20">
        <v>35590</v>
      </c>
      <c r="F175" s="20" t="s">
        <v>885</v>
      </c>
      <c r="G175" s="20">
        <v>18718</v>
      </c>
      <c r="H175" s="20" t="s">
        <v>918</v>
      </c>
      <c r="I175" s="20" t="s">
        <v>692</v>
      </c>
      <c r="J175" s="20" t="s">
        <v>693</v>
      </c>
      <c r="K175" s="20" t="s">
        <v>694</v>
      </c>
      <c r="L175" s="20">
        <v>77002</v>
      </c>
      <c r="M175" s="22">
        <v>44389.333333333336</v>
      </c>
      <c r="P175" s="20">
        <v>29.989484000000001</v>
      </c>
      <c r="Q175" s="20">
        <v>-94.005082999999999</v>
      </c>
      <c r="R175" s="20" t="s">
        <v>697</v>
      </c>
      <c r="W175" s="20">
        <v>0.5</v>
      </c>
      <c r="Y175" s="20">
        <v>0.5</v>
      </c>
      <c r="Z175" s="20" t="s">
        <v>698</v>
      </c>
      <c r="AF175" s="20">
        <v>0</v>
      </c>
      <c r="AG175" s="20" t="s">
        <v>698</v>
      </c>
      <c r="AM175" s="20">
        <v>0</v>
      </c>
      <c r="AN175" s="20" t="s">
        <v>699</v>
      </c>
      <c r="AP175" s="20" t="s">
        <v>700</v>
      </c>
      <c r="AQ175" s="23">
        <v>44389.333333333336</v>
      </c>
      <c r="AR175" s="20" t="s">
        <v>736</v>
      </c>
      <c r="AS175" s="20" t="s">
        <v>702</v>
      </c>
      <c r="AU175" s="20" t="s">
        <v>698</v>
      </c>
      <c r="AV175" s="20" t="s">
        <v>2011</v>
      </c>
      <c r="BC175" s="23">
        <v>44389.333333333336</v>
      </c>
      <c r="BF175" s="20" t="s">
        <v>754</v>
      </c>
      <c r="BH175" s="20" t="s">
        <v>698</v>
      </c>
      <c r="BM175" s="20" t="s">
        <v>698</v>
      </c>
      <c r="CA175" s="20">
        <v>0</v>
      </c>
      <c r="CB175" s="20" t="s">
        <v>2012</v>
      </c>
      <c r="CC175" s="20" t="s">
        <v>2013</v>
      </c>
      <c r="CD175" s="20" t="s">
        <v>694</v>
      </c>
      <c r="CE175" s="20">
        <v>77627</v>
      </c>
      <c r="CF175" s="20" t="s">
        <v>820</v>
      </c>
      <c r="CG175" s="20" t="s">
        <v>821</v>
      </c>
      <c r="CH175" s="20" t="s">
        <v>1931</v>
      </c>
      <c r="CI175" s="20">
        <v>0</v>
      </c>
      <c r="CJ175" s="20" t="s">
        <v>698</v>
      </c>
      <c r="CK175" s="20" t="s">
        <v>712</v>
      </c>
      <c r="CL175" s="20" t="s">
        <v>713</v>
      </c>
      <c r="CM175" s="20" t="s">
        <v>758</v>
      </c>
      <c r="CP175" s="20" t="s">
        <v>698</v>
      </c>
      <c r="DM175" s="20" t="s">
        <v>715</v>
      </c>
      <c r="DN175" s="20" t="s">
        <v>892</v>
      </c>
      <c r="FK175" s="20">
        <v>2015</v>
      </c>
      <c r="FM175" s="20" t="s">
        <v>719</v>
      </c>
      <c r="FO175" s="20" t="s">
        <v>893</v>
      </c>
      <c r="FY175" s="20" t="s">
        <v>698</v>
      </c>
      <c r="GC175" s="20" t="s">
        <v>696</v>
      </c>
      <c r="GD175" s="20" t="s">
        <v>698</v>
      </c>
      <c r="GE175" s="20" t="s">
        <v>696</v>
      </c>
      <c r="GH175" s="20" t="s">
        <v>696</v>
      </c>
      <c r="GK175" s="20" t="s">
        <v>698</v>
      </c>
      <c r="GT175" s="20" t="s">
        <v>696</v>
      </c>
      <c r="GU175" s="20" t="s">
        <v>698</v>
      </c>
      <c r="HF175" s="20">
        <v>0</v>
      </c>
      <c r="HG175" s="20">
        <v>60</v>
      </c>
      <c r="HH175" s="20">
        <v>500</v>
      </c>
      <c r="HI175" s="20">
        <v>1600</v>
      </c>
      <c r="HJ175" s="20">
        <v>300</v>
      </c>
      <c r="HK175" s="20">
        <v>0</v>
      </c>
      <c r="HM175" s="20">
        <v>2460</v>
      </c>
      <c r="HR175" s="20">
        <v>50</v>
      </c>
      <c r="HS175" s="20">
        <v>800</v>
      </c>
      <c r="HY175" s="20" t="s">
        <v>723</v>
      </c>
      <c r="HZ175" s="20" t="s">
        <v>698</v>
      </c>
      <c r="IS175" s="20" t="s">
        <v>724</v>
      </c>
      <c r="IT175" s="20" t="s">
        <v>696</v>
      </c>
      <c r="IU175" s="20" t="s">
        <v>696</v>
      </c>
      <c r="IV175" s="20" t="s">
        <v>696</v>
      </c>
      <c r="IW175" s="20" t="s">
        <v>698</v>
      </c>
      <c r="IX175" s="20" t="s">
        <v>698</v>
      </c>
      <c r="IY175" s="20" t="s">
        <v>696</v>
      </c>
      <c r="IZ175" s="20" t="s">
        <v>696</v>
      </c>
      <c r="JA175" s="20" t="s">
        <v>696</v>
      </c>
      <c r="JB175" s="20" t="s">
        <v>698</v>
      </c>
      <c r="JC175" s="20" t="s">
        <v>698</v>
      </c>
      <c r="JD175" s="20" t="s">
        <v>725</v>
      </c>
      <c r="JE175" s="20" t="s">
        <v>726</v>
      </c>
      <c r="JR175" s="20" t="s">
        <v>698</v>
      </c>
      <c r="JS175" s="20" t="s">
        <v>698</v>
      </c>
      <c r="JX175" s="20" t="s">
        <v>894</v>
      </c>
      <c r="JY175" s="20" t="s">
        <v>895</v>
      </c>
      <c r="RM175" s="20" t="s">
        <v>895</v>
      </c>
      <c r="RN175" s="20" t="s">
        <v>2014</v>
      </c>
      <c r="RS175" s="20" t="s">
        <v>696</v>
      </c>
      <c r="RV175" s="20" t="s">
        <v>1590</v>
      </c>
      <c r="RW175" s="20" t="s">
        <v>696</v>
      </c>
      <c r="RX175" s="20" t="s">
        <v>898</v>
      </c>
      <c r="XL175" s="20" t="s">
        <v>1902</v>
      </c>
      <c r="XM175" s="20" t="s">
        <v>1903</v>
      </c>
      <c r="XN175" s="20" t="s">
        <v>1904</v>
      </c>
      <c r="XO175" s="20" t="s">
        <v>1905</v>
      </c>
      <c r="XQ175" s="24">
        <v>44414</v>
      </c>
      <c r="XU175" s="20" t="s">
        <v>1624</v>
      </c>
      <c r="XV175" s="20" t="s">
        <v>1625</v>
      </c>
      <c r="XW175" s="20" t="s">
        <v>1626</v>
      </c>
      <c r="XX175" s="20" t="s">
        <v>1627</v>
      </c>
      <c r="XY175" s="20" t="s">
        <v>2015</v>
      </c>
    </row>
    <row r="176" spans="1:649" ht="13">
      <c r="A176" s="20">
        <v>1170</v>
      </c>
      <c r="B176" s="21">
        <v>44392</v>
      </c>
      <c r="C176" s="20">
        <v>2021</v>
      </c>
      <c r="D176" s="20">
        <v>20210205</v>
      </c>
      <c r="E176" s="20">
        <v>38228</v>
      </c>
      <c r="F176" s="20" t="s">
        <v>825</v>
      </c>
      <c r="G176" s="20">
        <v>39706</v>
      </c>
      <c r="H176" s="20" t="s">
        <v>1943</v>
      </c>
      <c r="I176" s="20" t="s">
        <v>692</v>
      </c>
      <c r="J176" s="20" t="s">
        <v>693</v>
      </c>
      <c r="K176" s="20" t="s">
        <v>694</v>
      </c>
      <c r="L176" s="20">
        <v>77002</v>
      </c>
      <c r="M176" s="22">
        <v>44368.8125</v>
      </c>
      <c r="N176" s="20" t="s">
        <v>695</v>
      </c>
      <c r="O176" s="20" t="s">
        <v>696</v>
      </c>
      <c r="P176" s="20">
        <v>29.991666670000001</v>
      </c>
      <c r="Q176" s="20">
        <v>-93.996388890000006</v>
      </c>
      <c r="R176" s="20" t="s">
        <v>697</v>
      </c>
      <c r="W176" s="20">
        <v>114</v>
      </c>
      <c r="Y176" s="20">
        <v>114</v>
      </c>
      <c r="Z176" s="20" t="s">
        <v>698</v>
      </c>
      <c r="AF176" s="20">
        <v>0</v>
      </c>
      <c r="AG176" s="20" t="s">
        <v>698</v>
      </c>
      <c r="AM176" s="20">
        <v>0</v>
      </c>
      <c r="AN176" s="20" t="s">
        <v>699</v>
      </c>
      <c r="AP176" s="20" t="s">
        <v>700</v>
      </c>
      <c r="AQ176" s="23">
        <v>44368.8125</v>
      </c>
      <c r="AR176" s="20" t="s">
        <v>907</v>
      </c>
      <c r="AS176" s="20" t="s">
        <v>702</v>
      </c>
      <c r="AT176" s="20" t="s">
        <v>703</v>
      </c>
      <c r="AU176" s="20" t="s">
        <v>698</v>
      </c>
      <c r="AV176" s="20" t="s">
        <v>2016</v>
      </c>
      <c r="AZ176" s="20" t="s">
        <v>698</v>
      </c>
      <c r="BC176" s="23">
        <v>44368.8125</v>
      </c>
      <c r="BD176" s="23">
        <v>44368.8125</v>
      </c>
      <c r="BF176" s="20" t="s">
        <v>2017</v>
      </c>
      <c r="BH176" s="20" t="s">
        <v>698</v>
      </c>
      <c r="BV176" s="20" t="s">
        <v>696</v>
      </c>
      <c r="BW176" s="23">
        <v>44368.8125</v>
      </c>
      <c r="BX176" s="20" t="s">
        <v>698</v>
      </c>
      <c r="CA176" s="20">
        <v>0</v>
      </c>
      <c r="CB176" s="20" t="s">
        <v>818</v>
      </c>
      <c r="CC176" s="20" t="s">
        <v>2018</v>
      </c>
      <c r="CD176" s="20" t="s">
        <v>694</v>
      </c>
      <c r="CE176" s="20">
        <v>77627</v>
      </c>
      <c r="CF176" s="20" t="s">
        <v>820</v>
      </c>
      <c r="CG176" s="20" t="s">
        <v>821</v>
      </c>
      <c r="CH176" s="20" t="s">
        <v>710</v>
      </c>
      <c r="CI176" s="20" t="s">
        <v>711</v>
      </c>
      <c r="CJ176" s="20" t="s">
        <v>698</v>
      </c>
      <c r="CK176" s="20" t="s">
        <v>712</v>
      </c>
      <c r="CL176" s="20" t="s">
        <v>910</v>
      </c>
      <c r="CP176" s="20" t="s">
        <v>698</v>
      </c>
      <c r="DM176" s="20" t="s">
        <v>743</v>
      </c>
      <c r="DN176" s="20" t="s">
        <v>911</v>
      </c>
      <c r="EW176" s="20" t="s">
        <v>2019</v>
      </c>
      <c r="EY176" s="20" t="s">
        <v>913</v>
      </c>
      <c r="FD176" s="20">
        <v>51.9</v>
      </c>
      <c r="FE176" s="20" t="s">
        <v>698</v>
      </c>
      <c r="FF176" s="20">
        <v>2010</v>
      </c>
      <c r="FH176" s="20">
        <v>2020</v>
      </c>
      <c r="FK176" s="20">
        <v>1978</v>
      </c>
      <c r="FL176" s="20">
        <v>1978</v>
      </c>
      <c r="FM176" s="20" t="s">
        <v>719</v>
      </c>
      <c r="FO176" s="20" t="s">
        <v>720</v>
      </c>
      <c r="FR176" s="20" t="s">
        <v>749</v>
      </c>
      <c r="FY176" s="20" t="s">
        <v>698</v>
      </c>
      <c r="GC176" s="20" t="s">
        <v>696</v>
      </c>
      <c r="GD176" s="20" t="s">
        <v>698</v>
      </c>
      <c r="GE176" s="20" t="s">
        <v>696</v>
      </c>
      <c r="GH176" s="20" t="s">
        <v>696</v>
      </c>
      <c r="GK176" s="20" t="s">
        <v>698</v>
      </c>
      <c r="GT176" s="20" t="s">
        <v>698</v>
      </c>
      <c r="GU176" s="20" t="s">
        <v>696</v>
      </c>
      <c r="GX176" s="20" t="s">
        <v>696</v>
      </c>
      <c r="GY176" s="20" t="s">
        <v>698</v>
      </c>
      <c r="HF176" s="20">
        <v>0</v>
      </c>
      <c r="HG176" s="20">
        <v>5250</v>
      </c>
      <c r="HH176" s="20">
        <v>5000</v>
      </c>
      <c r="HI176" s="20">
        <v>8000</v>
      </c>
      <c r="HJ176" s="20">
        <v>8500</v>
      </c>
      <c r="HK176" s="20">
        <v>1530000</v>
      </c>
      <c r="HL176" s="20" t="s">
        <v>2020</v>
      </c>
      <c r="HM176" s="20">
        <v>1556750</v>
      </c>
      <c r="HN176" s="20">
        <v>0</v>
      </c>
      <c r="HO176" s="20">
        <v>0</v>
      </c>
      <c r="HP176" s="20">
        <v>0</v>
      </c>
      <c r="HQ176" s="20">
        <v>0</v>
      </c>
      <c r="HR176" s="20">
        <v>15</v>
      </c>
      <c r="HZ176" s="20" t="s">
        <v>698</v>
      </c>
      <c r="IS176" s="20" t="s">
        <v>724</v>
      </c>
      <c r="IT176" s="20" t="s">
        <v>696</v>
      </c>
      <c r="IU176" s="20" t="s">
        <v>696</v>
      </c>
      <c r="IV176" s="20" t="s">
        <v>696</v>
      </c>
      <c r="IW176" s="20" t="s">
        <v>698</v>
      </c>
      <c r="IX176" s="20" t="s">
        <v>698</v>
      </c>
      <c r="IY176" s="20" t="s">
        <v>696</v>
      </c>
      <c r="IZ176" s="20" t="s">
        <v>696</v>
      </c>
      <c r="JA176" s="20" t="s">
        <v>696</v>
      </c>
      <c r="JB176" s="20" t="s">
        <v>698</v>
      </c>
      <c r="JC176" s="20" t="s">
        <v>698</v>
      </c>
      <c r="JD176" s="20" t="s">
        <v>725</v>
      </c>
      <c r="JE176" s="20" t="s">
        <v>726</v>
      </c>
      <c r="JR176" s="20" t="s">
        <v>698</v>
      </c>
      <c r="JS176" s="20" t="s">
        <v>698</v>
      </c>
      <c r="JX176" s="20" t="s">
        <v>833</v>
      </c>
      <c r="JY176" s="20" t="s">
        <v>834</v>
      </c>
      <c r="JZ176" s="20" t="s">
        <v>834</v>
      </c>
      <c r="LD176" s="20" t="s">
        <v>835</v>
      </c>
      <c r="LG176" s="20" t="s">
        <v>696</v>
      </c>
      <c r="LH176" s="20" t="s">
        <v>696</v>
      </c>
      <c r="LL176" s="20" t="s">
        <v>696</v>
      </c>
      <c r="LS176" s="20" t="s">
        <v>696</v>
      </c>
      <c r="LT176" s="20" t="s">
        <v>2021</v>
      </c>
      <c r="LU176" s="20" t="s">
        <v>696</v>
      </c>
      <c r="LV176" s="20" t="s">
        <v>696</v>
      </c>
      <c r="LW176" s="20" t="s">
        <v>838</v>
      </c>
      <c r="LX176" s="20" t="s">
        <v>838</v>
      </c>
      <c r="XL176" s="20" t="s">
        <v>730</v>
      </c>
      <c r="XM176" s="20" t="s">
        <v>1360</v>
      </c>
      <c r="XN176" s="20" t="s">
        <v>732</v>
      </c>
      <c r="XO176" s="20" t="s">
        <v>733</v>
      </c>
      <c r="XQ176" s="24">
        <v>45107</v>
      </c>
      <c r="XU176" s="20" t="s">
        <v>730</v>
      </c>
      <c r="XV176" s="20" t="s">
        <v>733</v>
      </c>
      <c r="XW176" s="20" t="s">
        <v>1360</v>
      </c>
      <c r="XX176" s="20" t="s">
        <v>732</v>
      </c>
      <c r="XY176" s="20" t="s">
        <v>2022</v>
      </c>
    </row>
    <row r="177" spans="1:649" ht="13">
      <c r="A177" s="20">
        <v>1174</v>
      </c>
      <c r="B177" s="21">
        <v>44386</v>
      </c>
      <c r="C177" s="20">
        <v>2021</v>
      </c>
      <c r="D177" s="20">
        <v>20210197</v>
      </c>
      <c r="E177" s="20">
        <v>35479</v>
      </c>
      <c r="F177" s="20" t="s">
        <v>885</v>
      </c>
      <c r="G177" s="20">
        <v>18718</v>
      </c>
      <c r="H177" s="20" t="s">
        <v>918</v>
      </c>
      <c r="I177" s="20" t="s">
        <v>692</v>
      </c>
      <c r="J177" s="20" t="s">
        <v>693</v>
      </c>
      <c r="K177" s="20" t="s">
        <v>694</v>
      </c>
      <c r="L177" s="20">
        <v>77002</v>
      </c>
      <c r="M177" s="22">
        <v>44364.3125</v>
      </c>
      <c r="P177" s="20">
        <v>32.071052000000002</v>
      </c>
      <c r="Q177" s="20">
        <v>-96.464095999999998</v>
      </c>
      <c r="R177" s="20" t="s">
        <v>697</v>
      </c>
      <c r="W177" s="20">
        <v>3</v>
      </c>
      <c r="Y177" s="20">
        <v>3</v>
      </c>
      <c r="Z177" s="20" t="s">
        <v>698</v>
      </c>
      <c r="AF177" s="20">
        <v>0</v>
      </c>
      <c r="AG177" s="20" t="s">
        <v>698</v>
      </c>
      <c r="AM177" s="20">
        <v>0</v>
      </c>
      <c r="AN177" s="20" t="s">
        <v>699</v>
      </c>
      <c r="AP177" s="20" t="s">
        <v>700</v>
      </c>
      <c r="AQ177" s="23">
        <v>44364.333333333336</v>
      </c>
      <c r="AR177" s="20" t="s">
        <v>736</v>
      </c>
      <c r="AS177" s="20" t="s">
        <v>702</v>
      </c>
      <c r="AU177" s="20" t="s">
        <v>698</v>
      </c>
      <c r="AV177" s="20" t="s">
        <v>2023</v>
      </c>
      <c r="BC177" s="23">
        <v>44364.395833333336</v>
      </c>
      <c r="BF177" s="20" t="s">
        <v>754</v>
      </c>
      <c r="BH177" s="20" t="s">
        <v>698</v>
      </c>
      <c r="BM177" s="20" t="s">
        <v>698</v>
      </c>
      <c r="CA177" s="20">
        <v>0</v>
      </c>
      <c r="CB177" s="20" t="s">
        <v>1420</v>
      </c>
      <c r="CC177" s="20" t="s">
        <v>2024</v>
      </c>
      <c r="CD177" s="20" t="s">
        <v>694</v>
      </c>
      <c r="CE177" s="20">
        <v>75110</v>
      </c>
      <c r="CF177" s="20" t="s">
        <v>1296</v>
      </c>
      <c r="CG177" s="20" t="s">
        <v>1283</v>
      </c>
      <c r="CH177" s="20" t="s">
        <v>1931</v>
      </c>
      <c r="CI177" s="20">
        <v>0</v>
      </c>
      <c r="CJ177" s="20" t="s">
        <v>698</v>
      </c>
      <c r="CK177" s="20" t="s">
        <v>712</v>
      </c>
      <c r="CL177" s="20" t="s">
        <v>741</v>
      </c>
      <c r="CM177" s="20" t="s">
        <v>742</v>
      </c>
      <c r="CO177" s="20">
        <v>24</v>
      </c>
      <c r="CP177" s="20" t="s">
        <v>698</v>
      </c>
      <c r="DM177" s="20" t="s">
        <v>743</v>
      </c>
      <c r="DN177" s="20" t="s">
        <v>1141</v>
      </c>
      <c r="EA177" s="20" t="s">
        <v>1498</v>
      </c>
      <c r="FK177" s="20">
        <v>1953</v>
      </c>
      <c r="FM177" s="20" t="s">
        <v>719</v>
      </c>
      <c r="FO177" s="20" t="s">
        <v>720</v>
      </c>
      <c r="FR177" s="20" t="s">
        <v>749</v>
      </c>
      <c r="FY177" s="20" t="s">
        <v>698</v>
      </c>
      <c r="GC177" s="20" t="s">
        <v>696</v>
      </c>
      <c r="GD177" s="20" t="s">
        <v>698</v>
      </c>
      <c r="GE177" s="20" t="s">
        <v>696</v>
      </c>
      <c r="GH177" s="20" t="s">
        <v>696</v>
      </c>
      <c r="GK177" s="20" t="s">
        <v>698</v>
      </c>
      <c r="GT177" s="20" t="s">
        <v>696</v>
      </c>
      <c r="GU177" s="20" t="s">
        <v>696</v>
      </c>
      <c r="GZ177" s="20" t="s">
        <v>696</v>
      </c>
      <c r="HA177" s="20" t="s">
        <v>696</v>
      </c>
      <c r="HF177" s="20">
        <v>0</v>
      </c>
      <c r="HG177" s="20">
        <v>216</v>
      </c>
      <c r="HH177" s="20">
        <v>1000</v>
      </c>
      <c r="HI177" s="20">
        <v>9000</v>
      </c>
      <c r="HJ177" s="20">
        <v>8000</v>
      </c>
      <c r="HK177" s="20">
        <v>0</v>
      </c>
      <c r="HM177" s="20">
        <v>18216</v>
      </c>
      <c r="HR177" s="20">
        <v>0</v>
      </c>
      <c r="HS177" s="20">
        <v>0</v>
      </c>
      <c r="HY177" s="20" t="s">
        <v>723</v>
      </c>
      <c r="HZ177" s="20" t="s">
        <v>698</v>
      </c>
      <c r="IS177" s="20" t="s">
        <v>724</v>
      </c>
      <c r="IT177" s="20" t="s">
        <v>698</v>
      </c>
      <c r="IY177" s="20" t="s">
        <v>698</v>
      </c>
      <c r="JD177" s="20" t="s">
        <v>725</v>
      </c>
      <c r="JE177" s="20" t="s">
        <v>726</v>
      </c>
      <c r="JR177" s="20" t="s">
        <v>698</v>
      </c>
      <c r="JS177" s="20" t="s">
        <v>698</v>
      </c>
      <c r="JX177" s="20" t="s">
        <v>833</v>
      </c>
      <c r="JY177" s="20" t="s">
        <v>834</v>
      </c>
      <c r="JZ177" s="20" t="s">
        <v>834</v>
      </c>
      <c r="LD177" s="20" t="s">
        <v>1442</v>
      </c>
      <c r="LG177" s="20" t="s">
        <v>696</v>
      </c>
      <c r="LH177" s="20" t="s">
        <v>696</v>
      </c>
      <c r="LL177" s="20" t="s">
        <v>696</v>
      </c>
      <c r="LP177" s="20" t="s">
        <v>696</v>
      </c>
      <c r="LU177" s="20" t="s">
        <v>698</v>
      </c>
      <c r="LV177" s="20" t="s">
        <v>698</v>
      </c>
      <c r="LW177" s="20" t="s">
        <v>838</v>
      </c>
      <c r="LX177" s="20" t="s">
        <v>838</v>
      </c>
      <c r="SC177" s="20" t="s">
        <v>698</v>
      </c>
      <c r="UO177" s="20" t="s">
        <v>698</v>
      </c>
      <c r="UR177" s="20" t="s">
        <v>698</v>
      </c>
      <c r="UZ177" s="20" t="s">
        <v>698</v>
      </c>
      <c r="XL177" s="20" t="s">
        <v>1902</v>
      </c>
      <c r="XM177" s="20" t="s">
        <v>1903</v>
      </c>
      <c r="XN177" s="20" t="s">
        <v>1904</v>
      </c>
      <c r="XO177" s="20" t="s">
        <v>1905</v>
      </c>
      <c r="XQ177" s="24">
        <v>44386</v>
      </c>
      <c r="XU177" s="20" t="s">
        <v>1624</v>
      </c>
      <c r="XV177" s="20" t="s">
        <v>1625</v>
      </c>
      <c r="XW177" s="20" t="s">
        <v>1626</v>
      </c>
      <c r="XX177" s="20" t="s">
        <v>1627</v>
      </c>
      <c r="XY177" s="20" t="s">
        <v>2025</v>
      </c>
    </row>
    <row r="178" spans="1:649" ht="13">
      <c r="A178" s="20">
        <v>1181</v>
      </c>
      <c r="B178" s="21">
        <v>44391</v>
      </c>
      <c r="C178" s="20">
        <v>2021</v>
      </c>
      <c r="D178" s="20">
        <v>20210204</v>
      </c>
      <c r="E178" s="20">
        <v>35833</v>
      </c>
      <c r="F178" s="20" t="s">
        <v>825</v>
      </c>
      <c r="G178" s="20">
        <v>39205</v>
      </c>
      <c r="H178" s="20" t="s">
        <v>957</v>
      </c>
      <c r="I178" s="20" t="s">
        <v>692</v>
      </c>
      <c r="J178" s="20" t="s">
        <v>693</v>
      </c>
      <c r="K178" s="20" t="s">
        <v>694</v>
      </c>
      <c r="L178" s="20">
        <v>77002</v>
      </c>
      <c r="M178" s="22">
        <v>44361.543055555558</v>
      </c>
      <c r="P178" s="20">
        <v>47.799444000000001</v>
      </c>
      <c r="Q178" s="20">
        <v>-102.921111</v>
      </c>
      <c r="R178" s="20" t="s">
        <v>697</v>
      </c>
      <c r="W178" s="20">
        <v>0.1</v>
      </c>
      <c r="Y178" s="20">
        <v>0.1</v>
      </c>
      <c r="Z178" s="20" t="s">
        <v>698</v>
      </c>
      <c r="AF178" s="20">
        <v>0</v>
      </c>
      <c r="AG178" s="20" t="s">
        <v>698</v>
      </c>
      <c r="AM178" s="20">
        <v>0</v>
      </c>
      <c r="AN178" s="20" t="s">
        <v>699</v>
      </c>
      <c r="AP178" s="20" t="s">
        <v>700</v>
      </c>
      <c r="AQ178" s="23">
        <v>44361.543055555558</v>
      </c>
      <c r="AR178" s="20" t="s">
        <v>736</v>
      </c>
      <c r="AS178" s="20" t="s">
        <v>702</v>
      </c>
      <c r="AU178" s="20" t="s">
        <v>698</v>
      </c>
      <c r="AV178" s="20" t="s">
        <v>2026</v>
      </c>
      <c r="BC178" s="23">
        <v>44361.543055555558</v>
      </c>
      <c r="BE178" s="23">
        <v>44361.574305555558</v>
      </c>
      <c r="BF178" s="20">
        <v>1307766</v>
      </c>
      <c r="BH178" s="20" t="s">
        <v>696</v>
      </c>
      <c r="BM178" s="20" t="s">
        <v>698</v>
      </c>
      <c r="CA178" s="20">
        <v>0</v>
      </c>
      <c r="CB178" s="20" t="s">
        <v>1957</v>
      </c>
      <c r="CC178" s="20" t="s">
        <v>2027</v>
      </c>
      <c r="CD178" s="20" t="s">
        <v>707</v>
      </c>
      <c r="CE178" s="20">
        <v>58854</v>
      </c>
      <c r="CF178" s="20" t="s">
        <v>1669</v>
      </c>
      <c r="CG178" s="20" t="s">
        <v>709</v>
      </c>
      <c r="CH178" s="20" t="s">
        <v>710</v>
      </c>
      <c r="CI178" s="20" t="s">
        <v>711</v>
      </c>
      <c r="CJ178" s="20" t="s">
        <v>698</v>
      </c>
      <c r="CK178" s="20" t="s">
        <v>712</v>
      </c>
      <c r="CL178" s="20" t="s">
        <v>713</v>
      </c>
      <c r="CM178" s="20" t="s">
        <v>758</v>
      </c>
      <c r="CP178" s="20" t="s">
        <v>698</v>
      </c>
      <c r="DM178" s="20" t="s">
        <v>743</v>
      </c>
      <c r="DN178" s="20" t="s">
        <v>766</v>
      </c>
      <c r="FJ178" s="20" t="s">
        <v>1993</v>
      </c>
      <c r="FK178" s="20">
        <v>2021</v>
      </c>
      <c r="FM178" s="20" t="s">
        <v>962</v>
      </c>
      <c r="FN178" s="20" t="s">
        <v>2028</v>
      </c>
      <c r="FO178" s="20" t="s">
        <v>766</v>
      </c>
      <c r="FX178" s="20" t="s">
        <v>2029</v>
      </c>
      <c r="FY178" s="20" t="s">
        <v>698</v>
      </c>
      <c r="GC178" s="20" t="s">
        <v>698</v>
      </c>
      <c r="GD178" s="20" t="s">
        <v>698</v>
      </c>
      <c r="GE178" s="20" t="s">
        <v>698</v>
      </c>
      <c r="GK178" s="20" t="s">
        <v>698</v>
      </c>
      <c r="GT178" s="20" t="s">
        <v>698</v>
      </c>
      <c r="GU178" s="20" t="s">
        <v>698</v>
      </c>
      <c r="HF178" s="20">
        <v>0</v>
      </c>
      <c r="HG178" s="20">
        <v>7</v>
      </c>
      <c r="HH178" s="20">
        <v>917</v>
      </c>
      <c r="HI178" s="20">
        <v>250</v>
      </c>
      <c r="HJ178" s="20">
        <v>0</v>
      </c>
      <c r="HK178" s="20">
        <v>0</v>
      </c>
      <c r="HM178" s="20">
        <v>1174</v>
      </c>
      <c r="HR178" s="20">
        <v>0</v>
      </c>
      <c r="HS178" s="20">
        <v>285</v>
      </c>
      <c r="HY178" s="20" t="s">
        <v>723</v>
      </c>
      <c r="HZ178" s="20" t="s">
        <v>698</v>
      </c>
      <c r="IS178" s="20" t="s">
        <v>724</v>
      </c>
      <c r="IT178" s="20" t="s">
        <v>696</v>
      </c>
      <c r="IU178" s="20" t="s">
        <v>696</v>
      </c>
      <c r="IV178" s="20" t="s">
        <v>696</v>
      </c>
      <c r="IW178" s="20" t="s">
        <v>698</v>
      </c>
      <c r="IX178" s="20" t="s">
        <v>698</v>
      </c>
      <c r="IY178" s="20" t="s">
        <v>696</v>
      </c>
      <c r="IZ178" s="20" t="s">
        <v>696</v>
      </c>
      <c r="JA178" s="20" t="s">
        <v>696</v>
      </c>
      <c r="JB178" s="20" t="s">
        <v>698</v>
      </c>
      <c r="JC178" s="20" t="s">
        <v>698</v>
      </c>
      <c r="JD178" s="20" t="s">
        <v>725</v>
      </c>
      <c r="JE178" s="20" t="s">
        <v>726</v>
      </c>
      <c r="JR178" s="20" t="s">
        <v>698</v>
      </c>
      <c r="JS178" s="20" t="s">
        <v>696</v>
      </c>
      <c r="JV178" s="20">
        <v>3</v>
      </c>
      <c r="JW178" s="20">
        <v>0</v>
      </c>
      <c r="JX178" s="20" t="s">
        <v>894</v>
      </c>
      <c r="JY178" s="20" t="s">
        <v>1996</v>
      </c>
      <c r="RM178" s="20" t="s">
        <v>1996</v>
      </c>
      <c r="RS178" s="20" t="s">
        <v>696</v>
      </c>
      <c r="RT178" s="20" t="s">
        <v>696</v>
      </c>
      <c r="RU178" s="20" t="s">
        <v>2030</v>
      </c>
      <c r="RV178" s="20" t="s">
        <v>1034</v>
      </c>
      <c r="RW178" s="20" t="s">
        <v>698</v>
      </c>
      <c r="XL178" s="20" t="s">
        <v>730</v>
      </c>
      <c r="XM178" s="20" t="s">
        <v>1360</v>
      </c>
      <c r="XN178" s="20" t="s">
        <v>732</v>
      </c>
      <c r="XO178" s="20" t="s">
        <v>733</v>
      </c>
      <c r="XQ178" s="24">
        <v>44475</v>
      </c>
      <c r="XU178" s="20" t="s">
        <v>730</v>
      </c>
      <c r="XV178" s="20" t="s">
        <v>733</v>
      </c>
      <c r="XW178" s="20" t="s">
        <v>1360</v>
      </c>
      <c r="XX178" s="20" t="s">
        <v>732</v>
      </c>
      <c r="XY178" s="20" t="s">
        <v>2031</v>
      </c>
    </row>
    <row r="179" spans="1:649" ht="13">
      <c r="A179" s="20">
        <v>1183</v>
      </c>
      <c r="B179" s="21">
        <v>44386</v>
      </c>
      <c r="C179" s="20">
        <v>2021</v>
      </c>
      <c r="D179" s="20">
        <v>20210199</v>
      </c>
      <c r="E179" s="20">
        <v>35481</v>
      </c>
      <c r="F179" s="20" t="s">
        <v>885</v>
      </c>
      <c r="G179" s="20">
        <v>18718</v>
      </c>
      <c r="H179" s="20" t="s">
        <v>918</v>
      </c>
      <c r="I179" s="20" t="s">
        <v>692</v>
      </c>
      <c r="J179" s="20" t="s">
        <v>693</v>
      </c>
      <c r="K179" s="20" t="s">
        <v>694</v>
      </c>
      <c r="L179" s="20">
        <v>77002</v>
      </c>
      <c r="M179" s="22">
        <v>44360.541666666664</v>
      </c>
      <c r="P179" s="20">
        <v>42.384214</v>
      </c>
      <c r="Q179" s="20">
        <v>-71.021816999999999</v>
      </c>
      <c r="R179" s="20" t="s">
        <v>844</v>
      </c>
      <c r="S179" s="20" t="s">
        <v>845</v>
      </c>
      <c r="W179" s="20">
        <v>0.4</v>
      </c>
      <c r="Y179" s="20">
        <v>0.4</v>
      </c>
      <c r="Z179" s="20" t="s">
        <v>698</v>
      </c>
      <c r="AF179" s="20">
        <v>0</v>
      </c>
      <c r="AG179" s="20" t="s">
        <v>698</v>
      </c>
      <c r="AM179" s="20">
        <v>0</v>
      </c>
      <c r="AN179" s="20" t="s">
        <v>775</v>
      </c>
      <c r="AQ179" s="23">
        <v>44360.541666666664</v>
      </c>
      <c r="AR179" s="20" t="s">
        <v>701</v>
      </c>
      <c r="AS179" s="20" t="s">
        <v>702</v>
      </c>
      <c r="AU179" s="20" t="s">
        <v>698</v>
      </c>
      <c r="AV179" s="20" t="s">
        <v>2032</v>
      </c>
      <c r="BC179" s="23">
        <v>44360.5625</v>
      </c>
      <c r="BE179" s="23">
        <v>44360.570833333331</v>
      </c>
      <c r="BF179" s="20">
        <v>1307674</v>
      </c>
      <c r="BH179" s="20" t="s">
        <v>698</v>
      </c>
      <c r="BM179" s="20" t="s">
        <v>698</v>
      </c>
      <c r="CA179" s="20">
        <v>0</v>
      </c>
      <c r="CB179" s="20" t="s">
        <v>2033</v>
      </c>
      <c r="CC179" s="20" t="s">
        <v>2034</v>
      </c>
      <c r="CD179" s="20" t="s">
        <v>2035</v>
      </c>
      <c r="CE179" s="20">
        <v>2128</v>
      </c>
      <c r="CF179" s="20" t="s">
        <v>2036</v>
      </c>
      <c r="CG179" s="20" t="s">
        <v>2037</v>
      </c>
      <c r="CH179" s="20" t="s">
        <v>1931</v>
      </c>
      <c r="CI179" s="20" t="s">
        <v>1901</v>
      </c>
      <c r="CJ179" s="20" t="s">
        <v>698</v>
      </c>
      <c r="CK179" s="20" t="s">
        <v>712</v>
      </c>
      <c r="CL179" s="20" t="s">
        <v>713</v>
      </c>
      <c r="CM179" s="20" t="s">
        <v>758</v>
      </c>
      <c r="CP179" s="20" t="s">
        <v>698</v>
      </c>
      <c r="DM179" s="20" t="s">
        <v>743</v>
      </c>
      <c r="DN179" s="20" t="s">
        <v>766</v>
      </c>
      <c r="FJ179" s="20" t="s">
        <v>2038</v>
      </c>
      <c r="FK179" s="20">
        <v>2021</v>
      </c>
      <c r="FM179" s="20" t="s">
        <v>962</v>
      </c>
      <c r="FN179" s="20" t="s">
        <v>2039</v>
      </c>
      <c r="FO179" s="20" t="s">
        <v>720</v>
      </c>
      <c r="FR179" s="20" t="s">
        <v>721</v>
      </c>
      <c r="FY179" s="20" t="s">
        <v>698</v>
      </c>
      <c r="GC179" s="20" t="s">
        <v>696</v>
      </c>
      <c r="GD179" s="20" t="s">
        <v>698</v>
      </c>
      <c r="GE179" s="20" t="s">
        <v>696</v>
      </c>
      <c r="GH179" s="20" t="s">
        <v>696</v>
      </c>
      <c r="GK179" s="20" t="s">
        <v>698</v>
      </c>
      <c r="GT179" s="20" t="s">
        <v>696</v>
      </c>
      <c r="GU179" s="20" t="s">
        <v>696</v>
      </c>
      <c r="GX179" s="20" t="s">
        <v>696</v>
      </c>
      <c r="GY179" s="20" t="s">
        <v>696</v>
      </c>
      <c r="HD179" s="20" t="s">
        <v>696</v>
      </c>
      <c r="HE179" s="20" t="s">
        <v>696</v>
      </c>
      <c r="HF179" s="20">
        <v>0</v>
      </c>
      <c r="HG179" s="20">
        <v>30</v>
      </c>
      <c r="HH179" s="20">
        <v>100</v>
      </c>
      <c r="HI179" s="20">
        <v>3400</v>
      </c>
      <c r="HJ179" s="20">
        <v>1000</v>
      </c>
      <c r="HK179" s="20">
        <v>0</v>
      </c>
      <c r="HM179" s="20">
        <v>4530</v>
      </c>
      <c r="HR179" s="20">
        <v>120</v>
      </c>
      <c r="HS179" s="20">
        <v>150</v>
      </c>
      <c r="HY179" s="20" t="s">
        <v>723</v>
      </c>
      <c r="HZ179" s="20" t="s">
        <v>698</v>
      </c>
      <c r="IS179" s="20" t="s">
        <v>724</v>
      </c>
      <c r="IT179" s="20" t="s">
        <v>696</v>
      </c>
      <c r="IU179" s="20" t="s">
        <v>696</v>
      </c>
      <c r="IV179" s="20" t="s">
        <v>696</v>
      </c>
      <c r="IW179" s="20" t="s">
        <v>698</v>
      </c>
      <c r="IX179" s="20" t="s">
        <v>698</v>
      </c>
      <c r="IY179" s="20" t="s">
        <v>696</v>
      </c>
      <c r="IZ179" s="20" t="s">
        <v>696</v>
      </c>
      <c r="JA179" s="20" t="s">
        <v>696</v>
      </c>
      <c r="JB179" s="20" t="s">
        <v>698</v>
      </c>
      <c r="JC179" s="20" t="s">
        <v>698</v>
      </c>
      <c r="JD179" s="20" t="s">
        <v>725</v>
      </c>
      <c r="JE179" s="20" t="s">
        <v>726</v>
      </c>
      <c r="JR179" s="20" t="s">
        <v>698</v>
      </c>
      <c r="JS179" s="20" t="s">
        <v>698</v>
      </c>
      <c r="JX179" s="20" t="s">
        <v>789</v>
      </c>
      <c r="JY179" s="20" t="s">
        <v>914</v>
      </c>
      <c r="QB179" s="20" t="s">
        <v>914</v>
      </c>
      <c r="QS179" s="20" t="s">
        <v>1659</v>
      </c>
      <c r="RH179" s="20" t="s">
        <v>696</v>
      </c>
      <c r="RI179" s="20" t="s">
        <v>696</v>
      </c>
      <c r="XL179" s="20" t="s">
        <v>1902</v>
      </c>
      <c r="XM179" s="20" t="s">
        <v>1903</v>
      </c>
      <c r="XN179" s="20" t="s">
        <v>1904</v>
      </c>
      <c r="XO179" s="20" t="s">
        <v>1905</v>
      </c>
      <c r="XQ179" s="24">
        <v>44386</v>
      </c>
      <c r="XU179" s="20" t="s">
        <v>1655</v>
      </c>
      <c r="XV179" s="20" t="s">
        <v>1648</v>
      </c>
      <c r="XW179" s="20" t="s">
        <v>1626</v>
      </c>
      <c r="XX179" s="20" t="s">
        <v>1647</v>
      </c>
      <c r="XY179" s="20" t="s">
        <v>2040</v>
      </c>
    </row>
    <row r="180" spans="1:649" ht="13">
      <c r="A180" s="20">
        <v>1185</v>
      </c>
      <c r="B180" s="21">
        <v>44384</v>
      </c>
      <c r="C180" s="20">
        <v>2021</v>
      </c>
      <c r="D180" s="20">
        <v>20210195</v>
      </c>
      <c r="E180" s="20">
        <v>35485</v>
      </c>
      <c r="F180" s="20" t="s">
        <v>825</v>
      </c>
      <c r="G180" s="20">
        <v>12470</v>
      </c>
      <c r="H180" s="20" t="s">
        <v>1070</v>
      </c>
      <c r="I180" s="20" t="s">
        <v>692</v>
      </c>
      <c r="J180" s="20" t="s">
        <v>693</v>
      </c>
      <c r="K180" s="20" t="s">
        <v>694</v>
      </c>
      <c r="L180" s="20">
        <v>77002</v>
      </c>
      <c r="M180" s="22">
        <v>44357.520833333336</v>
      </c>
      <c r="P180" s="20">
        <v>40.706302000000001</v>
      </c>
      <c r="Q180" s="20">
        <v>-84.117500199999995</v>
      </c>
      <c r="R180" s="20" t="s">
        <v>697</v>
      </c>
      <c r="W180" s="20">
        <v>16.7</v>
      </c>
      <c r="Y180" s="20">
        <v>16.7</v>
      </c>
      <c r="Z180" s="20" t="s">
        <v>698</v>
      </c>
      <c r="AF180" s="20">
        <v>0</v>
      </c>
      <c r="AG180" s="20" t="s">
        <v>698</v>
      </c>
      <c r="AM180" s="20">
        <v>0</v>
      </c>
      <c r="AN180" s="20" t="s">
        <v>699</v>
      </c>
      <c r="AP180" s="20" t="s">
        <v>1013</v>
      </c>
      <c r="AQ180" s="23">
        <v>44357.520833333336</v>
      </c>
      <c r="AR180" s="20" t="s">
        <v>736</v>
      </c>
      <c r="AS180" s="20" t="s">
        <v>702</v>
      </c>
      <c r="AU180" s="20" t="s">
        <v>696</v>
      </c>
      <c r="AW180" s="23">
        <v>44357.520833333336</v>
      </c>
      <c r="AX180" s="23">
        <v>44358.541666666664</v>
      </c>
      <c r="BC180" s="23">
        <v>44357.520833333336</v>
      </c>
      <c r="BE180" s="23">
        <v>44358.314583333333</v>
      </c>
      <c r="BF180" s="20">
        <v>1307493</v>
      </c>
      <c r="BH180" s="20" t="s">
        <v>698</v>
      </c>
      <c r="BM180" s="20" t="s">
        <v>698</v>
      </c>
      <c r="CA180" s="20">
        <v>0</v>
      </c>
      <c r="CB180" s="20" t="s">
        <v>1907</v>
      </c>
      <c r="CC180" s="20" t="s">
        <v>2041</v>
      </c>
      <c r="CD180" s="20" t="s">
        <v>1075</v>
      </c>
      <c r="CE180" s="20">
        <v>45804</v>
      </c>
      <c r="CF180" s="20" t="s">
        <v>1909</v>
      </c>
      <c r="CG180" s="20" t="s">
        <v>1076</v>
      </c>
      <c r="CH180" s="20" t="s">
        <v>1931</v>
      </c>
      <c r="CI180" s="20">
        <v>0</v>
      </c>
      <c r="CJ180" s="20" t="s">
        <v>698</v>
      </c>
      <c r="CK180" s="20" t="s">
        <v>712</v>
      </c>
      <c r="CL180" s="20" t="s">
        <v>741</v>
      </c>
      <c r="CM180" s="20" t="s">
        <v>742</v>
      </c>
      <c r="CO180" s="20">
        <v>24</v>
      </c>
      <c r="CP180" s="20" t="s">
        <v>698</v>
      </c>
      <c r="DM180" s="20" t="s">
        <v>743</v>
      </c>
      <c r="DN180" s="20" t="s">
        <v>744</v>
      </c>
      <c r="DO180" s="20" t="s">
        <v>745</v>
      </c>
      <c r="DQ180" s="20">
        <v>30</v>
      </c>
      <c r="DR180" s="20">
        <v>0.375</v>
      </c>
      <c r="DS180" s="20">
        <v>35000</v>
      </c>
      <c r="DT180" s="20" t="s">
        <v>1024</v>
      </c>
      <c r="DU180" s="20" t="s">
        <v>747</v>
      </c>
      <c r="DW180" s="20" t="s">
        <v>728</v>
      </c>
      <c r="DX180" s="20" t="s">
        <v>928</v>
      </c>
      <c r="FK180" s="20">
        <v>1950</v>
      </c>
      <c r="FL180" s="20">
        <v>1950</v>
      </c>
      <c r="FM180" s="20" t="s">
        <v>719</v>
      </c>
      <c r="FO180" s="20" t="s">
        <v>720</v>
      </c>
      <c r="FR180" s="20" t="s">
        <v>749</v>
      </c>
      <c r="FY180" s="20" t="s">
        <v>698</v>
      </c>
      <c r="GC180" s="20" t="s">
        <v>696</v>
      </c>
      <c r="GD180" s="20" t="s">
        <v>698</v>
      </c>
      <c r="GE180" s="20" t="s">
        <v>696</v>
      </c>
      <c r="GH180" s="20" t="s">
        <v>696</v>
      </c>
      <c r="GK180" s="20" t="s">
        <v>698</v>
      </c>
      <c r="GT180" s="20" t="s">
        <v>696</v>
      </c>
      <c r="GU180" s="20" t="s">
        <v>696</v>
      </c>
      <c r="GX180" s="20" t="s">
        <v>696</v>
      </c>
      <c r="GY180" s="20" t="s">
        <v>696</v>
      </c>
      <c r="HF180" s="20">
        <v>0</v>
      </c>
      <c r="HG180" s="20">
        <v>1229</v>
      </c>
      <c r="HH180" s="20">
        <v>60000</v>
      </c>
      <c r="HI180" s="20">
        <v>9000</v>
      </c>
      <c r="HJ180" s="20">
        <v>9000</v>
      </c>
      <c r="HK180" s="20">
        <v>0</v>
      </c>
      <c r="HM180" s="20">
        <v>79229</v>
      </c>
      <c r="HR180" s="20">
        <v>150</v>
      </c>
      <c r="HS180" s="20">
        <v>285</v>
      </c>
      <c r="HY180" s="20" t="s">
        <v>723</v>
      </c>
      <c r="HZ180" s="20" t="s">
        <v>698</v>
      </c>
      <c r="IS180" s="20" t="s">
        <v>724</v>
      </c>
      <c r="IT180" s="20" t="s">
        <v>696</v>
      </c>
      <c r="IU180" s="20" t="s">
        <v>696</v>
      </c>
      <c r="IV180" s="20" t="s">
        <v>696</v>
      </c>
      <c r="IW180" s="20" t="s">
        <v>698</v>
      </c>
      <c r="IX180" s="20" t="s">
        <v>698</v>
      </c>
      <c r="IY180" s="20" t="s">
        <v>696</v>
      </c>
      <c r="IZ180" s="20" t="s">
        <v>696</v>
      </c>
      <c r="JA180" s="20" t="s">
        <v>696</v>
      </c>
      <c r="JB180" s="20" t="s">
        <v>698</v>
      </c>
      <c r="JC180" s="20" t="s">
        <v>698</v>
      </c>
      <c r="JD180" s="20" t="s">
        <v>725</v>
      </c>
      <c r="JE180" s="20" t="s">
        <v>726</v>
      </c>
      <c r="JR180" s="20" t="s">
        <v>698</v>
      </c>
      <c r="JS180" s="20" t="s">
        <v>698</v>
      </c>
      <c r="JX180" s="20" t="s">
        <v>833</v>
      </c>
      <c r="JY180" s="20" t="s">
        <v>834</v>
      </c>
      <c r="JZ180" s="20" t="s">
        <v>834</v>
      </c>
      <c r="LD180" s="20" t="s">
        <v>1442</v>
      </c>
      <c r="LH180" s="20" t="s">
        <v>696</v>
      </c>
      <c r="LL180" s="20" t="s">
        <v>696</v>
      </c>
      <c r="LP180" s="20" t="s">
        <v>696</v>
      </c>
      <c r="LU180" s="20" t="s">
        <v>696</v>
      </c>
      <c r="LV180" s="20" t="s">
        <v>698</v>
      </c>
      <c r="LW180" s="20" t="s">
        <v>838</v>
      </c>
      <c r="LX180" s="20" t="s">
        <v>838</v>
      </c>
      <c r="SC180" s="20" t="s">
        <v>698</v>
      </c>
      <c r="UO180" s="20" t="s">
        <v>698</v>
      </c>
      <c r="UR180" s="20" t="s">
        <v>698</v>
      </c>
      <c r="UZ180" s="20" t="s">
        <v>698</v>
      </c>
      <c r="XL180" s="20" t="s">
        <v>1902</v>
      </c>
      <c r="XM180" s="20" t="s">
        <v>1903</v>
      </c>
      <c r="XN180" s="20" t="s">
        <v>1904</v>
      </c>
      <c r="XO180" s="20">
        <v>7139894527</v>
      </c>
      <c r="XQ180" s="24">
        <v>44386</v>
      </c>
      <c r="XU180" s="20" t="s">
        <v>1624</v>
      </c>
      <c r="XV180" s="20" t="s">
        <v>1625</v>
      </c>
      <c r="XW180" s="20" t="s">
        <v>1626</v>
      </c>
      <c r="XX180" s="20" t="s">
        <v>1627</v>
      </c>
      <c r="XY180" s="20" t="s">
        <v>2042</v>
      </c>
    </row>
    <row r="181" spans="1:649" ht="13">
      <c r="A181" s="20">
        <v>1191</v>
      </c>
      <c r="B181" s="21">
        <v>44504</v>
      </c>
      <c r="C181" s="20">
        <v>2021</v>
      </c>
      <c r="D181" s="20">
        <v>20210312</v>
      </c>
      <c r="E181" s="20">
        <v>35958</v>
      </c>
      <c r="F181" s="20" t="s">
        <v>885</v>
      </c>
      <c r="G181" s="20">
        <v>39706</v>
      </c>
      <c r="H181" s="20" t="s">
        <v>1943</v>
      </c>
      <c r="I181" s="20" t="s">
        <v>692</v>
      </c>
      <c r="J181" s="20" t="s">
        <v>693</v>
      </c>
      <c r="K181" s="20" t="s">
        <v>694</v>
      </c>
      <c r="L181" s="20">
        <v>77002</v>
      </c>
      <c r="M181" s="22">
        <v>44352.041666666664</v>
      </c>
      <c r="P181" s="20">
        <v>29.989279</v>
      </c>
      <c r="Q181" s="20">
        <v>-94.002547000000007</v>
      </c>
      <c r="R181" s="20" t="s">
        <v>697</v>
      </c>
      <c r="W181" s="20">
        <v>4</v>
      </c>
      <c r="Y181" s="20">
        <v>4</v>
      </c>
      <c r="Z181" s="20" t="s">
        <v>698</v>
      </c>
      <c r="AF181" s="20">
        <v>0</v>
      </c>
      <c r="AG181" s="20" t="s">
        <v>698</v>
      </c>
      <c r="AM181" s="20">
        <v>0</v>
      </c>
      <c r="AN181" s="20" t="s">
        <v>699</v>
      </c>
      <c r="AP181" s="20" t="s">
        <v>700</v>
      </c>
      <c r="AQ181" s="23">
        <v>44352.0625</v>
      </c>
      <c r="AR181" s="20" t="s">
        <v>701</v>
      </c>
      <c r="AS181" s="20" t="s">
        <v>702</v>
      </c>
      <c r="AU181" s="20" t="s">
        <v>696</v>
      </c>
      <c r="AW181" s="23">
        <v>44352.0625</v>
      </c>
      <c r="AX181" s="23">
        <v>44352.145833333336</v>
      </c>
      <c r="BC181" s="23">
        <v>44352.0625</v>
      </c>
      <c r="BF181" s="20" t="s">
        <v>754</v>
      </c>
      <c r="BH181" s="20" t="s">
        <v>698</v>
      </c>
      <c r="BM181" s="20" t="s">
        <v>698</v>
      </c>
      <c r="CA181" s="20">
        <v>0</v>
      </c>
      <c r="CB181" s="20" t="s">
        <v>818</v>
      </c>
      <c r="CC181" s="20" t="s">
        <v>2043</v>
      </c>
      <c r="CD181" s="20" t="s">
        <v>694</v>
      </c>
      <c r="CE181" s="20">
        <v>77627</v>
      </c>
      <c r="CF181" s="20" t="s">
        <v>820</v>
      </c>
      <c r="CG181" s="20" t="s">
        <v>821</v>
      </c>
      <c r="CH181" s="20" t="s">
        <v>1931</v>
      </c>
      <c r="CI181" s="20" t="s">
        <v>711</v>
      </c>
      <c r="CJ181" s="20" t="s">
        <v>698</v>
      </c>
      <c r="CK181" s="20" t="s">
        <v>712</v>
      </c>
      <c r="CL181" s="20" t="s">
        <v>713</v>
      </c>
      <c r="CM181" s="20" t="s">
        <v>758</v>
      </c>
      <c r="CP181" s="20" t="s">
        <v>698</v>
      </c>
      <c r="DM181" s="20" t="s">
        <v>743</v>
      </c>
      <c r="DN181" s="20" t="s">
        <v>1011</v>
      </c>
      <c r="FK181" s="20">
        <v>2018</v>
      </c>
      <c r="FM181" s="20" t="s">
        <v>719</v>
      </c>
      <c r="FO181" s="20" t="s">
        <v>720</v>
      </c>
      <c r="FR181" s="20" t="s">
        <v>721</v>
      </c>
      <c r="FY181" s="20" t="s">
        <v>698</v>
      </c>
      <c r="GC181" s="20" t="s">
        <v>696</v>
      </c>
      <c r="GD181" s="20" t="s">
        <v>698</v>
      </c>
      <c r="GE181" s="20" t="s">
        <v>696</v>
      </c>
      <c r="GH181" s="20" t="s">
        <v>696</v>
      </c>
      <c r="GK181" s="20" t="s">
        <v>698</v>
      </c>
      <c r="GT181" s="20" t="s">
        <v>696</v>
      </c>
      <c r="GU181" s="20" t="s">
        <v>696</v>
      </c>
      <c r="GX181" s="20" t="s">
        <v>696</v>
      </c>
      <c r="GY181" s="20" t="s">
        <v>698</v>
      </c>
      <c r="HF181" s="20">
        <v>0</v>
      </c>
      <c r="HG181" s="20">
        <v>240</v>
      </c>
      <c r="HH181" s="20">
        <v>1000</v>
      </c>
      <c r="HI181" s="20">
        <v>500</v>
      </c>
      <c r="HJ181" s="20">
        <v>2000</v>
      </c>
      <c r="HK181" s="20">
        <v>0</v>
      </c>
      <c r="HM181" s="20">
        <v>3740</v>
      </c>
      <c r="HR181" s="20">
        <v>45</v>
      </c>
      <c r="HS181" s="20">
        <v>285</v>
      </c>
      <c r="HY181" s="20" t="s">
        <v>723</v>
      </c>
      <c r="HZ181" s="20" t="s">
        <v>698</v>
      </c>
      <c r="IS181" s="20" t="s">
        <v>724</v>
      </c>
      <c r="IT181" s="20" t="s">
        <v>696</v>
      </c>
      <c r="IU181" s="20" t="s">
        <v>696</v>
      </c>
      <c r="IV181" s="20" t="s">
        <v>696</v>
      </c>
      <c r="IW181" s="20" t="s">
        <v>698</v>
      </c>
      <c r="IX181" s="20" t="s">
        <v>698</v>
      </c>
      <c r="IY181" s="20" t="s">
        <v>696</v>
      </c>
      <c r="IZ181" s="20" t="s">
        <v>696</v>
      </c>
      <c r="JA181" s="20" t="s">
        <v>696</v>
      </c>
      <c r="JB181" s="20" t="s">
        <v>698</v>
      </c>
      <c r="JC181" s="20" t="s">
        <v>698</v>
      </c>
      <c r="JD181" s="20" t="s">
        <v>725</v>
      </c>
      <c r="JE181" s="20" t="s">
        <v>726</v>
      </c>
      <c r="JR181" s="20" t="s">
        <v>698</v>
      </c>
      <c r="JS181" s="20" t="s">
        <v>698</v>
      </c>
      <c r="JX181" s="20" t="s">
        <v>789</v>
      </c>
      <c r="JY181" s="20" t="s">
        <v>914</v>
      </c>
      <c r="QB181" s="20" t="s">
        <v>914</v>
      </c>
      <c r="QS181" s="20" t="s">
        <v>915</v>
      </c>
      <c r="QV181" s="20" t="s">
        <v>696</v>
      </c>
      <c r="XL181" s="20" t="s">
        <v>1902</v>
      </c>
      <c r="XM181" s="20" t="s">
        <v>1903</v>
      </c>
      <c r="XN181" s="20" t="s">
        <v>1904</v>
      </c>
      <c r="XO181" s="20" t="s">
        <v>1905</v>
      </c>
      <c r="XQ181" s="24">
        <v>44504</v>
      </c>
      <c r="XU181" s="20" t="s">
        <v>730</v>
      </c>
      <c r="XV181" s="20" t="s">
        <v>733</v>
      </c>
      <c r="XW181" s="20" t="s">
        <v>1360</v>
      </c>
      <c r="XX181" s="20" t="s">
        <v>732</v>
      </c>
      <c r="XY181" s="20" t="s">
        <v>2044</v>
      </c>
    </row>
    <row r="182" spans="1:649" ht="13">
      <c r="A182" s="20">
        <v>1192</v>
      </c>
      <c r="B182" s="21">
        <v>44375</v>
      </c>
      <c r="C182" s="20">
        <v>2021</v>
      </c>
      <c r="D182" s="20">
        <v>20210183</v>
      </c>
      <c r="E182" s="20">
        <v>38125</v>
      </c>
      <c r="F182" s="20" t="s">
        <v>825</v>
      </c>
      <c r="G182" s="20">
        <v>31476</v>
      </c>
      <c r="H182" s="20" t="s">
        <v>1859</v>
      </c>
      <c r="I182" s="20" t="s">
        <v>692</v>
      </c>
      <c r="J182" s="20" t="s">
        <v>693</v>
      </c>
      <c r="K182" s="20" t="s">
        <v>694</v>
      </c>
      <c r="L182" s="20">
        <v>77002</v>
      </c>
      <c r="M182" s="22">
        <v>44351.443749999999</v>
      </c>
      <c r="N182" s="20" t="s">
        <v>695</v>
      </c>
      <c r="O182" s="20" t="s">
        <v>696</v>
      </c>
      <c r="P182" s="20">
        <v>35.927207000000003</v>
      </c>
      <c r="Q182" s="20">
        <v>-96.760283000000001</v>
      </c>
      <c r="R182" s="20" t="s">
        <v>697</v>
      </c>
      <c r="W182" s="20">
        <v>0.5</v>
      </c>
      <c r="Y182" s="20">
        <v>0.5</v>
      </c>
      <c r="Z182" s="20" t="s">
        <v>698</v>
      </c>
      <c r="AF182" s="20">
        <v>0</v>
      </c>
      <c r="AG182" s="20" t="s">
        <v>698</v>
      </c>
      <c r="AM182" s="20">
        <v>0</v>
      </c>
      <c r="AN182" s="20" t="s">
        <v>699</v>
      </c>
      <c r="AP182" s="20" t="s">
        <v>700</v>
      </c>
      <c r="AQ182" s="23">
        <v>44351.443749999999</v>
      </c>
      <c r="AR182" s="20" t="s">
        <v>701</v>
      </c>
      <c r="AS182" s="20" t="s">
        <v>702</v>
      </c>
      <c r="AT182" s="20" t="s">
        <v>703</v>
      </c>
      <c r="AU182" s="20" t="s">
        <v>696</v>
      </c>
      <c r="AW182" s="23">
        <v>44351.445138888892</v>
      </c>
      <c r="AX182" s="23">
        <v>44351.520138888889</v>
      </c>
      <c r="AZ182" s="20" t="s">
        <v>698</v>
      </c>
      <c r="BC182" s="23">
        <v>44351.443749999999</v>
      </c>
      <c r="BD182" s="23">
        <v>44351.443749999999</v>
      </c>
      <c r="BF182" s="20" t="s">
        <v>754</v>
      </c>
      <c r="BH182" s="20" t="s">
        <v>698</v>
      </c>
      <c r="BV182" s="20" t="s">
        <v>696</v>
      </c>
      <c r="BW182" s="23">
        <v>44351.445138888892</v>
      </c>
      <c r="BX182" s="20" t="s">
        <v>698</v>
      </c>
      <c r="CA182" s="20">
        <v>0</v>
      </c>
      <c r="CB182" s="20" t="s">
        <v>2045</v>
      </c>
      <c r="CC182" s="20" t="s">
        <v>2046</v>
      </c>
      <c r="CD182" s="20" t="s">
        <v>739</v>
      </c>
      <c r="CE182" s="20">
        <v>74023</v>
      </c>
      <c r="CF182" s="20" t="s">
        <v>1675</v>
      </c>
      <c r="CG182" s="20" t="s">
        <v>2047</v>
      </c>
      <c r="CH182" s="20" t="s">
        <v>710</v>
      </c>
      <c r="CI182" s="20" t="s">
        <v>711</v>
      </c>
      <c r="CJ182" s="20" t="s">
        <v>698</v>
      </c>
      <c r="CK182" s="20" t="s">
        <v>712</v>
      </c>
      <c r="CL182" s="20" t="s">
        <v>713</v>
      </c>
      <c r="CM182" s="20" t="s">
        <v>758</v>
      </c>
      <c r="CP182" s="20" t="s">
        <v>698</v>
      </c>
      <c r="DM182" s="20" t="s">
        <v>743</v>
      </c>
      <c r="DN182" s="20" t="s">
        <v>1011</v>
      </c>
      <c r="FK182" s="20">
        <v>2021</v>
      </c>
      <c r="FL182" s="20" t="s">
        <v>728</v>
      </c>
      <c r="FM182" s="20" t="s">
        <v>962</v>
      </c>
      <c r="FN182" s="20" t="s">
        <v>2048</v>
      </c>
      <c r="FO182" s="20" t="s">
        <v>720</v>
      </c>
      <c r="FR182" s="20" t="s">
        <v>721</v>
      </c>
      <c r="FY182" s="20" t="s">
        <v>698</v>
      </c>
      <c r="GC182" s="20" t="s">
        <v>696</v>
      </c>
      <c r="GD182" s="20" t="s">
        <v>698</v>
      </c>
      <c r="GE182" s="20" t="s">
        <v>696</v>
      </c>
      <c r="GH182" s="20" t="s">
        <v>696</v>
      </c>
      <c r="GK182" s="20" t="s">
        <v>698</v>
      </c>
      <c r="GT182" s="20" t="s">
        <v>698</v>
      </c>
      <c r="GU182" s="20" t="s">
        <v>698</v>
      </c>
      <c r="HF182" s="20">
        <v>0</v>
      </c>
      <c r="HG182" s="20">
        <v>35</v>
      </c>
      <c r="HH182" s="20">
        <v>3000</v>
      </c>
      <c r="HI182" s="20">
        <v>2500</v>
      </c>
      <c r="HJ182" s="20">
        <v>1500</v>
      </c>
      <c r="HK182" s="20">
        <v>0</v>
      </c>
      <c r="HM182" s="20">
        <v>7035</v>
      </c>
      <c r="HN182" s="20">
        <v>0</v>
      </c>
      <c r="HO182" s="20">
        <v>0</v>
      </c>
      <c r="HP182" s="20">
        <v>0</v>
      </c>
      <c r="HQ182" s="20">
        <v>0</v>
      </c>
      <c r="HR182" s="20">
        <v>781</v>
      </c>
      <c r="HS182" s="20">
        <v>740</v>
      </c>
      <c r="HT182" s="20" t="s">
        <v>750</v>
      </c>
      <c r="HV182" s="24">
        <v>44274</v>
      </c>
      <c r="HW182" s="20" t="s">
        <v>698</v>
      </c>
      <c r="HY182" s="20" t="s">
        <v>1214</v>
      </c>
      <c r="HZ182" s="20" t="s">
        <v>698</v>
      </c>
      <c r="IS182" s="20" t="s">
        <v>724</v>
      </c>
      <c r="IT182" s="20" t="s">
        <v>696</v>
      </c>
      <c r="IU182" s="20" t="s">
        <v>696</v>
      </c>
      <c r="IV182" s="20" t="s">
        <v>696</v>
      </c>
      <c r="IW182" s="20" t="s">
        <v>698</v>
      </c>
      <c r="IX182" s="20" t="s">
        <v>698</v>
      </c>
      <c r="IY182" s="20" t="s">
        <v>696</v>
      </c>
      <c r="IZ182" s="20" t="s">
        <v>696</v>
      </c>
      <c r="JA182" s="20" t="s">
        <v>696</v>
      </c>
      <c r="JB182" s="20" t="s">
        <v>698</v>
      </c>
      <c r="JC182" s="20" t="s">
        <v>698</v>
      </c>
      <c r="JD182" s="20" t="s">
        <v>725</v>
      </c>
      <c r="JE182" s="20" t="s">
        <v>726</v>
      </c>
      <c r="JR182" s="20" t="s">
        <v>698</v>
      </c>
      <c r="JS182" s="20" t="s">
        <v>698</v>
      </c>
      <c r="JX182" s="20" t="s">
        <v>789</v>
      </c>
      <c r="JY182" s="20" t="s">
        <v>914</v>
      </c>
      <c r="QB182" s="20" t="s">
        <v>914</v>
      </c>
      <c r="QS182" s="20" t="s">
        <v>1659</v>
      </c>
      <c r="QW182" s="20" t="s">
        <v>696</v>
      </c>
      <c r="XL182" s="20" t="s">
        <v>730</v>
      </c>
      <c r="XM182" s="20" t="s">
        <v>1360</v>
      </c>
      <c r="XN182" s="20" t="s">
        <v>732</v>
      </c>
      <c r="XO182" s="20" t="s">
        <v>733</v>
      </c>
      <c r="XQ182" s="24">
        <v>45079</v>
      </c>
      <c r="XU182" s="20" t="s">
        <v>730</v>
      </c>
      <c r="XV182" s="20" t="s">
        <v>733</v>
      </c>
      <c r="XW182" s="20" t="s">
        <v>1360</v>
      </c>
      <c r="XX182" s="20" t="s">
        <v>732</v>
      </c>
      <c r="XY182" s="20" t="s">
        <v>2049</v>
      </c>
    </row>
    <row r="183" spans="1:649" ht="13">
      <c r="A183" s="20">
        <v>1198</v>
      </c>
      <c r="B183" s="21">
        <v>44377</v>
      </c>
      <c r="C183" s="20">
        <v>2021</v>
      </c>
      <c r="D183" s="20">
        <v>20210185</v>
      </c>
      <c r="E183" s="20">
        <v>35447</v>
      </c>
      <c r="F183" s="20" t="s">
        <v>885</v>
      </c>
      <c r="G183" s="20">
        <v>18718</v>
      </c>
      <c r="H183" s="20" t="s">
        <v>918</v>
      </c>
      <c r="I183" s="20" t="s">
        <v>692</v>
      </c>
      <c r="J183" s="20" t="s">
        <v>693</v>
      </c>
      <c r="K183" s="20" t="s">
        <v>694</v>
      </c>
      <c r="L183" s="20">
        <v>77002</v>
      </c>
      <c r="M183" s="22">
        <v>44347.893055555556</v>
      </c>
      <c r="P183" s="20">
        <v>40.006900000000002</v>
      </c>
      <c r="Q183" s="20">
        <v>-75.584100000000007</v>
      </c>
      <c r="R183" s="20" t="s">
        <v>773</v>
      </c>
      <c r="S183" s="20" t="s">
        <v>1098</v>
      </c>
      <c r="W183" s="20">
        <v>0.3</v>
      </c>
      <c r="X183" s="20">
        <v>9.1</v>
      </c>
      <c r="Y183" s="20">
        <v>0</v>
      </c>
      <c r="Z183" s="20" t="s">
        <v>698</v>
      </c>
      <c r="AF183" s="20">
        <v>0</v>
      </c>
      <c r="AG183" s="20" t="s">
        <v>698</v>
      </c>
      <c r="AM183" s="20">
        <v>0</v>
      </c>
      <c r="AN183" s="20" t="s">
        <v>2050</v>
      </c>
      <c r="AQ183" s="23">
        <v>44347.851388888892</v>
      </c>
      <c r="AR183" s="20" t="s">
        <v>701</v>
      </c>
      <c r="AS183" s="20" t="s">
        <v>702</v>
      </c>
      <c r="AU183" s="20" t="s">
        <v>696</v>
      </c>
      <c r="AW183" s="23">
        <v>44347.864583333336</v>
      </c>
      <c r="AX183" s="23">
        <v>44350.78402777778</v>
      </c>
      <c r="BC183" s="23">
        <v>44347.902777777781</v>
      </c>
      <c r="BF183" s="20" t="s">
        <v>754</v>
      </c>
      <c r="BH183" s="20" t="s">
        <v>698</v>
      </c>
      <c r="BM183" s="20" t="s">
        <v>698</v>
      </c>
      <c r="CA183" s="20">
        <v>0</v>
      </c>
      <c r="CB183" s="20" t="s">
        <v>2051</v>
      </c>
      <c r="CC183" s="20" t="s">
        <v>2052</v>
      </c>
      <c r="CD183" s="20" t="s">
        <v>921</v>
      </c>
      <c r="CE183" s="20">
        <v>19380</v>
      </c>
      <c r="CF183" s="20" t="s">
        <v>2053</v>
      </c>
      <c r="CG183" s="20" t="s">
        <v>1747</v>
      </c>
      <c r="CH183" s="20" t="s">
        <v>1931</v>
      </c>
      <c r="CI183" s="20" t="s">
        <v>2054</v>
      </c>
      <c r="CJ183" s="20" t="s">
        <v>698</v>
      </c>
      <c r="CK183" s="20" t="s">
        <v>712</v>
      </c>
      <c r="CL183" s="20" t="s">
        <v>713</v>
      </c>
      <c r="CM183" s="20" t="s">
        <v>714</v>
      </c>
      <c r="CP183" s="20" t="s">
        <v>698</v>
      </c>
      <c r="DM183" s="20" t="s">
        <v>743</v>
      </c>
      <c r="DN183" s="20" t="s">
        <v>716</v>
      </c>
      <c r="FK183" s="20">
        <v>2019</v>
      </c>
      <c r="FM183" s="20" t="s">
        <v>962</v>
      </c>
      <c r="FN183" s="20" t="s">
        <v>2048</v>
      </c>
      <c r="FO183" s="20" t="s">
        <v>720</v>
      </c>
      <c r="FR183" s="20" t="s">
        <v>721</v>
      </c>
      <c r="FY183" s="20" t="s">
        <v>698</v>
      </c>
      <c r="GC183" s="20" t="s">
        <v>698</v>
      </c>
      <c r="GD183" s="20" t="s">
        <v>698</v>
      </c>
      <c r="GE183" s="20" t="s">
        <v>698</v>
      </c>
      <c r="GK183" s="20" t="s">
        <v>698</v>
      </c>
      <c r="GT183" s="20" t="s">
        <v>696</v>
      </c>
      <c r="GU183" s="20" t="s">
        <v>696</v>
      </c>
      <c r="GX183" s="20" t="s">
        <v>696</v>
      </c>
      <c r="GY183" s="20" t="s">
        <v>696</v>
      </c>
      <c r="HF183" s="20">
        <v>0</v>
      </c>
      <c r="HG183" s="20">
        <v>33</v>
      </c>
      <c r="HH183" s="20">
        <v>18000</v>
      </c>
      <c r="HI183" s="20">
        <v>4800</v>
      </c>
      <c r="HJ183" s="20">
        <v>0</v>
      </c>
      <c r="HK183" s="20">
        <v>0</v>
      </c>
      <c r="HM183" s="20">
        <v>22833</v>
      </c>
      <c r="HR183" s="20">
        <v>845</v>
      </c>
      <c r="HS183" s="20">
        <v>1200</v>
      </c>
      <c r="HY183" s="20" t="s">
        <v>723</v>
      </c>
      <c r="HZ183" s="20" t="s">
        <v>698</v>
      </c>
      <c r="IS183" s="20" t="s">
        <v>724</v>
      </c>
      <c r="IT183" s="20" t="s">
        <v>696</v>
      </c>
      <c r="IU183" s="20" t="s">
        <v>696</v>
      </c>
      <c r="IV183" s="20" t="s">
        <v>696</v>
      </c>
      <c r="IW183" s="20" t="s">
        <v>696</v>
      </c>
      <c r="IX183" s="20" t="s">
        <v>696</v>
      </c>
      <c r="IY183" s="20" t="s">
        <v>696</v>
      </c>
      <c r="IZ183" s="20" t="s">
        <v>696</v>
      </c>
      <c r="JA183" s="20" t="s">
        <v>696</v>
      </c>
      <c r="JB183" s="20" t="s">
        <v>698</v>
      </c>
      <c r="JC183" s="20" t="s">
        <v>698</v>
      </c>
      <c r="JD183" s="20" t="s">
        <v>725</v>
      </c>
      <c r="JE183" s="20" t="s">
        <v>726</v>
      </c>
      <c r="JR183" s="20" t="s">
        <v>698</v>
      </c>
      <c r="JS183" s="20" t="s">
        <v>698</v>
      </c>
      <c r="JX183" s="20" t="s">
        <v>789</v>
      </c>
      <c r="JY183" s="20" t="s">
        <v>1251</v>
      </c>
      <c r="QB183" s="20" t="s">
        <v>1251</v>
      </c>
      <c r="QO183" s="20" t="s">
        <v>1252</v>
      </c>
      <c r="QV183" s="20" t="s">
        <v>696</v>
      </c>
      <c r="XL183" s="20" t="s">
        <v>730</v>
      </c>
      <c r="XM183" s="20" t="s">
        <v>1360</v>
      </c>
      <c r="XN183" s="20" t="s">
        <v>732</v>
      </c>
      <c r="XO183" s="20" t="s">
        <v>733</v>
      </c>
      <c r="XQ183" s="24">
        <v>44377</v>
      </c>
      <c r="XU183" s="20" t="s">
        <v>730</v>
      </c>
      <c r="XV183" s="20" t="s">
        <v>733</v>
      </c>
      <c r="XW183" s="20" t="s">
        <v>1360</v>
      </c>
      <c r="XX183" s="20" t="s">
        <v>732</v>
      </c>
      <c r="XY183" s="20" t="s">
        <v>2055</v>
      </c>
    </row>
    <row r="184" spans="1:649" ht="13">
      <c r="A184" s="20">
        <v>1205</v>
      </c>
      <c r="B184" s="21">
        <v>44362</v>
      </c>
      <c r="C184" s="20">
        <v>2021</v>
      </c>
      <c r="D184" s="20">
        <v>20210173</v>
      </c>
      <c r="E184" s="20">
        <v>35397</v>
      </c>
      <c r="F184" s="20" t="s">
        <v>885</v>
      </c>
      <c r="G184" s="20">
        <v>39706</v>
      </c>
      <c r="H184" s="20" t="s">
        <v>1943</v>
      </c>
      <c r="I184" s="20" t="s">
        <v>692</v>
      </c>
      <c r="J184" s="20" t="s">
        <v>693</v>
      </c>
      <c r="K184" s="20" t="s">
        <v>694</v>
      </c>
      <c r="L184" s="20">
        <v>77002</v>
      </c>
      <c r="M184" s="22">
        <v>44335.395833333336</v>
      </c>
      <c r="P184" s="20">
        <v>29.992543999999999</v>
      </c>
      <c r="Q184" s="20">
        <v>-93.992221999999998</v>
      </c>
      <c r="R184" s="20" t="s">
        <v>697</v>
      </c>
      <c r="W184" s="20">
        <v>0.5</v>
      </c>
      <c r="Y184" s="20">
        <v>0.5</v>
      </c>
      <c r="Z184" s="20" t="s">
        <v>698</v>
      </c>
      <c r="AF184" s="20">
        <v>0</v>
      </c>
      <c r="AG184" s="20" t="s">
        <v>698</v>
      </c>
      <c r="AM184" s="20">
        <v>0</v>
      </c>
      <c r="AN184" s="20" t="s">
        <v>699</v>
      </c>
      <c r="AP184" s="20" t="s">
        <v>700</v>
      </c>
      <c r="AQ184" s="23">
        <v>44335.395833333336</v>
      </c>
      <c r="AR184" s="20" t="s">
        <v>907</v>
      </c>
      <c r="AS184" s="20" t="s">
        <v>702</v>
      </c>
      <c r="AU184" s="20" t="s">
        <v>698</v>
      </c>
      <c r="AV184" s="20" t="s">
        <v>2056</v>
      </c>
      <c r="BC184" s="23">
        <v>44335.395833333336</v>
      </c>
      <c r="BF184" s="20" t="s">
        <v>754</v>
      </c>
      <c r="BH184" s="20" t="s">
        <v>698</v>
      </c>
      <c r="BM184" s="20" t="s">
        <v>698</v>
      </c>
      <c r="CA184" s="20">
        <v>0</v>
      </c>
      <c r="CB184" s="20" t="s">
        <v>818</v>
      </c>
      <c r="CC184" s="20" t="s">
        <v>2057</v>
      </c>
      <c r="CD184" s="20" t="s">
        <v>694</v>
      </c>
      <c r="CE184" s="20">
        <v>77627</v>
      </c>
      <c r="CF184" s="20" t="s">
        <v>820</v>
      </c>
      <c r="CG184" s="20" t="s">
        <v>821</v>
      </c>
      <c r="CH184" s="20" t="s">
        <v>710</v>
      </c>
      <c r="CI184" s="20" t="s">
        <v>711</v>
      </c>
      <c r="CJ184" s="20" t="s">
        <v>698</v>
      </c>
      <c r="CK184" s="20" t="s">
        <v>712</v>
      </c>
      <c r="CL184" s="20" t="s">
        <v>910</v>
      </c>
      <c r="CP184" s="20" t="s">
        <v>698</v>
      </c>
      <c r="DM184" s="20" t="s">
        <v>743</v>
      </c>
      <c r="DN184" s="20" t="s">
        <v>911</v>
      </c>
      <c r="EW184" s="20" t="s">
        <v>1156</v>
      </c>
      <c r="EY184" s="20" t="s">
        <v>913</v>
      </c>
      <c r="FK184" s="20">
        <v>1956</v>
      </c>
      <c r="FM184" s="20" t="s">
        <v>719</v>
      </c>
      <c r="FO184" s="20" t="s">
        <v>766</v>
      </c>
      <c r="FX184" s="20" t="s">
        <v>2058</v>
      </c>
      <c r="FY184" s="20" t="s">
        <v>698</v>
      </c>
      <c r="GC184" s="20" t="s">
        <v>696</v>
      </c>
      <c r="GD184" s="20" t="s">
        <v>698</v>
      </c>
      <c r="GE184" s="20" t="s">
        <v>696</v>
      </c>
      <c r="GH184" s="20" t="s">
        <v>696</v>
      </c>
      <c r="GK184" s="20" t="s">
        <v>698</v>
      </c>
      <c r="GT184" s="20" t="s">
        <v>698</v>
      </c>
      <c r="GU184" s="20" t="s">
        <v>696</v>
      </c>
      <c r="GX184" s="20" t="s">
        <v>696</v>
      </c>
      <c r="GY184" s="20" t="s">
        <v>698</v>
      </c>
      <c r="HF184" s="20">
        <v>0</v>
      </c>
      <c r="HG184" s="20">
        <v>50</v>
      </c>
      <c r="HH184" s="20">
        <v>0</v>
      </c>
      <c r="HI184" s="20">
        <v>1000</v>
      </c>
      <c r="HJ184" s="20">
        <v>1300</v>
      </c>
      <c r="HK184" s="20">
        <v>0</v>
      </c>
      <c r="HM184" s="20">
        <v>2350</v>
      </c>
      <c r="HR184" s="20">
        <v>85</v>
      </c>
      <c r="HS184" s="20">
        <v>285</v>
      </c>
      <c r="HY184" s="20" t="s">
        <v>723</v>
      </c>
      <c r="HZ184" s="20" t="s">
        <v>698</v>
      </c>
      <c r="IS184" s="20" t="s">
        <v>724</v>
      </c>
      <c r="IT184" s="20" t="s">
        <v>696</v>
      </c>
      <c r="IU184" s="20" t="s">
        <v>696</v>
      </c>
      <c r="IV184" s="20" t="s">
        <v>696</v>
      </c>
      <c r="IW184" s="20" t="s">
        <v>698</v>
      </c>
      <c r="IX184" s="20" t="s">
        <v>698</v>
      </c>
      <c r="IY184" s="20" t="s">
        <v>696</v>
      </c>
      <c r="IZ184" s="20" t="s">
        <v>696</v>
      </c>
      <c r="JA184" s="20" t="s">
        <v>696</v>
      </c>
      <c r="JB184" s="20" t="s">
        <v>698</v>
      </c>
      <c r="JC184" s="20" t="s">
        <v>698</v>
      </c>
      <c r="JD184" s="20" t="s">
        <v>725</v>
      </c>
      <c r="JE184" s="20" t="s">
        <v>726</v>
      </c>
      <c r="JR184" s="20" t="s">
        <v>698</v>
      </c>
      <c r="JS184" s="20" t="s">
        <v>698</v>
      </c>
      <c r="JX184" s="20" t="s">
        <v>1173</v>
      </c>
      <c r="JY184" s="20" t="s">
        <v>1174</v>
      </c>
      <c r="LY184" s="20" t="s">
        <v>1174</v>
      </c>
      <c r="MA184" s="20" t="s">
        <v>766</v>
      </c>
      <c r="MD184" s="20" t="s">
        <v>2059</v>
      </c>
      <c r="ME184" s="20" t="s">
        <v>696</v>
      </c>
      <c r="MI184" s="20" t="s">
        <v>696</v>
      </c>
      <c r="MJ184" s="20" t="s">
        <v>2060</v>
      </c>
      <c r="XL184" s="20" t="s">
        <v>1902</v>
      </c>
      <c r="XM184" s="20" t="s">
        <v>1903</v>
      </c>
      <c r="XN184" s="20" t="s">
        <v>1904</v>
      </c>
      <c r="XO184" s="20">
        <v>7139894527</v>
      </c>
      <c r="XQ184" s="24">
        <v>44362</v>
      </c>
      <c r="XU184" s="20" t="s">
        <v>1624</v>
      </c>
      <c r="XV184" s="20">
        <v>7139897077</v>
      </c>
      <c r="XW184" s="20" t="s">
        <v>1626</v>
      </c>
      <c r="XX184" s="20" t="s">
        <v>2061</v>
      </c>
      <c r="XY184" s="20" t="s">
        <v>2062</v>
      </c>
    </row>
    <row r="185" spans="1:649" ht="13">
      <c r="A185" s="20">
        <v>1215</v>
      </c>
      <c r="B185" s="21">
        <v>44342</v>
      </c>
      <c r="C185" s="20">
        <v>2021</v>
      </c>
      <c r="D185" s="20">
        <v>20210160</v>
      </c>
      <c r="E185" s="20">
        <v>35331</v>
      </c>
      <c r="F185" s="20" t="s">
        <v>885</v>
      </c>
      <c r="G185" s="20">
        <v>39596</v>
      </c>
      <c r="H185" s="20" t="s">
        <v>796</v>
      </c>
      <c r="I185" s="20" t="s">
        <v>692</v>
      </c>
      <c r="J185" s="20" t="s">
        <v>693</v>
      </c>
      <c r="K185" s="20" t="s">
        <v>694</v>
      </c>
      <c r="L185" s="20">
        <v>77002</v>
      </c>
      <c r="M185" s="22">
        <v>44319.319444444445</v>
      </c>
      <c r="P185" s="20">
        <v>32.531359999999999</v>
      </c>
      <c r="Q185" s="20">
        <v>-100.82884799999999</v>
      </c>
      <c r="R185" s="20" t="s">
        <v>697</v>
      </c>
      <c r="W185" s="20">
        <v>4</v>
      </c>
      <c r="Y185" s="20">
        <v>4</v>
      </c>
      <c r="Z185" s="20" t="s">
        <v>698</v>
      </c>
      <c r="AF185" s="20">
        <v>0</v>
      </c>
      <c r="AG185" s="20" t="s">
        <v>698</v>
      </c>
      <c r="AM185" s="20">
        <v>0</v>
      </c>
      <c r="AN185" s="20" t="s">
        <v>699</v>
      </c>
      <c r="AP185" s="20" t="s">
        <v>700</v>
      </c>
      <c r="AQ185" s="23">
        <v>44319.315972222219</v>
      </c>
      <c r="AR185" s="20" t="s">
        <v>701</v>
      </c>
      <c r="AS185" s="20" t="s">
        <v>702</v>
      </c>
      <c r="AU185" s="20" t="s">
        <v>698</v>
      </c>
      <c r="AV185" s="20" t="s">
        <v>2063</v>
      </c>
      <c r="BC185" s="23">
        <v>44319.319444444445</v>
      </c>
      <c r="BF185" s="20" t="s">
        <v>754</v>
      </c>
      <c r="BH185" s="20" t="s">
        <v>698</v>
      </c>
      <c r="BM185" s="20" t="s">
        <v>698</v>
      </c>
      <c r="CA185" s="20">
        <v>0</v>
      </c>
      <c r="CB185" s="20" t="s">
        <v>1318</v>
      </c>
      <c r="CC185" s="20" t="s">
        <v>2064</v>
      </c>
      <c r="CD185" s="20" t="s">
        <v>694</v>
      </c>
      <c r="CE185" s="20">
        <v>79526</v>
      </c>
      <c r="CF185" s="20" t="s">
        <v>1320</v>
      </c>
      <c r="CG185" s="20" t="s">
        <v>1204</v>
      </c>
      <c r="CH185" s="20" t="s">
        <v>710</v>
      </c>
      <c r="CI185" s="20" t="s">
        <v>2065</v>
      </c>
      <c r="CJ185" s="20" t="s">
        <v>698</v>
      </c>
      <c r="CK185" s="20" t="s">
        <v>712</v>
      </c>
      <c r="CL185" s="20" t="s">
        <v>741</v>
      </c>
      <c r="CM185" s="20" t="s">
        <v>742</v>
      </c>
      <c r="CO185" s="20">
        <v>48</v>
      </c>
      <c r="CP185" s="20" t="s">
        <v>698</v>
      </c>
      <c r="DM185" s="20" t="s">
        <v>743</v>
      </c>
      <c r="DN185" s="20" t="s">
        <v>1951</v>
      </c>
      <c r="FK185" s="20">
        <v>2015</v>
      </c>
      <c r="FM185" s="20" t="s">
        <v>719</v>
      </c>
      <c r="FO185" s="20" t="s">
        <v>720</v>
      </c>
      <c r="FR185" s="20" t="s">
        <v>749</v>
      </c>
      <c r="FY185" s="20" t="s">
        <v>698</v>
      </c>
      <c r="GC185" s="20" t="s">
        <v>696</v>
      </c>
      <c r="GD185" s="20" t="s">
        <v>698</v>
      </c>
      <c r="GE185" s="20" t="s">
        <v>696</v>
      </c>
      <c r="GH185" s="20" t="s">
        <v>696</v>
      </c>
      <c r="GK185" s="20" t="s">
        <v>698</v>
      </c>
      <c r="GT185" s="20" t="s">
        <v>698</v>
      </c>
      <c r="GU185" s="20" t="s">
        <v>698</v>
      </c>
      <c r="HF185" s="20">
        <v>0</v>
      </c>
      <c r="HG185" s="20">
        <v>0</v>
      </c>
      <c r="HH185" s="20">
        <v>500</v>
      </c>
      <c r="HI185" s="20">
        <v>2500</v>
      </c>
      <c r="HJ185" s="20">
        <v>7000</v>
      </c>
      <c r="HK185" s="20">
        <v>0</v>
      </c>
      <c r="HM185" s="20">
        <v>10000</v>
      </c>
      <c r="HR185" s="20">
        <v>60</v>
      </c>
      <c r="HS185" s="20">
        <v>275</v>
      </c>
      <c r="HY185" s="20" t="s">
        <v>723</v>
      </c>
      <c r="HZ185" s="20" t="s">
        <v>698</v>
      </c>
      <c r="IS185" s="20" t="s">
        <v>724</v>
      </c>
      <c r="IT185" s="20" t="s">
        <v>696</v>
      </c>
      <c r="IU185" s="20" t="s">
        <v>696</v>
      </c>
      <c r="IV185" s="20" t="s">
        <v>696</v>
      </c>
      <c r="IW185" s="20" t="s">
        <v>698</v>
      </c>
      <c r="IX185" s="20" t="s">
        <v>698</v>
      </c>
      <c r="IY185" s="20" t="s">
        <v>696</v>
      </c>
      <c r="IZ185" s="20" t="s">
        <v>696</v>
      </c>
      <c r="JA185" s="20" t="s">
        <v>696</v>
      </c>
      <c r="JB185" s="20" t="s">
        <v>698</v>
      </c>
      <c r="JC185" s="20" t="s">
        <v>698</v>
      </c>
      <c r="JD185" s="20" t="s">
        <v>725</v>
      </c>
      <c r="JE185" s="20" t="s">
        <v>726</v>
      </c>
      <c r="JR185" s="20" t="s">
        <v>698</v>
      </c>
      <c r="JS185" s="20" t="s">
        <v>698</v>
      </c>
      <c r="JX185" s="20" t="s">
        <v>833</v>
      </c>
      <c r="JY185" s="20" t="s">
        <v>834</v>
      </c>
      <c r="JZ185" s="20" t="s">
        <v>834</v>
      </c>
      <c r="LD185" s="20" t="s">
        <v>905</v>
      </c>
      <c r="LG185" s="20" t="s">
        <v>696</v>
      </c>
      <c r="LH185" s="20" t="s">
        <v>696</v>
      </c>
      <c r="LL185" s="20" t="s">
        <v>696</v>
      </c>
      <c r="LP185" s="20" t="s">
        <v>696</v>
      </c>
      <c r="LU185" s="20" t="s">
        <v>696</v>
      </c>
      <c r="LV185" s="20" t="s">
        <v>698</v>
      </c>
      <c r="LW185" s="20" t="s">
        <v>838</v>
      </c>
      <c r="LX185" s="20" t="s">
        <v>838</v>
      </c>
      <c r="XL185" s="20" t="s">
        <v>1902</v>
      </c>
      <c r="XM185" s="20" t="s">
        <v>1903</v>
      </c>
      <c r="XN185" s="20" t="s">
        <v>1904</v>
      </c>
      <c r="XO185" s="20">
        <v>7139894527</v>
      </c>
      <c r="XQ185" s="24">
        <v>44342</v>
      </c>
      <c r="XU185" s="20" t="s">
        <v>1624</v>
      </c>
      <c r="XV185" s="20">
        <v>7139897077</v>
      </c>
      <c r="XW185" s="20" t="s">
        <v>1626</v>
      </c>
      <c r="XX185" s="20" t="s">
        <v>2061</v>
      </c>
      <c r="XY185" s="20" t="s">
        <v>2066</v>
      </c>
    </row>
    <row r="186" spans="1:649" ht="13">
      <c r="A186" s="20">
        <v>1218</v>
      </c>
      <c r="B186" s="21">
        <v>44342</v>
      </c>
      <c r="C186" s="20">
        <v>2021</v>
      </c>
      <c r="D186" s="20">
        <v>20210159</v>
      </c>
      <c r="E186" s="20">
        <v>35332</v>
      </c>
      <c r="F186" s="20" t="s">
        <v>825</v>
      </c>
      <c r="G186" s="20">
        <v>39596</v>
      </c>
      <c r="H186" s="20" t="s">
        <v>796</v>
      </c>
      <c r="I186" s="20" t="s">
        <v>692</v>
      </c>
      <c r="J186" s="20" t="s">
        <v>693</v>
      </c>
      <c r="K186" s="20" t="s">
        <v>694</v>
      </c>
      <c r="L186" s="20">
        <v>77002</v>
      </c>
      <c r="M186" s="22">
        <v>44317.319444444445</v>
      </c>
      <c r="P186" s="20">
        <v>32.530329000000002</v>
      </c>
      <c r="Q186" s="20">
        <v>-100.829707</v>
      </c>
      <c r="R186" s="20" t="s">
        <v>697</v>
      </c>
      <c r="W186" s="20">
        <v>2</v>
      </c>
      <c r="Y186" s="20">
        <v>2</v>
      </c>
      <c r="Z186" s="20" t="s">
        <v>698</v>
      </c>
      <c r="AF186" s="20">
        <v>0</v>
      </c>
      <c r="AG186" s="20" t="s">
        <v>698</v>
      </c>
      <c r="AM186" s="20">
        <v>0</v>
      </c>
      <c r="AN186" s="20" t="s">
        <v>699</v>
      </c>
      <c r="AP186" s="20" t="s">
        <v>700</v>
      </c>
      <c r="AQ186" s="23">
        <v>44317.319444444445</v>
      </c>
      <c r="AR186" s="20" t="s">
        <v>701</v>
      </c>
      <c r="AS186" s="20" t="s">
        <v>702</v>
      </c>
      <c r="AU186" s="20" t="s">
        <v>698</v>
      </c>
      <c r="AV186" s="20" t="s">
        <v>2067</v>
      </c>
      <c r="BC186" s="23">
        <v>44317.319444444445</v>
      </c>
      <c r="BF186" s="20" t="s">
        <v>754</v>
      </c>
      <c r="BH186" s="20" t="s">
        <v>698</v>
      </c>
      <c r="BM186" s="20" t="s">
        <v>698</v>
      </c>
      <c r="CA186" s="20">
        <v>0</v>
      </c>
      <c r="CB186" s="20" t="s">
        <v>1318</v>
      </c>
      <c r="CC186" s="20" t="s">
        <v>2064</v>
      </c>
      <c r="CD186" s="20" t="s">
        <v>694</v>
      </c>
      <c r="CE186" s="20">
        <v>79526</v>
      </c>
      <c r="CF186" s="20" t="s">
        <v>1320</v>
      </c>
      <c r="CG186" s="20" t="s">
        <v>1204</v>
      </c>
      <c r="CH186" s="20" t="s">
        <v>710</v>
      </c>
      <c r="CI186" s="20" t="s">
        <v>2065</v>
      </c>
      <c r="CJ186" s="20" t="s">
        <v>698</v>
      </c>
      <c r="CK186" s="20" t="s">
        <v>712</v>
      </c>
      <c r="CL186" s="20" t="s">
        <v>741</v>
      </c>
      <c r="CM186" s="20" t="s">
        <v>742</v>
      </c>
      <c r="CO186" s="20">
        <v>48</v>
      </c>
      <c r="CP186" s="20" t="s">
        <v>698</v>
      </c>
      <c r="DM186" s="20" t="s">
        <v>743</v>
      </c>
      <c r="DN186" s="20" t="s">
        <v>1951</v>
      </c>
      <c r="FK186" s="20">
        <v>2015</v>
      </c>
      <c r="FM186" s="20" t="s">
        <v>719</v>
      </c>
      <c r="FO186" s="20" t="s">
        <v>720</v>
      </c>
      <c r="FR186" s="20" t="s">
        <v>749</v>
      </c>
      <c r="FY186" s="20" t="s">
        <v>698</v>
      </c>
      <c r="GC186" s="20" t="s">
        <v>696</v>
      </c>
      <c r="GD186" s="20" t="s">
        <v>698</v>
      </c>
      <c r="GE186" s="20" t="s">
        <v>696</v>
      </c>
      <c r="GH186" s="20" t="s">
        <v>696</v>
      </c>
      <c r="GK186" s="20" t="s">
        <v>698</v>
      </c>
      <c r="GT186" s="20" t="s">
        <v>698</v>
      </c>
      <c r="GU186" s="20" t="s">
        <v>698</v>
      </c>
      <c r="HF186" s="20">
        <v>0</v>
      </c>
      <c r="HG186" s="20">
        <v>0</v>
      </c>
      <c r="HH186" s="20">
        <v>500</v>
      </c>
      <c r="HI186" s="20">
        <v>2500</v>
      </c>
      <c r="HJ186" s="20">
        <v>7000</v>
      </c>
      <c r="HK186" s="20">
        <v>0</v>
      </c>
      <c r="HM186" s="20">
        <v>10000</v>
      </c>
      <c r="HR186" s="20">
        <v>60</v>
      </c>
      <c r="HS186" s="20">
        <v>275</v>
      </c>
      <c r="HY186" s="20" t="s">
        <v>723</v>
      </c>
      <c r="HZ186" s="20" t="s">
        <v>698</v>
      </c>
      <c r="IS186" s="20" t="s">
        <v>724</v>
      </c>
      <c r="IT186" s="20" t="s">
        <v>696</v>
      </c>
      <c r="IU186" s="20" t="s">
        <v>696</v>
      </c>
      <c r="IV186" s="20" t="s">
        <v>696</v>
      </c>
      <c r="IW186" s="20" t="s">
        <v>698</v>
      </c>
      <c r="IX186" s="20" t="s">
        <v>698</v>
      </c>
      <c r="IY186" s="20" t="s">
        <v>696</v>
      </c>
      <c r="IZ186" s="20" t="s">
        <v>696</v>
      </c>
      <c r="JA186" s="20" t="s">
        <v>696</v>
      </c>
      <c r="JB186" s="20" t="s">
        <v>698</v>
      </c>
      <c r="JC186" s="20" t="s">
        <v>698</v>
      </c>
      <c r="JD186" s="20" t="s">
        <v>725</v>
      </c>
      <c r="JE186" s="20" t="s">
        <v>726</v>
      </c>
      <c r="JR186" s="20" t="s">
        <v>698</v>
      </c>
      <c r="JS186" s="20" t="s">
        <v>698</v>
      </c>
      <c r="JX186" s="20" t="s">
        <v>833</v>
      </c>
      <c r="JY186" s="20" t="s">
        <v>834</v>
      </c>
      <c r="JZ186" s="20" t="s">
        <v>834</v>
      </c>
      <c r="LD186" s="20" t="s">
        <v>905</v>
      </c>
      <c r="LG186" s="20" t="s">
        <v>696</v>
      </c>
      <c r="LH186" s="20" t="s">
        <v>696</v>
      </c>
      <c r="LL186" s="20" t="s">
        <v>696</v>
      </c>
      <c r="LP186" s="20" t="s">
        <v>696</v>
      </c>
      <c r="LU186" s="20" t="s">
        <v>696</v>
      </c>
      <c r="LV186" s="20" t="s">
        <v>698</v>
      </c>
      <c r="LW186" s="20" t="s">
        <v>838</v>
      </c>
      <c r="LX186" s="20" t="s">
        <v>838</v>
      </c>
      <c r="XL186" s="20" t="s">
        <v>1902</v>
      </c>
      <c r="XM186" s="20" t="s">
        <v>1903</v>
      </c>
      <c r="XN186" s="20" t="s">
        <v>1904</v>
      </c>
      <c r="XO186" s="20">
        <v>7139894527</v>
      </c>
      <c r="XQ186" s="24">
        <v>44342</v>
      </c>
      <c r="XU186" s="20" t="s">
        <v>1624</v>
      </c>
      <c r="XV186" s="20">
        <v>17139897077</v>
      </c>
      <c r="XW186" s="20" t="s">
        <v>1626</v>
      </c>
      <c r="XX186" s="20" t="s">
        <v>1627</v>
      </c>
      <c r="XY186" s="20" t="s">
        <v>2068</v>
      </c>
    </row>
    <row r="187" spans="1:649" ht="13">
      <c r="A187" s="20">
        <v>1219</v>
      </c>
      <c r="B187" s="21">
        <v>44340</v>
      </c>
      <c r="C187" s="20">
        <v>2021</v>
      </c>
      <c r="D187" s="20">
        <v>20210157</v>
      </c>
      <c r="E187" s="20">
        <v>35322</v>
      </c>
      <c r="F187" s="20" t="s">
        <v>885</v>
      </c>
      <c r="G187" s="20">
        <v>18718</v>
      </c>
      <c r="H187" s="20" t="s">
        <v>918</v>
      </c>
      <c r="I187" s="20" t="s">
        <v>692</v>
      </c>
      <c r="J187" s="20" t="s">
        <v>693</v>
      </c>
      <c r="K187" s="20" t="s">
        <v>694</v>
      </c>
      <c r="L187" s="20">
        <v>77002</v>
      </c>
      <c r="M187" s="22">
        <v>44316.479166666664</v>
      </c>
      <c r="P187" s="20">
        <v>32.070825999999997</v>
      </c>
      <c r="Q187" s="20">
        <v>-96.474160999999995</v>
      </c>
      <c r="R187" s="20" t="s">
        <v>697</v>
      </c>
      <c r="W187" s="20">
        <v>0.8</v>
      </c>
      <c r="Y187" s="20">
        <v>0.8</v>
      </c>
      <c r="Z187" s="20" t="s">
        <v>698</v>
      </c>
      <c r="AF187" s="20">
        <v>0</v>
      </c>
      <c r="AG187" s="20" t="s">
        <v>698</v>
      </c>
      <c r="AM187" s="20">
        <v>0</v>
      </c>
      <c r="AN187" s="20" t="s">
        <v>699</v>
      </c>
      <c r="AP187" s="20" t="s">
        <v>700</v>
      </c>
      <c r="AQ187" s="23">
        <v>44316.489583333336</v>
      </c>
      <c r="AR187" s="20" t="s">
        <v>701</v>
      </c>
      <c r="AS187" s="20" t="s">
        <v>702</v>
      </c>
      <c r="AU187" s="20" t="s">
        <v>698</v>
      </c>
      <c r="AV187" s="20" t="s">
        <v>2069</v>
      </c>
      <c r="BC187" s="23">
        <v>44316.489583333336</v>
      </c>
      <c r="BF187" s="20" t="s">
        <v>754</v>
      </c>
      <c r="BH187" s="20" t="s">
        <v>698</v>
      </c>
      <c r="BM187" s="20" t="s">
        <v>698</v>
      </c>
      <c r="CA187" s="20">
        <v>0</v>
      </c>
      <c r="CB187" s="20" t="s">
        <v>1420</v>
      </c>
      <c r="CC187" s="20" t="s">
        <v>2070</v>
      </c>
      <c r="CD187" s="20" t="s">
        <v>694</v>
      </c>
      <c r="CE187" s="20">
        <v>75110</v>
      </c>
      <c r="CF187" s="20" t="s">
        <v>1296</v>
      </c>
      <c r="CG187" s="20" t="s">
        <v>1283</v>
      </c>
      <c r="CH187" s="20" t="s">
        <v>1931</v>
      </c>
      <c r="CI187" s="20">
        <v>0</v>
      </c>
      <c r="CJ187" s="20" t="s">
        <v>698</v>
      </c>
      <c r="CK187" s="20" t="s">
        <v>712</v>
      </c>
      <c r="CL187" s="20" t="s">
        <v>713</v>
      </c>
      <c r="CM187" s="20" t="s">
        <v>758</v>
      </c>
      <c r="CP187" s="20" t="s">
        <v>698</v>
      </c>
      <c r="DM187" s="20" t="s">
        <v>743</v>
      </c>
      <c r="DN187" s="20" t="s">
        <v>892</v>
      </c>
      <c r="FK187" s="20">
        <v>1953</v>
      </c>
      <c r="FM187" s="20" t="s">
        <v>719</v>
      </c>
      <c r="FO187" s="20" t="s">
        <v>893</v>
      </c>
      <c r="FY187" s="20" t="s">
        <v>698</v>
      </c>
      <c r="GC187" s="20" t="s">
        <v>696</v>
      </c>
      <c r="GD187" s="20" t="s">
        <v>698</v>
      </c>
      <c r="GE187" s="20" t="s">
        <v>696</v>
      </c>
      <c r="GH187" s="20" t="s">
        <v>696</v>
      </c>
      <c r="GK187" s="20" t="s">
        <v>698</v>
      </c>
      <c r="GT187" s="20" t="s">
        <v>696</v>
      </c>
      <c r="GU187" s="20" t="s">
        <v>696</v>
      </c>
      <c r="GZ187" s="20" t="s">
        <v>696</v>
      </c>
      <c r="HA187" s="20" t="s">
        <v>696</v>
      </c>
      <c r="HF187" s="20">
        <v>0</v>
      </c>
      <c r="HG187" s="20">
        <v>50</v>
      </c>
      <c r="HH187" s="20">
        <v>10926</v>
      </c>
      <c r="HI187" s="20">
        <v>4000</v>
      </c>
      <c r="HJ187" s="20">
        <v>1000</v>
      </c>
      <c r="HK187" s="20">
        <v>0</v>
      </c>
      <c r="HM187" s="20">
        <v>15976</v>
      </c>
      <c r="HR187" s="20">
        <v>0</v>
      </c>
      <c r="HS187" s="20">
        <v>285</v>
      </c>
      <c r="HY187" s="20" t="s">
        <v>723</v>
      </c>
      <c r="HZ187" s="20" t="s">
        <v>698</v>
      </c>
      <c r="IS187" s="20" t="s">
        <v>724</v>
      </c>
      <c r="IT187" s="20" t="s">
        <v>696</v>
      </c>
      <c r="IU187" s="20" t="s">
        <v>696</v>
      </c>
      <c r="IV187" s="20" t="s">
        <v>696</v>
      </c>
      <c r="IW187" s="20" t="s">
        <v>698</v>
      </c>
      <c r="IX187" s="20" t="s">
        <v>698</v>
      </c>
      <c r="IY187" s="20" t="s">
        <v>696</v>
      </c>
      <c r="IZ187" s="20" t="s">
        <v>696</v>
      </c>
      <c r="JA187" s="20" t="s">
        <v>696</v>
      </c>
      <c r="JB187" s="20" t="s">
        <v>698</v>
      </c>
      <c r="JC187" s="20" t="s">
        <v>698</v>
      </c>
      <c r="JD187" s="20" t="s">
        <v>725</v>
      </c>
      <c r="JE187" s="20" t="s">
        <v>726</v>
      </c>
      <c r="JR187" s="20" t="s">
        <v>698</v>
      </c>
      <c r="JS187" s="20" t="s">
        <v>698</v>
      </c>
      <c r="JX187" s="20" t="s">
        <v>789</v>
      </c>
      <c r="JY187" s="20" t="s">
        <v>790</v>
      </c>
      <c r="QB187" s="20" t="s">
        <v>790</v>
      </c>
      <c r="QH187" s="20" t="s">
        <v>696</v>
      </c>
      <c r="RK187" s="20" t="s">
        <v>696</v>
      </c>
      <c r="RL187" s="20" t="s">
        <v>2071</v>
      </c>
      <c r="XL187" s="20" t="s">
        <v>1902</v>
      </c>
      <c r="XM187" s="20" t="s">
        <v>1903</v>
      </c>
      <c r="XN187" s="20" t="s">
        <v>1904</v>
      </c>
      <c r="XO187" s="20">
        <v>7139894527</v>
      </c>
      <c r="XQ187" s="24">
        <v>44340</v>
      </c>
      <c r="XU187" s="20" t="s">
        <v>1624</v>
      </c>
      <c r="XV187" s="20">
        <v>19795319036</v>
      </c>
      <c r="XW187" s="20" t="s">
        <v>1626</v>
      </c>
      <c r="XX187" s="20" t="s">
        <v>1627</v>
      </c>
      <c r="XY187" s="20" t="s">
        <v>2072</v>
      </c>
    </row>
    <row r="188" spans="1:649" ht="13">
      <c r="A188" s="20">
        <v>1224</v>
      </c>
      <c r="B188" s="21">
        <v>44334</v>
      </c>
      <c r="C188" s="20">
        <v>2021</v>
      </c>
      <c r="D188" s="20">
        <v>20210150</v>
      </c>
      <c r="E188" s="20">
        <v>35300</v>
      </c>
      <c r="F188" s="20" t="s">
        <v>885</v>
      </c>
      <c r="G188" s="20">
        <v>18718</v>
      </c>
      <c r="H188" s="20" t="s">
        <v>918</v>
      </c>
      <c r="I188" s="20" t="s">
        <v>692</v>
      </c>
      <c r="J188" s="20" t="s">
        <v>693</v>
      </c>
      <c r="K188" s="20" t="s">
        <v>694</v>
      </c>
      <c r="L188" s="20">
        <v>77002</v>
      </c>
      <c r="M188" s="22">
        <v>44309.375</v>
      </c>
      <c r="P188" s="20">
        <v>32.070281999999999</v>
      </c>
      <c r="Q188" s="20">
        <v>-96.474711999999997</v>
      </c>
      <c r="R188" s="20" t="s">
        <v>697</v>
      </c>
      <c r="W188" s="20">
        <v>10</v>
      </c>
      <c r="Y188" s="20">
        <v>10</v>
      </c>
      <c r="Z188" s="20" t="s">
        <v>698</v>
      </c>
      <c r="AF188" s="20">
        <v>0</v>
      </c>
      <c r="AG188" s="20" t="s">
        <v>698</v>
      </c>
      <c r="AM188" s="20">
        <v>0</v>
      </c>
      <c r="AN188" s="20" t="s">
        <v>699</v>
      </c>
      <c r="AP188" s="20" t="s">
        <v>700</v>
      </c>
      <c r="AQ188" s="23">
        <v>44309.395833333336</v>
      </c>
      <c r="AR188" s="20" t="s">
        <v>701</v>
      </c>
      <c r="AS188" s="20" t="s">
        <v>702</v>
      </c>
      <c r="AU188" s="20" t="s">
        <v>698</v>
      </c>
      <c r="AV188" s="20" t="s">
        <v>2069</v>
      </c>
      <c r="BC188" s="23">
        <v>44309.395833333336</v>
      </c>
      <c r="BF188" s="20" t="s">
        <v>754</v>
      </c>
      <c r="BH188" s="20" t="s">
        <v>698</v>
      </c>
      <c r="BM188" s="20" t="s">
        <v>698</v>
      </c>
      <c r="CA188" s="20">
        <v>0</v>
      </c>
      <c r="CB188" s="20" t="s">
        <v>1420</v>
      </c>
      <c r="CC188" s="20" t="s">
        <v>2073</v>
      </c>
      <c r="CD188" s="20" t="s">
        <v>694</v>
      </c>
      <c r="CE188" s="20">
        <v>75110</v>
      </c>
      <c r="CF188" s="20" t="s">
        <v>1296</v>
      </c>
      <c r="CG188" s="20" t="s">
        <v>1283</v>
      </c>
      <c r="CH188" s="20" t="s">
        <v>1931</v>
      </c>
      <c r="CI188" s="20">
        <v>0</v>
      </c>
      <c r="CJ188" s="20" t="s">
        <v>698</v>
      </c>
      <c r="CK188" s="20" t="s">
        <v>712</v>
      </c>
      <c r="CL188" s="20" t="s">
        <v>713</v>
      </c>
      <c r="CM188" s="20" t="s">
        <v>758</v>
      </c>
      <c r="CP188" s="20" t="s">
        <v>698</v>
      </c>
      <c r="DM188" s="20" t="s">
        <v>743</v>
      </c>
      <c r="DN188" s="20" t="s">
        <v>829</v>
      </c>
      <c r="EM188" s="20" t="s">
        <v>830</v>
      </c>
      <c r="FK188" s="20">
        <v>2015</v>
      </c>
      <c r="FM188" s="20" t="s">
        <v>719</v>
      </c>
      <c r="FO188" s="20" t="s">
        <v>720</v>
      </c>
      <c r="FR188" s="20" t="s">
        <v>749</v>
      </c>
      <c r="FY188" s="20" t="s">
        <v>698</v>
      </c>
      <c r="GC188" s="20" t="s">
        <v>696</v>
      </c>
      <c r="GD188" s="20" t="s">
        <v>698</v>
      </c>
      <c r="GE188" s="20" t="s">
        <v>696</v>
      </c>
      <c r="GH188" s="20" t="s">
        <v>696</v>
      </c>
      <c r="GK188" s="20" t="s">
        <v>698</v>
      </c>
      <c r="GT188" s="20" t="s">
        <v>696</v>
      </c>
      <c r="GU188" s="20" t="s">
        <v>696</v>
      </c>
      <c r="GZ188" s="20" t="s">
        <v>696</v>
      </c>
      <c r="HA188" s="20" t="s">
        <v>696</v>
      </c>
      <c r="HF188" s="20">
        <v>0</v>
      </c>
      <c r="HG188" s="20">
        <v>640</v>
      </c>
      <c r="HH188" s="20">
        <v>0</v>
      </c>
      <c r="HI188" s="20">
        <v>15900</v>
      </c>
      <c r="HJ188" s="20">
        <v>0</v>
      </c>
      <c r="HK188" s="20">
        <v>0</v>
      </c>
      <c r="HM188" s="20">
        <v>16540</v>
      </c>
      <c r="HR188" s="20">
        <v>160</v>
      </c>
      <c r="HS188" s="20">
        <v>285</v>
      </c>
      <c r="HY188" s="20" t="s">
        <v>723</v>
      </c>
      <c r="HZ188" s="20" t="s">
        <v>698</v>
      </c>
      <c r="IS188" s="20" t="s">
        <v>724</v>
      </c>
      <c r="IT188" s="20" t="s">
        <v>696</v>
      </c>
      <c r="IU188" s="20" t="s">
        <v>696</v>
      </c>
      <c r="IV188" s="20" t="s">
        <v>696</v>
      </c>
      <c r="IW188" s="20" t="s">
        <v>698</v>
      </c>
      <c r="IX188" s="20" t="s">
        <v>698</v>
      </c>
      <c r="IY188" s="20" t="s">
        <v>696</v>
      </c>
      <c r="IZ188" s="20" t="s">
        <v>696</v>
      </c>
      <c r="JA188" s="20" t="s">
        <v>696</v>
      </c>
      <c r="JB188" s="20" t="s">
        <v>698</v>
      </c>
      <c r="JC188" s="20" t="s">
        <v>698</v>
      </c>
      <c r="JD188" s="20" t="s">
        <v>725</v>
      </c>
      <c r="JE188" s="20" t="s">
        <v>726</v>
      </c>
      <c r="JR188" s="20" t="s">
        <v>698</v>
      </c>
      <c r="JS188" s="20" t="s">
        <v>698</v>
      </c>
      <c r="JX188" s="20" t="s">
        <v>833</v>
      </c>
      <c r="JY188" s="20" t="s">
        <v>834</v>
      </c>
      <c r="JZ188" s="20" t="s">
        <v>834</v>
      </c>
      <c r="LD188" s="20" t="s">
        <v>835</v>
      </c>
      <c r="LH188" s="20" t="s">
        <v>696</v>
      </c>
      <c r="LL188" s="20" t="s">
        <v>696</v>
      </c>
      <c r="LP188" s="20" t="s">
        <v>696</v>
      </c>
      <c r="LU188" s="20" t="s">
        <v>696</v>
      </c>
      <c r="LV188" s="20" t="s">
        <v>698</v>
      </c>
      <c r="LW188" s="20" t="s">
        <v>838</v>
      </c>
      <c r="LX188" s="20" t="s">
        <v>838</v>
      </c>
      <c r="XL188" s="20" t="s">
        <v>1902</v>
      </c>
      <c r="XM188" s="20" t="s">
        <v>1903</v>
      </c>
      <c r="XN188" s="20" t="s">
        <v>1904</v>
      </c>
      <c r="XO188" s="20">
        <v>7139894527</v>
      </c>
      <c r="XQ188" s="24">
        <v>44334</v>
      </c>
      <c r="XU188" s="20" t="s">
        <v>1624</v>
      </c>
      <c r="XV188" s="20">
        <v>7139897077</v>
      </c>
      <c r="XW188" s="20" t="s">
        <v>1626</v>
      </c>
      <c r="XX188" s="20" t="s">
        <v>1627</v>
      </c>
      <c r="XY188" s="20" t="s">
        <v>2074</v>
      </c>
    </row>
    <row r="189" spans="1:649" ht="13">
      <c r="A189" s="20">
        <v>1238</v>
      </c>
      <c r="B189" s="21">
        <v>44320</v>
      </c>
      <c r="C189" s="20">
        <v>2021</v>
      </c>
      <c r="D189" s="20">
        <v>20210139</v>
      </c>
      <c r="E189" s="20">
        <v>39002</v>
      </c>
      <c r="F189" s="20" t="s">
        <v>825</v>
      </c>
      <c r="G189" s="20">
        <v>18718</v>
      </c>
      <c r="H189" s="20" t="s">
        <v>918</v>
      </c>
      <c r="I189" s="20" t="s">
        <v>692</v>
      </c>
      <c r="J189" s="20" t="s">
        <v>693</v>
      </c>
      <c r="K189" s="20" t="s">
        <v>694</v>
      </c>
      <c r="L189" s="20">
        <v>77002</v>
      </c>
      <c r="M189" s="22">
        <v>44291.645833333336</v>
      </c>
      <c r="N189" s="20" t="s">
        <v>695</v>
      </c>
      <c r="O189" s="20" t="s">
        <v>696</v>
      </c>
      <c r="P189" s="20">
        <v>30.63015</v>
      </c>
      <c r="Q189" s="20">
        <v>-96.256562000000002</v>
      </c>
      <c r="R189" s="20" t="s">
        <v>697</v>
      </c>
      <c r="W189" s="20">
        <v>0.2</v>
      </c>
      <c r="Y189" s="20">
        <v>0.2</v>
      </c>
      <c r="Z189" s="20" t="s">
        <v>698</v>
      </c>
      <c r="AF189" s="20">
        <v>0</v>
      </c>
      <c r="AG189" s="20" t="s">
        <v>698</v>
      </c>
      <c r="AM189" s="20">
        <v>0</v>
      </c>
      <c r="AN189" s="20" t="s">
        <v>699</v>
      </c>
      <c r="AP189" s="20" t="s">
        <v>700</v>
      </c>
      <c r="AQ189" s="23">
        <v>44291.645833333336</v>
      </c>
      <c r="AR189" s="20" t="s">
        <v>701</v>
      </c>
      <c r="AS189" s="20" t="s">
        <v>702</v>
      </c>
      <c r="AT189" s="20" t="s">
        <v>703</v>
      </c>
      <c r="AU189" s="20" t="s">
        <v>698</v>
      </c>
      <c r="AV189" s="20" t="s">
        <v>2075</v>
      </c>
      <c r="AZ189" s="20" t="s">
        <v>698</v>
      </c>
      <c r="BC189" s="23">
        <v>44291.645833333336</v>
      </c>
      <c r="BD189" s="23">
        <v>44291.645833333336</v>
      </c>
      <c r="BF189" s="20" t="s">
        <v>754</v>
      </c>
      <c r="BH189" s="20" t="s">
        <v>698</v>
      </c>
      <c r="BV189" s="20" t="s">
        <v>698</v>
      </c>
      <c r="BX189" s="20" t="s">
        <v>698</v>
      </c>
      <c r="CA189" s="20">
        <v>0</v>
      </c>
      <c r="CB189" s="20" t="s">
        <v>2076</v>
      </c>
      <c r="CC189" s="20" t="s">
        <v>2077</v>
      </c>
      <c r="CD189" s="20" t="s">
        <v>694</v>
      </c>
      <c r="CE189" s="20">
        <v>76821</v>
      </c>
      <c r="CF189" s="20" t="s">
        <v>2078</v>
      </c>
      <c r="CG189" s="20" t="s">
        <v>2079</v>
      </c>
      <c r="CH189" s="20" t="s">
        <v>710</v>
      </c>
      <c r="CI189" s="20">
        <v>807052.2</v>
      </c>
      <c r="CJ189" s="20" t="s">
        <v>698</v>
      </c>
      <c r="CK189" s="20" t="s">
        <v>712</v>
      </c>
      <c r="CL189" s="20" t="s">
        <v>713</v>
      </c>
      <c r="CM189" s="20" t="s">
        <v>758</v>
      </c>
      <c r="CP189" s="20" t="s">
        <v>698</v>
      </c>
      <c r="DM189" s="20" t="s">
        <v>715</v>
      </c>
      <c r="DN189" s="20" t="s">
        <v>716</v>
      </c>
      <c r="EQ189" s="20" t="s">
        <v>717</v>
      </c>
      <c r="ES189" s="20" t="s">
        <v>766</v>
      </c>
      <c r="ET189" s="20" t="s">
        <v>2080</v>
      </c>
      <c r="FK189" s="20">
        <v>2020</v>
      </c>
      <c r="FL189" s="20" t="s">
        <v>728</v>
      </c>
      <c r="FM189" s="20" t="s">
        <v>719</v>
      </c>
      <c r="FO189" s="20" t="s">
        <v>720</v>
      </c>
      <c r="FR189" s="20" t="s">
        <v>721</v>
      </c>
      <c r="FY189" s="20" t="s">
        <v>698</v>
      </c>
      <c r="GC189" s="20" t="s">
        <v>696</v>
      </c>
      <c r="GD189" s="20" t="s">
        <v>698</v>
      </c>
      <c r="GE189" s="20" t="s">
        <v>696</v>
      </c>
      <c r="GH189" s="20" t="s">
        <v>696</v>
      </c>
      <c r="GK189" s="20" t="s">
        <v>698</v>
      </c>
      <c r="GT189" s="20" t="s">
        <v>696</v>
      </c>
      <c r="GU189" s="20" t="s">
        <v>698</v>
      </c>
      <c r="HF189" s="20">
        <v>0</v>
      </c>
      <c r="HG189" s="20">
        <v>147</v>
      </c>
      <c r="HH189" s="20">
        <v>5400</v>
      </c>
      <c r="HI189" s="20">
        <v>1000</v>
      </c>
      <c r="HJ189" s="20">
        <v>2500</v>
      </c>
      <c r="HK189" s="20">
        <v>0</v>
      </c>
      <c r="HM189" s="20">
        <v>9047</v>
      </c>
      <c r="HN189" s="20">
        <v>0</v>
      </c>
      <c r="HO189" s="20">
        <v>0</v>
      </c>
      <c r="HP189" s="20">
        <v>0</v>
      </c>
      <c r="HQ189" s="20">
        <v>0</v>
      </c>
      <c r="HR189" s="20">
        <v>40</v>
      </c>
      <c r="HS189" s="20">
        <v>800</v>
      </c>
      <c r="HT189" s="20" t="s">
        <v>750</v>
      </c>
      <c r="HV189" s="24">
        <v>43845</v>
      </c>
      <c r="HW189" s="20" t="s">
        <v>698</v>
      </c>
      <c r="HY189" s="20" t="s">
        <v>723</v>
      </c>
      <c r="HZ189" s="20" t="s">
        <v>698</v>
      </c>
      <c r="IS189" s="20" t="s">
        <v>724</v>
      </c>
      <c r="IT189" s="20" t="s">
        <v>696</v>
      </c>
      <c r="IU189" s="20" t="s">
        <v>696</v>
      </c>
      <c r="IV189" s="20" t="s">
        <v>696</v>
      </c>
      <c r="IW189" s="20" t="s">
        <v>698</v>
      </c>
      <c r="IX189" s="20" t="s">
        <v>698</v>
      </c>
      <c r="IY189" s="20" t="s">
        <v>696</v>
      </c>
      <c r="IZ189" s="20" t="s">
        <v>696</v>
      </c>
      <c r="JA189" s="20" t="s">
        <v>696</v>
      </c>
      <c r="JB189" s="20" t="s">
        <v>698</v>
      </c>
      <c r="JC189" s="20" t="s">
        <v>698</v>
      </c>
      <c r="JD189" s="20" t="s">
        <v>725</v>
      </c>
      <c r="JE189" s="20" t="s">
        <v>726</v>
      </c>
      <c r="JR189" s="20" t="s">
        <v>698</v>
      </c>
      <c r="JS189" s="20" t="s">
        <v>698</v>
      </c>
      <c r="JX189" s="20" t="s">
        <v>789</v>
      </c>
      <c r="JY189" s="20" t="s">
        <v>1251</v>
      </c>
      <c r="QB189" s="20" t="s">
        <v>1251</v>
      </c>
      <c r="QO189" s="20" t="s">
        <v>1252</v>
      </c>
      <c r="RK189" s="20" t="s">
        <v>696</v>
      </c>
      <c r="RL189" s="20" t="s">
        <v>2081</v>
      </c>
      <c r="XL189" s="20" t="s">
        <v>1902</v>
      </c>
      <c r="XM189" s="20" t="s">
        <v>1903</v>
      </c>
      <c r="XN189" s="20" t="s">
        <v>1904</v>
      </c>
      <c r="XO189" s="20">
        <v>7139894527</v>
      </c>
      <c r="XQ189" s="24">
        <v>45280</v>
      </c>
      <c r="XU189" s="20" t="s">
        <v>730</v>
      </c>
      <c r="XV189" s="20" t="s">
        <v>733</v>
      </c>
      <c r="XW189" s="20" t="s">
        <v>731</v>
      </c>
      <c r="XX189" s="20" t="s">
        <v>732</v>
      </c>
      <c r="XY189" s="20" t="s">
        <v>2082</v>
      </c>
    </row>
    <row r="190" spans="1:649" ht="13">
      <c r="A190" s="20">
        <v>1240</v>
      </c>
      <c r="B190" s="21">
        <v>44319</v>
      </c>
      <c r="C190" s="20">
        <v>2021</v>
      </c>
      <c r="D190" s="20">
        <v>20210137</v>
      </c>
      <c r="E190" s="20">
        <v>35960</v>
      </c>
      <c r="F190" s="20" t="s">
        <v>825</v>
      </c>
      <c r="G190" s="20">
        <v>18718</v>
      </c>
      <c r="H190" s="20" t="s">
        <v>918</v>
      </c>
      <c r="I190" s="20" t="s">
        <v>692</v>
      </c>
      <c r="J190" s="20" t="s">
        <v>693</v>
      </c>
      <c r="K190" s="20" t="s">
        <v>694</v>
      </c>
      <c r="L190" s="20">
        <v>77002</v>
      </c>
      <c r="M190" s="22">
        <v>44289.395833333336</v>
      </c>
      <c r="P190" s="20">
        <v>31.769480000000001</v>
      </c>
      <c r="Q190" s="20">
        <v>-99.886179999999996</v>
      </c>
      <c r="R190" s="20" t="s">
        <v>697</v>
      </c>
      <c r="W190" s="20">
        <v>1000</v>
      </c>
      <c r="Y190" s="20">
        <v>1000</v>
      </c>
      <c r="Z190" s="20" t="s">
        <v>698</v>
      </c>
      <c r="AF190" s="20">
        <v>0</v>
      </c>
      <c r="AG190" s="20" t="s">
        <v>698</v>
      </c>
      <c r="AM190" s="20">
        <v>0</v>
      </c>
      <c r="AN190" s="20" t="s">
        <v>775</v>
      </c>
      <c r="AQ190" s="23">
        <v>44289.4375</v>
      </c>
      <c r="AR190" s="20" t="s">
        <v>776</v>
      </c>
      <c r="AS190" s="20" t="s">
        <v>702</v>
      </c>
      <c r="AU190" s="20" t="s">
        <v>698</v>
      </c>
      <c r="AV190" s="20" t="s">
        <v>2083</v>
      </c>
      <c r="BC190" s="23">
        <v>44289.4375</v>
      </c>
      <c r="BE190" s="23">
        <v>44290.588888888888</v>
      </c>
      <c r="BF190" s="20">
        <v>1301934</v>
      </c>
      <c r="BH190" s="20" t="s">
        <v>698</v>
      </c>
      <c r="BM190" s="20" t="s">
        <v>698</v>
      </c>
      <c r="BQ190" s="20" t="s">
        <v>779</v>
      </c>
      <c r="BU190" s="20" t="s">
        <v>779</v>
      </c>
      <c r="CA190" s="20">
        <v>0</v>
      </c>
      <c r="CB190" s="20" t="s">
        <v>1145</v>
      </c>
      <c r="CC190" s="20" t="s">
        <v>2084</v>
      </c>
      <c r="CD190" s="20" t="s">
        <v>694</v>
      </c>
      <c r="CE190" s="20">
        <v>76821</v>
      </c>
      <c r="CF190" s="20" t="s">
        <v>1147</v>
      </c>
      <c r="CG190" s="20" t="s">
        <v>1148</v>
      </c>
      <c r="CH190" s="20" t="s">
        <v>710</v>
      </c>
      <c r="CI190" s="20" t="s">
        <v>2085</v>
      </c>
      <c r="CJ190" s="20" t="s">
        <v>698</v>
      </c>
      <c r="CK190" s="20" t="s">
        <v>785</v>
      </c>
      <c r="CL190" s="20" t="s">
        <v>741</v>
      </c>
      <c r="CM190" s="20" t="s">
        <v>742</v>
      </c>
      <c r="CO190" s="20">
        <v>32</v>
      </c>
      <c r="CP190" s="20" t="s">
        <v>698</v>
      </c>
      <c r="DM190" s="20" t="s">
        <v>743</v>
      </c>
      <c r="DN190" s="20" t="s">
        <v>1141</v>
      </c>
      <c r="EA190" s="20" t="s">
        <v>766</v>
      </c>
      <c r="EB190" s="20" t="s">
        <v>2086</v>
      </c>
      <c r="FK190" s="20" t="s">
        <v>728</v>
      </c>
      <c r="FM190" s="20" t="s">
        <v>719</v>
      </c>
      <c r="FO190" s="20" t="s">
        <v>720</v>
      </c>
      <c r="FR190" s="20" t="s">
        <v>768</v>
      </c>
      <c r="FY190" s="20" t="s">
        <v>698</v>
      </c>
      <c r="GC190" s="20" t="s">
        <v>696</v>
      </c>
      <c r="GD190" s="20" t="s">
        <v>698</v>
      </c>
      <c r="GE190" s="20" t="s">
        <v>696</v>
      </c>
      <c r="GH190" s="20" t="s">
        <v>696</v>
      </c>
      <c r="GK190" s="20" t="s">
        <v>698</v>
      </c>
      <c r="GT190" s="20" t="s">
        <v>696</v>
      </c>
      <c r="GU190" s="20" t="s">
        <v>698</v>
      </c>
      <c r="HF190" s="20">
        <v>500000</v>
      </c>
      <c r="HG190" s="20">
        <v>62000</v>
      </c>
      <c r="HH190" s="20">
        <v>100000</v>
      </c>
      <c r="HI190" s="20">
        <v>56000</v>
      </c>
      <c r="HJ190" s="20">
        <v>1400000</v>
      </c>
      <c r="HK190" s="20">
        <v>0</v>
      </c>
      <c r="HM190" s="20">
        <v>2118000</v>
      </c>
      <c r="HR190" s="20">
        <v>20</v>
      </c>
      <c r="HS190" s="20">
        <v>1067</v>
      </c>
      <c r="HY190" s="20" t="s">
        <v>723</v>
      </c>
      <c r="HZ190" s="20" t="s">
        <v>698</v>
      </c>
      <c r="IC190" s="20">
        <v>98373</v>
      </c>
      <c r="ID190" s="20" t="s">
        <v>696</v>
      </c>
      <c r="IL190" s="20" t="s">
        <v>698</v>
      </c>
      <c r="IS190" s="20" t="s">
        <v>724</v>
      </c>
      <c r="IT190" s="20" t="s">
        <v>696</v>
      </c>
      <c r="IU190" s="20" t="s">
        <v>696</v>
      </c>
      <c r="IV190" s="20" t="s">
        <v>696</v>
      </c>
      <c r="IW190" s="20" t="s">
        <v>698</v>
      </c>
      <c r="IX190" s="20" t="s">
        <v>698</v>
      </c>
      <c r="IY190" s="20" t="s">
        <v>696</v>
      </c>
      <c r="IZ190" s="20" t="s">
        <v>696</v>
      </c>
      <c r="JA190" s="20" t="s">
        <v>696</v>
      </c>
      <c r="JB190" s="20" t="s">
        <v>698</v>
      </c>
      <c r="JC190" s="20" t="s">
        <v>698</v>
      </c>
      <c r="JD190" s="20" t="s">
        <v>725</v>
      </c>
      <c r="JE190" s="20" t="s">
        <v>726</v>
      </c>
      <c r="JR190" s="20" t="s">
        <v>698</v>
      </c>
      <c r="JS190" s="20" t="s">
        <v>698</v>
      </c>
      <c r="JX190" s="20" t="s">
        <v>929</v>
      </c>
      <c r="JY190" s="20" t="s">
        <v>1500</v>
      </c>
      <c r="PC190" s="20" t="s">
        <v>696</v>
      </c>
      <c r="PG190" s="20" t="s">
        <v>1500</v>
      </c>
      <c r="PH190" s="20" t="s">
        <v>696</v>
      </c>
      <c r="PI190" s="20" t="s">
        <v>766</v>
      </c>
      <c r="PJ190" s="20" t="s">
        <v>2087</v>
      </c>
      <c r="PT190" s="20" t="s">
        <v>696</v>
      </c>
      <c r="PY190" s="20" t="s">
        <v>696</v>
      </c>
      <c r="SC190" s="20" t="s">
        <v>696</v>
      </c>
      <c r="SD190" s="20" t="s">
        <v>696</v>
      </c>
      <c r="SG190" s="20" t="s">
        <v>696</v>
      </c>
      <c r="SK190" s="20">
        <v>2016</v>
      </c>
      <c r="TQ190" s="20">
        <v>2016</v>
      </c>
      <c r="UO190" s="20" t="s">
        <v>696</v>
      </c>
      <c r="UP190" s="20">
        <v>1988</v>
      </c>
      <c r="UQ190" s="20">
        <v>1335</v>
      </c>
      <c r="UR190" s="20" t="s">
        <v>698</v>
      </c>
      <c r="UZ190" s="20" t="s">
        <v>698</v>
      </c>
      <c r="XL190" s="20" t="s">
        <v>1902</v>
      </c>
      <c r="XM190" s="20" t="s">
        <v>1903</v>
      </c>
      <c r="XN190" s="20" t="s">
        <v>1904</v>
      </c>
      <c r="XO190" s="20" t="s">
        <v>1905</v>
      </c>
      <c r="XQ190" s="24">
        <v>44504</v>
      </c>
      <c r="XU190" s="20" t="s">
        <v>730</v>
      </c>
      <c r="XV190" s="20" t="s">
        <v>733</v>
      </c>
      <c r="XW190" s="20" t="s">
        <v>1360</v>
      </c>
      <c r="XX190" s="20" t="s">
        <v>732</v>
      </c>
      <c r="XY190" s="20" t="s">
        <v>2088</v>
      </c>
    </row>
    <row r="191" spans="1:649" ht="13">
      <c r="A191" s="20">
        <v>1244</v>
      </c>
      <c r="B191" s="21">
        <v>44313</v>
      </c>
      <c r="C191" s="20">
        <v>2021</v>
      </c>
      <c r="D191" s="20">
        <v>20210133</v>
      </c>
      <c r="E191" s="20">
        <v>35214</v>
      </c>
      <c r="F191" s="20" t="s">
        <v>885</v>
      </c>
      <c r="G191" s="20">
        <v>18718</v>
      </c>
      <c r="H191" s="20" t="s">
        <v>918</v>
      </c>
      <c r="I191" s="20" t="s">
        <v>692</v>
      </c>
      <c r="J191" s="20" t="s">
        <v>693</v>
      </c>
      <c r="K191" s="20" t="s">
        <v>694</v>
      </c>
      <c r="L191" s="20">
        <v>77002</v>
      </c>
      <c r="M191" s="22">
        <v>44286.652777777781</v>
      </c>
      <c r="P191" s="20">
        <v>34.575482999999998</v>
      </c>
      <c r="Q191" s="20">
        <v>-100.38313599999999</v>
      </c>
      <c r="R191" s="20" t="s">
        <v>697</v>
      </c>
      <c r="W191" s="20">
        <v>50</v>
      </c>
      <c r="Y191" s="20">
        <v>50</v>
      </c>
      <c r="Z191" s="20" t="s">
        <v>698</v>
      </c>
      <c r="AF191" s="20">
        <v>0</v>
      </c>
      <c r="AG191" s="20" t="s">
        <v>698</v>
      </c>
      <c r="AM191" s="20">
        <v>0</v>
      </c>
      <c r="AN191" s="20" t="s">
        <v>1444</v>
      </c>
      <c r="AQ191" s="23">
        <v>44286.652777777781</v>
      </c>
      <c r="AR191" s="20" t="s">
        <v>776</v>
      </c>
      <c r="AS191" s="20" t="s">
        <v>702</v>
      </c>
      <c r="AU191" s="20" t="s">
        <v>696</v>
      </c>
      <c r="AW191" s="23">
        <v>44286.652777777781</v>
      </c>
      <c r="AX191" s="23">
        <v>44289.444444444445</v>
      </c>
      <c r="BC191" s="23">
        <v>44286.652777777781</v>
      </c>
      <c r="BE191" s="23">
        <v>44286.711805555555</v>
      </c>
      <c r="BF191" s="20">
        <v>1301708</v>
      </c>
      <c r="BH191" s="20" t="s">
        <v>698</v>
      </c>
      <c r="BM191" s="20" t="s">
        <v>698</v>
      </c>
      <c r="BQ191" s="20" t="s">
        <v>779</v>
      </c>
      <c r="BU191" s="20" t="s">
        <v>779</v>
      </c>
      <c r="CA191" s="20">
        <v>0</v>
      </c>
      <c r="CB191" s="20" t="s">
        <v>2089</v>
      </c>
      <c r="CC191" s="20" t="s">
        <v>2090</v>
      </c>
      <c r="CD191" s="20" t="s">
        <v>694</v>
      </c>
      <c r="CE191" s="20">
        <v>79201</v>
      </c>
      <c r="CF191" s="20" t="s">
        <v>2091</v>
      </c>
      <c r="CG191" s="20" t="s">
        <v>1409</v>
      </c>
      <c r="CH191" s="20" t="s">
        <v>710</v>
      </c>
      <c r="CI191" s="20">
        <v>259171.3</v>
      </c>
      <c r="CJ191" s="20" t="s">
        <v>698</v>
      </c>
      <c r="CK191" s="20" t="s">
        <v>785</v>
      </c>
      <c r="CL191" s="20" t="s">
        <v>741</v>
      </c>
      <c r="CM191" s="20" t="s">
        <v>742</v>
      </c>
      <c r="CO191" s="20">
        <v>6</v>
      </c>
      <c r="CP191" s="20" t="s">
        <v>698</v>
      </c>
      <c r="DM191" s="20" t="s">
        <v>715</v>
      </c>
      <c r="DN191" s="20" t="s">
        <v>744</v>
      </c>
      <c r="DO191" s="20" t="s">
        <v>745</v>
      </c>
      <c r="DQ191" s="20">
        <v>10.75</v>
      </c>
      <c r="DR191" s="20">
        <v>0.36499999999999999</v>
      </c>
      <c r="DS191" s="20">
        <v>30000</v>
      </c>
      <c r="DT191" s="20" t="s">
        <v>1726</v>
      </c>
      <c r="DU191" s="20" t="s">
        <v>1048</v>
      </c>
      <c r="DW191" s="20" t="s">
        <v>2092</v>
      </c>
      <c r="DX191" s="20" t="s">
        <v>805</v>
      </c>
      <c r="FK191" s="20">
        <v>1927</v>
      </c>
      <c r="FL191" s="20">
        <v>1927</v>
      </c>
      <c r="FM191" s="20" t="s">
        <v>719</v>
      </c>
      <c r="FO191" s="20" t="s">
        <v>1061</v>
      </c>
      <c r="FP191" s="20">
        <v>0.2</v>
      </c>
      <c r="FQ191" s="20">
        <v>0.2</v>
      </c>
      <c r="FY191" s="20" t="s">
        <v>698</v>
      </c>
      <c r="GC191" s="20" t="s">
        <v>696</v>
      </c>
      <c r="GD191" s="20" t="s">
        <v>698</v>
      </c>
      <c r="GE191" s="20" t="s">
        <v>696</v>
      </c>
      <c r="GH191" s="20" t="s">
        <v>696</v>
      </c>
      <c r="GK191" s="20" t="s">
        <v>698</v>
      </c>
      <c r="GT191" s="20" t="s">
        <v>698</v>
      </c>
      <c r="GU191" s="20" t="s">
        <v>698</v>
      </c>
      <c r="HF191" s="20">
        <v>0</v>
      </c>
      <c r="HG191" s="20">
        <v>3150</v>
      </c>
      <c r="HH191" s="20">
        <v>20000</v>
      </c>
      <c r="HI191" s="20">
        <v>154500</v>
      </c>
      <c r="HJ191" s="20">
        <v>24000</v>
      </c>
      <c r="HK191" s="20">
        <v>0</v>
      </c>
      <c r="HM191" s="20">
        <v>201650</v>
      </c>
      <c r="HR191" s="20">
        <v>265</v>
      </c>
      <c r="HS191" s="20">
        <v>720</v>
      </c>
      <c r="HY191" s="20" t="s">
        <v>723</v>
      </c>
      <c r="HZ191" s="20" t="s">
        <v>698</v>
      </c>
      <c r="IC191" s="20">
        <v>27553</v>
      </c>
      <c r="ID191" s="20" t="s">
        <v>696</v>
      </c>
      <c r="IL191" s="20" t="s">
        <v>698</v>
      </c>
      <c r="IS191" s="20" t="s">
        <v>724</v>
      </c>
      <c r="IT191" s="20" t="s">
        <v>696</v>
      </c>
      <c r="IU191" s="20" t="s">
        <v>696</v>
      </c>
      <c r="IV191" s="20" t="s">
        <v>696</v>
      </c>
      <c r="IW191" s="20" t="s">
        <v>698</v>
      </c>
      <c r="IX191" s="20" t="s">
        <v>698</v>
      </c>
      <c r="IY191" s="20" t="s">
        <v>698</v>
      </c>
      <c r="JD191" s="20" t="s">
        <v>725</v>
      </c>
      <c r="JE191" s="20" t="s">
        <v>726</v>
      </c>
      <c r="JR191" s="20" t="s">
        <v>698</v>
      </c>
      <c r="JS191" s="20" t="s">
        <v>698</v>
      </c>
      <c r="JX191" s="20" t="s">
        <v>990</v>
      </c>
      <c r="JY191" s="20" t="s">
        <v>1454</v>
      </c>
      <c r="MK191" s="20" t="s">
        <v>1454</v>
      </c>
      <c r="ML191" s="20" t="s">
        <v>698</v>
      </c>
      <c r="MV191" s="20" t="s">
        <v>698</v>
      </c>
      <c r="NA191" s="20" t="s">
        <v>696</v>
      </c>
      <c r="NK191" s="20" t="s">
        <v>1483</v>
      </c>
      <c r="NL191" s="20" t="s">
        <v>1484</v>
      </c>
      <c r="NM191" s="20" t="s">
        <v>1485</v>
      </c>
      <c r="NN191" s="20" t="s">
        <v>698</v>
      </c>
      <c r="NT191" s="20" t="s">
        <v>696</v>
      </c>
      <c r="NU191" s="20">
        <v>67</v>
      </c>
      <c r="NV191" s="20" t="s">
        <v>995</v>
      </c>
      <c r="NW191" s="20" t="s">
        <v>996</v>
      </c>
      <c r="XL191" s="20" t="s">
        <v>1902</v>
      </c>
      <c r="XM191" s="20" t="s">
        <v>1903</v>
      </c>
      <c r="XN191" s="20" t="s">
        <v>1904</v>
      </c>
      <c r="XO191" s="20">
        <v>7139894527</v>
      </c>
      <c r="XQ191" s="24">
        <v>44313</v>
      </c>
      <c r="XU191" s="20" t="s">
        <v>1624</v>
      </c>
      <c r="XV191" s="20">
        <v>7139897077</v>
      </c>
      <c r="XW191" s="20" t="s">
        <v>1626</v>
      </c>
      <c r="XX191" s="20" t="s">
        <v>2061</v>
      </c>
      <c r="XY191" s="20" t="s">
        <v>2093</v>
      </c>
    </row>
    <row r="192" spans="1:649" ht="13">
      <c r="A192" s="20">
        <v>1261</v>
      </c>
      <c r="B192" s="21">
        <v>44298</v>
      </c>
      <c r="C192" s="20">
        <v>2021</v>
      </c>
      <c r="D192" s="20">
        <v>20210114</v>
      </c>
      <c r="E192" s="20">
        <v>35168</v>
      </c>
      <c r="F192" s="20" t="s">
        <v>825</v>
      </c>
      <c r="G192" s="20">
        <v>12470</v>
      </c>
      <c r="H192" s="20" t="s">
        <v>1070</v>
      </c>
      <c r="I192" s="20" t="s">
        <v>692</v>
      </c>
      <c r="J192" s="20" t="s">
        <v>693</v>
      </c>
      <c r="K192" s="20" t="s">
        <v>694</v>
      </c>
      <c r="L192" s="20">
        <v>77002</v>
      </c>
      <c r="M192" s="22">
        <v>44271.46875</v>
      </c>
      <c r="P192" s="20">
        <v>32.485514000000002</v>
      </c>
      <c r="Q192" s="20">
        <v>-94.832977</v>
      </c>
      <c r="R192" s="20" t="s">
        <v>697</v>
      </c>
      <c r="W192" s="20">
        <v>0.6</v>
      </c>
      <c r="Y192" s="20">
        <v>0.6</v>
      </c>
      <c r="Z192" s="20" t="s">
        <v>698</v>
      </c>
      <c r="AF192" s="20">
        <v>0</v>
      </c>
      <c r="AG192" s="20" t="s">
        <v>698</v>
      </c>
      <c r="AM192" s="20">
        <v>0</v>
      </c>
      <c r="AN192" s="20" t="s">
        <v>699</v>
      </c>
      <c r="AP192" s="20" t="s">
        <v>700</v>
      </c>
      <c r="AQ192" s="23">
        <v>44271.472222222219</v>
      </c>
      <c r="AR192" s="20" t="s">
        <v>907</v>
      </c>
      <c r="AS192" s="20" t="s">
        <v>702</v>
      </c>
      <c r="AU192" s="20" t="s">
        <v>698</v>
      </c>
      <c r="AV192" s="20" t="s">
        <v>2094</v>
      </c>
      <c r="BC192" s="23">
        <v>44271.472222222219</v>
      </c>
      <c r="BF192" s="20" t="s">
        <v>754</v>
      </c>
      <c r="BH192" s="20" t="s">
        <v>698</v>
      </c>
      <c r="BM192" s="20" t="s">
        <v>698</v>
      </c>
      <c r="CA192" s="20">
        <v>0</v>
      </c>
      <c r="CB192" s="20" t="s">
        <v>2095</v>
      </c>
      <c r="CC192" s="20" t="s">
        <v>2096</v>
      </c>
      <c r="CD192" s="20" t="s">
        <v>694</v>
      </c>
      <c r="CE192" s="20">
        <v>75604</v>
      </c>
      <c r="CF192" s="20" t="s">
        <v>1122</v>
      </c>
      <c r="CG192" s="20" t="s">
        <v>1123</v>
      </c>
      <c r="CH192" s="20" t="s">
        <v>1931</v>
      </c>
      <c r="CI192" s="20">
        <v>0</v>
      </c>
      <c r="CJ192" s="20" t="s">
        <v>698</v>
      </c>
      <c r="CK192" s="20" t="s">
        <v>712</v>
      </c>
      <c r="CL192" s="20" t="s">
        <v>910</v>
      </c>
      <c r="CP192" s="20" t="s">
        <v>698</v>
      </c>
      <c r="DM192" s="20" t="s">
        <v>743</v>
      </c>
      <c r="DN192" s="20" t="s">
        <v>911</v>
      </c>
      <c r="EW192" s="20" t="s">
        <v>2019</v>
      </c>
      <c r="EY192" s="20" t="s">
        <v>913</v>
      </c>
      <c r="FK192" s="20">
        <v>1976</v>
      </c>
      <c r="FM192" s="20" t="s">
        <v>719</v>
      </c>
      <c r="FO192" s="20" t="s">
        <v>893</v>
      </c>
      <c r="FY192" s="20" t="s">
        <v>698</v>
      </c>
      <c r="GC192" s="20" t="s">
        <v>696</v>
      </c>
      <c r="GD192" s="20" t="s">
        <v>698</v>
      </c>
      <c r="GE192" s="20" t="s">
        <v>696</v>
      </c>
      <c r="GH192" s="20" t="s">
        <v>696</v>
      </c>
      <c r="GK192" s="20" t="s">
        <v>698</v>
      </c>
      <c r="GT192" s="20" t="s">
        <v>696</v>
      </c>
      <c r="GU192" s="20" t="s">
        <v>698</v>
      </c>
      <c r="HF192" s="20">
        <v>0</v>
      </c>
      <c r="HG192" s="20">
        <v>36</v>
      </c>
      <c r="HH192" s="20">
        <v>0</v>
      </c>
      <c r="HI192" s="20">
        <v>5340</v>
      </c>
      <c r="HJ192" s="20">
        <v>0</v>
      </c>
      <c r="HK192" s="20">
        <v>0</v>
      </c>
      <c r="HM192" s="20">
        <v>5376</v>
      </c>
      <c r="HR192" s="20">
        <v>20</v>
      </c>
      <c r="HS192" s="20">
        <v>285</v>
      </c>
      <c r="HY192" s="20" t="s">
        <v>723</v>
      </c>
      <c r="HZ192" s="20" t="s">
        <v>698</v>
      </c>
      <c r="IS192" s="20" t="s">
        <v>724</v>
      </c>
      <c r="IT192" s="20" t="s">
        <v>696</v>
      </c>
      <c r="IU192" s="20" t="s">
        <v>696</v>
      </c>
      <c r="IV192" s="20" t="s">
        <v>696</v>
      </c>
      <c r="IW192" s="20" t="s">
        <v>696</v>
      </c>
      <c r="IX192" s="20" t="s">
        <v>696</v>
      </c>
      <c r="IY192" s="20" t="s">
        <v>696</v>
      </c>
      <c r="IZ192" s="20" t="s">
        <v>696</v>
      </c>
      <c r="JA192" s="20" t="s">
        <v>696</v>
      </c>
      <c r="JB192" s="20" t="s">
        <v>698</v>
      </c>
      <c r="JC192" s="20" t="s">
        <v>698</v>
      </c>
      <c r="JD192" s="20" t="s">
        <v>859</v>
      </c>
      <c r="JF192" s="20" t="s">
        <v>696</v>
      </c>
      <c r="JK192" s="20" t="s">
        <v>696</v>
      </c>
      <c r="JR192" s="20" t="s">
        <v>698</v>
      </c>
      <c r="JS192" s="20" t="s">
        <v>698</v>
      </c>
      <c r="JX192" s="20" t="s">
        <v>894</v>
      </c>
      <c r="JY192" s="20" t="s">
        <v>895</v>
      </c>
      <c r="RM192" s="20" t="s">
        <v>895</v>
      </c>
      <c r="RN192" s="20" t="s">
        <v>2097</v>
      </c>
      <c r="RS192" s="20" t="s">
        <v>696</v>
      </c>
      <c r="RV192" s="20" t="s">
        <v>897</v>
      </c>
      <c r="RW192" s="20" t="s">
        <v>696</v>
      </c>
      <c r="RX192" s="20" t="s">
        <v>898</v>
      </c>
      <c r="XL192" s="20" t="s">
        <v>1902</v>
      </c>
      <c r="XM192" s="20" t="s">
        <v>1903</v>
      </c>
      <c r="XN192" s="20" t="s">
        <v>1904</v>
      </c>
      <c r="XO192" s="20">
        <v>7139894527</v>
      </c>
      <c r="XQ192" s="24">
        <v>44299</v>
      </c>
      <c r="XU192" s="20" t="s">
        <v>1624</v>
      </c>
      <c r="XV192" s="20">
        <v>7139897077</v>
      </c>
      <c r="XW192" s="20" t="s">
        <v>1626</v>
      </c>
      <c r="XX192" s="20" t="s">
        <v>2061</v>
      </c>
      <c r="XY192" s="20" t="s">
        <v>2098</v>
      </c>
    </row>
    <row r="193" spans="1:649" ht="13">
      <c r="A193" s="20">
        <v>1263</v>
      </c>
      <c r="B193" s="21">
        <v>44299</v>
      </c>
      <c r="C193" s="20">
        <v>2021</v>
      </c>
      <c r="D193" s="20">
        <v>20210115</v>
      </c>
      <c r="E193" s="20">
        <v>35166</v>
      </c>
      <c r="F193" s="20" t="s">
        <v>885</v>
      </c>
      <c r="G193" s="20">
        <v>18718</v>
      </c>
      <c r="H193" s="20" t="s">
        <v>918</v>
      </c>
      <c r="I193" s="20" t="s">
        <v>692</v>
      </c>
      <c r="J193" s="20" t="s">
        <v>693</v>
      </c>
      <c r="K193" s="20" t="s">
        <v>694</v>
      </c>
      <c r="L193" s="20">
        <v>77002</v>
      </c>
      <c r="M193" s="22">
        <v>44270.752083333333</v>
      </c>
      <c r="P193" s="20">
        <v>32.077069999999999</v>
      </c>
      <c r="Q193" s="20">
        <v>-96.572789999999998</v>
      </c>
      <c r="R193" s="20" t="s">
        <v>844</v>
      </c>
      <c r="S193" s="20" t="s">
        <v>845</v>
      </c>
      <c r="W193" s="20">
        <v>77.819999999999993</v>
      </c>
      <c r="Y193" s="20">
        <v>77.819999999999993</v>
      </c>
      <c r="Z193" s="20" t="s">
        <v>698</v>
      </c>
      <c r="AF193" s="20">
        <v>0</v>
      </c>
      <c r="AG193" s="20" t="s">
        <v>698</v>
      </c>
      <c r="AM193" s="20">
        <v>0</v>
      </c>
      <c r="AN193" s="20" t="s">
        <v>775</v>
      </c>
      <c r="AQ193" s="23">
        <v>44270.824999999997</v>
      </c>
      <c r="AR193" s="20" t="s">
        <v>776</v>
      </c>
      <c r="AS193" s="20" t="s">
        <v>702</v>
      </c>
      <c r="AU193" s="20" t="s">
        <v>696</v>
      </c>
      <c r="AW193" s="23">
        <v>44270.752083333333</v>
      </c>
      <c r="AX193" s="23">
        <v>44271.887499999997</v>
      </c>
      <c r="BC193" s="23">
        <v>44270.824999999997</v>
      </c>
      <c r="BE193" s="23">
        <v>44270.900694444441</v>
      </c>
      <c r="BF193" s="20">
        <v>1300387</v>
      </c>
      <c r="BH193" s="20" t="s">
        <v>698</v>
      </c>
      <c r="BM193" s="20" t="s">
        <v>698</v>
      </c>
      <c r="BQ193" s="20" t="s">
        <v>779</v>
      </c>
      <c r="BU193" s="20" t="s">
        <v>779</v>
      </c>
      <c r="CA193" s="20">
        <v>0</v>
      </c>
      <c r="CB193" s="20" t="s">
        <v>2099</v>
      </c>
      <c r="CC193" s="20" t="s">
        <v>2100</v>
      </c>
      <c r="CD193" s="20" t="s">
        <v>694</v>
      </c>
      <c r="CE193" s="20">
        <v>75110</v>
      </c>
      <c r="CF193" s="20" t="s">
        <v>1296</v>
      </c>
      <c r="CG193" s="20" t="s">
        <v>1283</v>
      </c>
      <c r="CH193" s="20" t="s">
        <v>1931</v>
      </c>
      <c r="CI193" s="20">
        <v>329.46</v>
      </c>
      <c r="CJ193" s="20" t="s">
        <v>698</v>
      </c>
      <c r="CK193" s="20" t="s">
        <v>785</v>
      </c>
      <c r="CL193" s="20" t="s">
        <v>741</v>
      </c>
      <c r="CM193" s="20" t="s">
        <v>742</v>
      </c>
      <c r="CO193" s="20">
        <v>48</v>
      </c>
      <c r="CP193" s="20" t="s">
        <v>698</v>
      </c>
      <c r="DM193" s="20" t="s">
        <v>715</v>
      </c>
      <c r="DN193" s="20" t="s">
        <v>744</v>
      </c>
      <c r="DO193" s="20" t="s">
        <v>745</v>
      </c>
      <c r="DQ193" s="20">
        <v>16</v>
      </c>
      <c r="DR193" s="20">
        <v>0.25</v>
      </c>
      <c r="DS193" s="20">
        <v>46000</v>
      </c>
      <c r="DT193" s="20" t="s">
        <v>2101</v>
      </c>
      <c r="DU193" s="20" t="s">
        <v>804</v>
      </c>
      <c r="DW193" s="20" t="s">
        <v>728</v>
      </c>
      <c r="DX193" s="20" t="s">
        <v>805</v>
      </c>
      <c r="FK193" s="20">
        <v>1943</v>
      </c>
      <c r="FL193" s="20">
        <v>1943</v>
      </c>
      <c r="FM193" s="20" t="s">
        <v>719</v>
      </c>
      <c r="FO193" s="20" t="s">
        <v>720</v>
      </c>
      <c r="FR193" s="20" t="s">
        <v>749</v>
      </c>
      <c r="FY193" s="20" t="s">
        <v>698</v>
      </c>
      <c r="GC193" s="20" t="s">
        <v>696</v>
      </c>
      <c r="GD193" s="20" t="s">
        <v>698</v>
      </c>
      <c r="GE193" s="20" t="s">
        <v>696</v>
      </c>
      <c r="GH193" s="20" t="s">
        <v>696</v>
      </c>
      <c r="GK193" s="20" t="s">
        <v>698</v>
      </c>
      <c r="GT193" s="20" t="s">
        <v>698</v>
      </c>
      <c r="GU193" s="20" t="s">
        <v>698</v>
      </c>
      <c r="HF193" s="20">
        <v>10000</v>
      </c>
      <c r="HG193" s="20">
        <v>7371</v>
      </c>
      <c r="HH193" s="20">
        <v>20362</v>
      </c>
      <c r="HI193" s="20">
        <v>40726</v>
      </c>
      <c r="HJ193" s="20">
        <v>532500</v>
      </c>
      <c r="HK193" s="20">
        <v>5000</v>
      </c>
      <c r="HL193" s="20" t="s">
        <v>2102</v>
      </c>
      <c r="HM193" s="20">
        <v>615959</v>
      </c>
      <c r="HR193" s="20">
        <v>220</v>
      </c>
      <c r="HS193" s="20">
        <v>620</v>
      </c>
      <c r="HY193" s="20" t="s">
        <v>723</v>
      </c>
      <c r="HZ193" s="20" t="s">
        <v>698</v>
      </c>
      <c r="IC193" s="20">
        <v>121440</v>
      </c>
      <c r="ID193" s="20" t="s">
        <v>696</v>
      </c>
      <c r="IL193" s="20" t="s">
        <v>698</v>
      </c>
      <c r="IS193" s="20" t="s">
        <v>724</v>
      </c>
      <c r="IT193" s="20" t="s">
        <v>696</v>
      </c>
      <c r="IU193" s="20" t="s">
        <v>696</v>
      </c>
      <c r="IV193" s="20" t="s">
        <v>696</v>
      </c>
      <c r="IW193" s="20" t="s">
        <v>698</v>
      </c>
      <c r="IX193" s="20" t="s">
        <v>698</v>
      </c>
      <c r="IY193" s="20" t="s">
        <v>696</v>
      </c>
      <c r="IZ193" s="20" t="s">
        <v>696</v>
      </c>
      <c r="JA193" s="20" t="s">
        <v>696</v>
      </c>
      <c r="JB193" s="20" t="s">
        <v>698</v>
      </c>
      <c r="JC193" s="20" t="s">
        <v>698</v>
      </c>
      <c r="JD193" s="20" t="s">
        <v>725</v>
      </c>
      <c r="JE193" s="20" t="s">
        <v>726</v>
      </c>
      <c r="JR193" s="20" t="s">
        <v>698</v>
      </c>
      <c r="JS193" s="20" t="s">
        <v>698</v>
      </c>
      <c r="JX193" s="20" t="s">
        <v>833</v>
      </c>
      <c r="JY193" s="20" t="s">
        <v>860</v>
      </c>
      <c r="JZ193" s="20" t="s">
        <v>860</v>
      </c>
      <c r="KA193" s="20" t="s">
        <v>835</v>
      </c>
      <c r="KC193" s="20" t="s">
        <v>696</v>
      </c>
      <c r="KL193" s="20" t="s">
        <v>696</v>
      </c>
      <c r="KP193" s="20" t="s">
        <v>696</v>
      </c>
      <c r="KQ193" s="20" t="s">
        <v>696</v>
      </c>
      <c r="KR193" s="20">
        <v>1970</v>
      </c>
      <c r="KS193" s="20" t="s">
        <v>696</v>
      </c>
      <c r="KT193" s="20" t="s">
        <v>696</v>
      </c>
      <c r="KU193" s="20" t="s">
        <v>696</v>
      </c>
      <c r="KV193" s="20" t="s">
        <v>696</v>
      </c>
      <c r="KX193" s="20">
        <v>2020</v>
      </c>
      <c r="KY193" s="20">
        <v>2018</v>
      </c>
      <c r="LC193" s="20" t="s">
        <v>696</v>
      </c>
      <c r="SC193" s="20" t="s">
        <v>696</v>
      </c>
      <c r="UJ193" s="20">
        <v>2018</v>
      </c>
      <c r="UO193" s="20" t="s">
        <v>696</v>
      </c>
      <c r="UP193" s="20">
        <v>1994</v>
      </c>
      <c r="UQ193" s="20">
        <v>1109</v>
      </c>
      <c r="UR193" s="20" t="s">
        <v>698</v>
      </c>
      <c r="UZ193" s="20" t="s">
        <v>698</v>
      </c>
      <c r="XL193" s="20" t="s">
        <v>1902</v>
      </c>
      <c r="XM193" s="20" t="s">
        <v>1903</v>
      </c>
      <c r="XN193" s="20" t="s">
        <v>1904</v>
      </c>
      <c r="XO193" s="20" t="s">
        <v>1905</v>
      </c>
      <c r="XQ193" s="24">
        <v>44299</v>
      </c>
      <c r="XU193" s="20" t="s">
        <v>1624</v>
      </c>
      <c r="XV193" s="20">
        <v>7139897077</v>
      </c>
      <c r="XW193" s="20" t="s">
        <v>1626</v>
      </c>
      <c r="XX193" s="20" t="s">
        <v>1627</v>
      </c>
      <c r="XY193" s="20" t="s">
        <v>2103</v>
      </c>
    </row>
    <row r="194" spans="1:649" ht="13">
      <c r="A194" s="20">
        <v>1280</v>
      </c>
      <c r="B194" s="21">
        <v>44279</v>
      </c>
      <c r="C194" s="20">
        <v>2021</v>
      </c>
      <c r="D194" s="20">
        <v>20210095</v>
      </c>
      <c r="E194" s="20">
        <v>35087</v>
      </c>
      <c r="F194" s="20" t="s">
        <v>825</v>
      </c>
      <c r="G194" s="20">
        <v>18718</v>
      </c>
      <c r="H194" s="20" t="s">
        <v>918</v>
      </c>
      <c r="I194" s="20" t="s">
        <v>692</v>
      </c>
      <c r="J194" s="20" t="s">
        <v>693</v>
      </c>
      <c r="K194" s="20" t="s">
        <v>694</v>
      </c>
      <c r="L194" s="20">
        <v>77002</v>
      </c>
      <c r="M194" s="22">
        <v>44252.01458333333</v>
      </c>
      <c r="P194" s="20">
        <v>30.618589</v>
      </c>
      <c r="Q194" s="20">
        <v>-94.969945999999993</v>
      </c>
      <c r="R194" s="20" t="s">
        <v>697</v>
      </c>
      <c r="W194" s="20">
        <v>174</v>
      </c>
      <c r="Y194" s="20">
        <v>174</v>
      </c>
      <c r="Z194" s="20" t="s">
        <v>698</v>
      </c>
      <c r="AF194" s="20">
        <v>0</v>
      </c>
      <c r="AG194" s="20" t="s">
        <v>698</v>
      </c>
      <c r="AM194" s="20">
        <v>0</v>
      </c>
      <c r="AN194" s="20" t="s">
        <v>2050</v>
      </c>
      <c r="AQ194" s="23">
        <v>44252.088194444441</v>
      </c>
      <c r="AR194" s="20" t="s">
        <v>736</v>
      </c>
      <c r="AS194" s="20" t="s">
        <v>702</v>
      </c>
      <c r="AU194" s="20" t="s">
        <v>698</v>
      </c>
      <c r="AV194" s="20" t="s">
        <v>2104</v>
      </c>
      <c r="BC194" s="23">
        <v>44252.125</v>
      </c>
      <c r="BE194" s="23">
        <v>44252.126388888886</v>
      </c>
      <c r="BF194" s="20">
        <v>1298932</v>
      </c>
      <c r="BH194" s="20" t="s">
        <v>698</v>
      </c>
      <c r="BM194" s="20" t="s">
        <v>698</v>
      </c>
      <c r="CA194" s="20">
        <v>0</v>
      </c>
      <c r="CB194" s="20" t="s">
        <v>1607</v>
      </c>
      <c r="CC194" s="20" t="s">
        <v>2105</v>
      </c>
      <c r="CD194" s="20" t="s">
        <v>694</v>
      </c>
      <c r="CE194" s="20">
        <v>77335</v>
      </c>
      <c r="CF194" s="20" t="s">
        <v>1608</v>
      </c>
      <c r="CG194" s="20" t="s">
        <v>1271</v>
      </c>
      <c r="CH194" s="20" t="s">
        <v>1931</v>
      </c>
      <c r="CI194" s="20">
        <v>59</v>
      </c>
      <c r="CJ194" s="20" t="s">
        <v>698</v>
      </c>
      <c r="CK194" s="20" t="s">
        <v>891</v>
      </c>
      <c r="CL194" s="20" t="s">
        <v>741</v>
      </c>
      <c r="CM194" s="20" t="s">
        <v>742</v>
      </c>
      <c r="CO194" s="20">
        <v>144</v>
      </c>
      <c r="CP194" s="20" t="s">
        <v>698</v>
      </c>
      <c r="DM194" s="20" t="s">
        <v>743</v>
      </c>
      <c r="DN194" s="20" t="s">
        <v>744</v>
      </c>
      <c r="DO194" s="20" t="s">
        <v>745</v>
      </c>
      <c r="DQ194" s="20">
        <v>10</v>
      </c>
      <c r="DR194" s="20">
        <v>0.25</v>
      </c>
      <c r="DS194" s="20">
        <v>42000</v>
      </c>
      <c r="DT194" s="20" t="s">
        <v>985</v>
      </c>
      <c r="DU194" s="20" t="s">
        <v>747</v>
      </c>
      <c r="DW194" s="20" t="s">
        <v>1285</v>
      </c>
      <c r="DX194" s="20" t="s">
        <v>748</v>
      </c>
      <c r="FK194" s="20">
        <v>2014</v>
      </c>
      <c r="FL194" s="20">
        <v>2014</v>
      </c>
      <c r="FM194" s="20" t="s">
        <v>719</v>
      </c>
      <c r="FO194" s="20" t="s">
        <v>720</v>
      </c>
      <c r="FR194" s="20" t="s">
        <v>766</v>
      </c>
      <c r="FS194" s="20" t="s">
        <v>2106</v>
      </c>
      <c r="FY194" s="20" t="s">
        <v>698</v>
      </c>
      <c r="GC194" s="20" t="s">
        <v>696</v>
      </c>
      <c r="GD194" s="20" t="s">
        <v>698</v>
      </c>
      <c r="GE194" s="20" t="s">
        <v>696</v>
      </c>
      <c r="GH194" s="20" t="s">
        <v>696</v>
      </c>
      <c r="GK194" s="20" t="s">
        <v>698</v>
      </c>
      <c r="GT194" s="20" t="s">
        <v>696</v>
      </c>
      <c r="GU194" s="20" t="s">
        <v>698</v>
      </c>
      <c r="HF194" s="20">
        <v>0</v>
      </c>
      <c r="HG194" s="20">
        <v>10614</v>
      </c>
      <c r="HH194" s="20">
        <v>45000</v>
      </c>
      <c r="HI194" s="20">
        <v>75000</v>
      </c>
      <c r="HJ194" s="20">
        <v>140000</v>
      </c>
      <c r="HK194" s="20">
        <v>0</v>
      </c>
      <c r="HM194" s="20">
        <v>270614</v>
      </c>
      <c r="HR194" s="20">
        <v>15</v>
      </c>
      <c r="HS194" s="20">
        <v>285</v>
      </c>
      <c r="HY194" s="20" t="s">
        <v>723</v>
      </c>
      <c r="HZ194" s="20" t="s">
        <v>698</v>
      </c>
      <c r="IS194" s="20" t="s">
        <v>724</v>
      </c>
      <c r="IT194" s="20" t="s">
        <v>696</v>
      </c>
      <c r="IU194" s="20" t="s">
        <v>696</v>
      </c>
      <c r="IV194" s="20" t="s">
        <v>696</v>
      </c>
      <c r="IW194" s="20" t="s">
        <v>696</v>
      </c>
      <c r="IX194" s="20" t="s">
        <v>696</v>
      </c>
      <c r="IY194" s="20" t="s">
        <v>696</v>
      </c>
      <c r="IZ194" s="20" t="s">
        <v>696</v>
      </c>
      <c r="JA194" s="20" t="s">
        <v>696</v>
      </c>
      <c r="JB194" s="20" t="s">
        <v>698</v>
      </c>
      <c r="JC194" s="20" t="s">
        <v>698</v>
      </c>
      <c r="JD194" s="20" t="s">
        <v>725</v>
      </c>
      <c r="JE194" s="20" t="s">
        <v>726</v>
      </c>
      <c r="JR194" s="20" t="s">
        <v>698</v>
      </c>
      <c r="JS194" s="20" t="s">
        <v>698</v>
      </c>
      <c r="JX194" s="20" t="s">
        <v>833</v>
      </c>
      <c r="JY194" s="20" t="s">
        <v>834</v>
      </c>
      <c r="JZ194" s="20" t="s">
        <v>834</v>
      </c>
      <c r="LD194" s="20" t="s">
        <v>835</v>
      </c>
      <c r="LH194" s="20" t="s">
        <v>696</v>
      </c>
      <c r="LL194" s="20" t="s">
        <v>696</v>
      </c>
      <c r="LP194" s="20" t="s">
        <v>696</v>
      </c>
      <c r="LU194" s="20" t="s">
        <v>696</v>
      </c>
      <c r="LV194" s="20" t="s">
        <v>698</v>
      </c>
      <c r="LW194" s="20" t="s">
        <v>838</v>
      </c>
      <c r="LX194" s="20" t="s">
        <v>838</v>
      </c>
      <c r="SC194" s="20" t="s">
        <v>698</v>
      </c>
      <c r="UO194" s="20" t="s">
        <v>696</v>
      </c>
      <c r="UP194" s="20">
        <v>2014</v>
      </c>
      <c r="UQ194" s="20">
        <v>384</v>
      </c>
      <c r="UR194" s="20" t="s">
        <v>698</v>
      </c>
      <c r="UZ194" s="20" t="s">
        <v>698</v>
      </c>
      <c r="XL194" s="20" t="s">
        <v>1902</v>
      </c>
      <c r="XM194" s="20" t="s">
        <v>1903</v>
      </c>
      <c r="XN194" s="20" t="s">
        <v>1904</v>
      </c>
      <c r="XO194" s="20">
        <v>7139894527</v>
      </c>
      <c r="XQ194" s="24">
        <v>44281</v>
      </c>
      <c r="XU194" s="20" t="s">
        <v>1624</v>
      </c>
      <c r="XV194" s="20">
        <v>9795319036</v>
      </c>
      <c r="XW194" s="20" t="s">
        <v>1626</v>
      </c>
      <c r="XX194" s="20" t="s">
        <v>1627</v>
      </c>
      <c r="XY194" s="20" t="s">
        <v>2107</v>
      </c>
    </row>
    <row r="195" spans="1:649" ht="13">
      <c r="A195" s="20">
        <v>1287</v>
      </c>
      <c r="B195" s="21">
        <v>44277</v>
      </c>
      <c r="C195" s="20">
        <v>2021</v>
      </c>
      <c r="D195" s="20">
        <v>20210089</v>
      </c>
      <c r="E195" s="20">
        <v>35058</v>
      </c>
      <c r="F195" s="20" t="s">
        <v>885</v>
      </c>
      <c r="G195" s="20">
        <v>12470</v>
      </c>
      <c r="H195" s="20" t="s">
        <v>1070</v>
      </c>
      <c r="I195" s="20" t="s">
        <v>692</v>
      </c>
      <c r="J195" s="20" t="s">
        <v>693</v>
      </c>
      <c r="K195" s="20" t="s">
        <v>694</v>
      </c>
      <c r="L195" s="20">
        <v>77002</v>
      </c>
      <c r="M195" s="22">
        <v>44249.354166666664</v>
      </c>
      <c r="P195" s="20">
        <v>34.461767000000002</v>
      </c>
      <c r="Q195" s="20">
        <v>-89.565442000000004</v>
      </c>
      <c r="R195" s="20" t="s">
        <v>697</v>
      </c>
      <c r="W195" s="20">
        <v>15</v>
      </c>
      <c r="Y195" s="20">
        <v>15</v>
      </c>
      <c r="Z195" s="20" t="s">
        <v>698</v>
      </c>
      <c r="AF195" s="20">
        <v>0</v>
      </c>
      <c r="AG195" s="20" t="s">
        <v>698</v>
      </c>
      <c r="AM195" s="20">
        <v>0</v>
      </c>
      <c r="AN195" s="20" t="s">
        <v>699</v>
      </c>
      <c r="AP195" s="20" t="s">
        <v>700</v>
      </c>
      <c r="AQ195" s="23">
        <v>44249.354166666664</v>
      </c>
      <c r="AR195" s="20" t="s">
        <v>701</v>
      </c>
      <c r="AS195" s="20" t="s">
        <v>702</v>
      </c>
      <c r="AU195" s="20" t="s">
        <v>698</v>
      </c>
      <c r="AV195" s="20" t="s">
        <v>2108</v>
      </c>
      <c r="BC195" s="23">
        <v>44249.354166666664</v>
      </c>
      <c r="BE195" s="23">
        <v>44267.561805555553</v>
      </c>
      <c r="BF195" s="20">
        <v>1300179</v>
      </c>
      <c r="BH195" s="20" t="s">
        <v>698</v>
      </c>
      <c r="BM195" s="20" t="s">
        <v>698</v>
      </c>
      <c r="CA195" s="20">
        <v>0</v>
      </c>
      <c r="CB195" s="20" t="s">
        <v>2109</v>
      </c>
      <c r="CC195" s="20" t="s">
        <v>2110</v>
      </c>
      <c r="CD195" s="20" t="s">
        <v>1195</v>
      </c>
      <c r="CE195" s="20">
        <v>38665</v>
      </c>
      <c r="CF195" s="20" t="s">
        <v>2111</v>
      </c>
      <c r="CG195" s="20" t="s">
        <v>2112</v>
      </c>
      <c r="CH195" s="20" t="s">
        <v>1931</v>
      </c>
      <c r="CI195" s="20">
        <v>368</v>
      </c>
      <c r="CJ195" s="20" t="s">
        <v>698</v>
      </c>
      <c r="CK195" s="20" t="s">
        <v>712</v>
      </c>
      <c r="CL195" s="20" t="s">
        <v>713</v>
      </c>
      <c r="CM195" s="20" t="s">
        <v>758</v>
      </c>
      <c r="CP195" s="20" t="s">
        <v>698</v>
      </c>
      <c r="DM195" s="20" t="s">
        <v>743</v>
      </c>
      <c r="DN195" s="20" t="s">
        <v>744</v>
      </c>
      <c r="DO195" s="20" t="s">
        <v>745</v>
      </c>
      <c r="DQ195" s="20">
        <v>12</v>
      </c>
      <c r="DR195" s="20">
        <v>0.28100000000000003</v>
      </c>
      <c r="DS195" s="20">
        <v>52000</v>
      </c>
      <c r="DT195" s="20" t="s">
        <v>1451</v>
      </c>
      <c r="DU195" s="20" t="s">
        <v>747</v>
      </c>
      <c r="DW195" s="20" t="s">
        <v>1631</v>
      </c>
      <c r="DX195" s="20" t="s">
        <v>904</v>
      </c>
      <c r="FK195" s="20">
        <v>1950</v>
      </c>
      <c r="FL195" s="20">
        <v>1950</v>
      </c>
      <c r="FM195" s="20" t="s">
        <v>719</v>
      </c>
      <c r="FO195" s="20" t="s">
        <v>720</v>
      </c>
      <c r="FR195" s="20" t="s">
        <v>749</v>
      </c>
      <c r="FY195" s="20" t="s">
        <v>698</v>
      </c>
      <c r="GC195" s="20" t="s">
        <v>696</v>
      </c>
      <c r="GD195" s="20" t="s">
        <v>698</v>
      </c>
      <c r="GE195" s="20" t="s">
        <v>696</v>
      </c>
      <c r="GH195" s="20" t="s">
        <v>696</v>
      </c>
      <c r="GK195" s="20" t="s">
        <v>698</v>
      </c>
      <c r="GT195" s="20" t="s">
        <v>698</v>
      </c>
      <c r="GU195" s="20" t="s">
        <v>698</v>
      </c>
      <c r="HF195" s="20">
        <v>0</v>
      </c>
      <c r="HG195" s="20">
        <v>960</v>
      </c>
      <c r="HH195" s="20">
        <v>7976</v>
      </c>
      <c r="HI195" s="20">
        <v>9406</v>
      </c>
      <c r="HJ195" s="20">
        <v>63170</v>
      </c>
      <c r="HK195" s="20">
        <v>0</v>
      </c>
      <c r="HM195" s="20">
        <v>81512</v>
      </c>
      <c r="HR195" s="20">
        <v>181</v>
      </c>
      <c r="HS195" s="20">
        <v>956</v>
      </c>
      <c r="HY195" s="20" t="s">
        <v>723</v>
      </c>
      <c r="HZ195" s="20" t="s">
        <v>698</v>
      </c>
      <c r="IS195" s="20" t="s">
        <v>724</v>
      </c>
      <c r="IT195" s="20" t="s">
        <v>696</v>
      </c>
      <c r="IU195" s="20" t="s">
        <v>696</v>
      </c>
      <c r="IV195" s="20" t="s">
        <v>696</v>
      </c>
      <c r="IW195" s="20" t="s">
        <v>698</v>
      </c>
      <c r="IX195" s="20" t="s">
        <v>698</v>
      </c>
      <c r="IY195" s="20" t="s">
        <v>696</v>
      </c>
      <c r="IZ195" s="20" t="s">
        <v>696</v>
      </c>
      <c r="JA195" s="20" t="s">
        <v>696</v>
      </c>
      <c r="JB195" s="20" t="s">
        <v>698</v>
      </c>
      <c r="JC195" s="20" t="s">
        <v>698</v>
      </c>
      <c r="JD195" s="20" t="s">
        <v>725</v>
      </c>
      <c r="JE195" s="20" t="s">
        <v>726</v>
      </c>
      <c r="JR195" s="20" t="s">
        <v>698</v>
      </c>
      <c r="JS195" s="20" t="s">
        <v>698</v>
      </c>
      <c r="JX195" s="20" t="s">
        <v>833</v>
      </c>
      <c r="JY195" s="20" t="s">
        <v>834</v>
      </c>
      <c r="JZ195" s="20" t="s">
        <v>834</v>
      </c>
      <c r="LD195" s="20" t="s">
        <v>835</v>
      </c>
      <c r="LH195" s="20" t="s">
        <v>696</v>
      </c>
      <c r="LL195" s="20" t="s">
        <v>696</v>
      </c>
      <c r="LP195" s="20" t="s">
        <v>696</v>
      </c>
      <c r="LU195" s="20" t="s">
        <v>696</v>
      </c>
      <c r="LV195" s="20" t="s">
        <v>698</v>
      </c>
      <c r="LW195" s="20" t="s">
        <v>838</v>
      </c>
      <c r="LX195" s="20" t="s">
        <v>838</v>
      </c>
      <c r="SC195" s="20" t="s">
        <v>698</v>
      </c>
      <c r="UO195" s="20" t="s">
        <v>696</v>
      </c>
      <c r="UP195" s="20">
        <v>2004</v>
      </c>
      <c r="UQ195" s="20">
        <v>1248</v>
      </c>
      <c r="UR195" s="20" t="s">
        <v>698</v>
      </c>
      <c r="UZ195" s="20" t="s">
        <v>698</v>
      </c>
      <c r="XL195" s="20" t="s">
        <v>1902</v>
      </c>
      <c r="XM195" s="20" t="s">
        <v>1903</v>
      </c>
      <c r="XN195" s="20" t="s">
        <v>1904</v>
      </c>
      <c r="XO195" s="20">
        <v>7139894527</v>
      </c>
      <c r="XQ195" s="24">
        <v>44277</v>
      </c>
      <c r="XU195" s="20" t="s">
        <v>1624</v>
      </c>
      <c r="XV195" s="20">
        <v>9795319036</v>
      </c>
      <c r="XW195" s="20" t="s">
        <v>1626</v>
      </c>
      <c r="XX195" s="20" t="s">
        <v>1627</v>
      </c>
      <c r="XY195" s="20" t="s">
        <v>2113</v>
      </c>
    </row>
    <row r="196" spans="1:649" ht="13">
      <c r="A196" s="20">
        <v>1293</v>
      </c>
      <c r="B196" s="21">
        <v>44274</v>
      </c>
      <c r="C196" s="20">
        <v>2021</v>
      </c>
      <c r="D196" s="20">
        <v>20210081</v>
      </c>
      <c r="E196" s="20">
        <v>35961</v>
      </c>
      <c r="F196" s="20" t="s">
        <v>825</v>
      </c>
      <c r="G196" s="20">
        <v>18718</v>
      </c>
      <c r="H196" s="20" t="s">
        <v>918</v>
      </c>
      <c r="I196" s="20" t="s">
        <v>692</v>
      </c>
      <c r="J196" s="20" t="s">
        <v>693</v>
      </c>
      <c r="K196" s="20" t="s">
        <v>694</v>
      </c>
      <c r="L196" s="20">
        <v>77002</v>
      </c>
      <c r="M196" s="22">
        <v>44247.479166666664</v>
      </c>
      <c r="P196" s="20">
        <v>32.736649999999997</v>
      </c>
      <c r="Q196" s="20">
        <v>-99.820819999999998</v>
      </c>
      <c r="R196" s="20" t="s">
        <v>697</v>
      </c>
      <c r="W196" s="20">
        <v>195</v>
      </c>
      <c r="Y196" s="20">
        <v>195</v>
      </c>
      <c r="Z196" s="20" t="s">
        <v>698</v>
      </c>
      <c r="AF196" s="20">
        <v>0</v>
      </c>
      <c r="AG196" s="20" t="s">
        <v>698</v>
      </c>
      <c r="AM196" s="20">
        <v>0</v>
      </c>
      <c r="AN196" s="20" t="s">
        <v>2114</v>
      </c>
      <c r="AP196" s="20" t="s">
        <v>1013</v>
      </c>
      <c r="AQ196" s="23">
        <v>44247.504861111112</v>
      </c>
      <c r="AR196" s="20" t="s">
        <v>776</v>
      </c>
      <c r="AS196" s="20" t="s">
        <v>702</v>
      </c>
      <c r="AU196" s="20" t="s">
        <v>696</v>
      </c>
      <c r="AW196" s="23">
        <v>44247.504861111112</v>
      </c>
      <c r="AX196" s="23">
        <v>44250.6875</v>
      </c>
      <c r="BC196" s="23">
        <v>44247.504861111112</v>
      </c>
      <c r="BE196" s="23">
        <v>44247.585416666669</v>
      </c>
      <c r="BF196" s="20">
        <v>1298505</v>
      </c>
      <c r="BH196" s="20" t="s">
        <v>698</v>
      </c>
      <c r="BM196" s="20" t="s">
        <v>698</v>
      </c>
      <c r="BQ196" s="20" t="s">
        <v>779</v>
      </c>
      <c r="BU196" s="20" t="s">
        <v>779</v>
      </c>
      <c r="CA196" s="20">
        <v>0</v>
      </c>
      <c r="CB196" s="20" t="s">
        <v>2089</v>
      </c>
      <c r="CC196" s="20" t="s">
        <v>2115</v>
      </c>
      <c r="CD196" s="20" t="s">
        <v>694</v>
      </c>
      <c r="CE196" s="20">
        <v>79501</v>
      </c>
      <c r="CF196" s="20" t="s">
        <v>2116</v>
      </c>
      <c r="CG196" s="20" t="s">
        <v>2117</v>
      </c>
      <c r="CH196" s="20" t="s">
        <v>1931</v>
      </c>
      <c r="CI196" s="20">
        <v>7.17</v>
      </c>
      <c r="CJ196" s="20" t="s">
        <v>698</v>
      </c>
      <c r="CK196" s="20" t="s">
        <v>785</v>
      </c>
      <c r="CL196" s="20" t="s">
        <v>741</v>
      </c>
      <c r="CM196" s="20" t="s">
        <v>742</v>
      </c>
      <c r="CO196" s="20">
        <v>36</v>
      </c>
      <c r="CP196" s="20" t="s">
        <v>698</v>
      </c>
      <c r="DM196" s="20" t="s">
        <v>715</v>
      </c>
      <c r="DN196" s="20" t="s">
        <v>744</v>
      </c>
      <c r="DO196" s="20" t="s">
        <v>745</v>
      </c>
      <c r="DQ196" s="20">
        <v>10.75</v>
      </c>
      <c r="DR196" s="20">
        <v>0.36499999999999999</v>
      </c>
      <c r="DS196" s="20">
        <v>30000</v>
      </c>
      <c r="DT196" s="20" t="s">
        <v>1726</v>
      </c>
      <c r="DU196" s="20" t="s">
        <v>1048</v>
      </c>
      <c r="DW196" s="20" t="s">
        <v>2092</v>
      </c>
      <c r="DX196" s="20" t="s">
        <v>805</v>
      </c>
      <c r="FK196" s="20">
        <v>1927</v>
      </c>
      <c r="FL196" s="20">
        <v>1927</v>
      </c>
      <c r="FM196" s="20" t="s">
        <v>719</v>
      </c>
      <c r="FO196" s="20" t="s">
        <v>720</v>
      </c>
      <c r="FR196" s="20" t="s">
        <v>823</v>
      </c>
      <c r="FY196" s="20" t="s">
        <v>698</v>
      </c>
      <c r="GC196" s="20" t="s">
        <v>696</v>
      </c>
      <c r="GD196" s="20" t="s">
        <v>698</v>
      </c>
      <c r="GE196" s="20" t="s">
        <v>696</v>
      </c>
      <c r="GH196" s="20" t="s">
        <v>696</v>
      </c>
      <c r="GK196" s="20" t="s">
        <v>698</v>
      </c>
      <c r="GT196" s="20" t="s">
        <v>696</v>
      </c>
      <c r="GU196" s="20" t="s">
        <v>698</v>
      </c>
      <c r="HF196" s="20">
        <v>0</v>
      </c>
      <c r="HG196" s="20">
        <v>11310</v>
      </c>
      <c r="HH196" s="20">
        <v>16000</v>
      </c>
      <c r="HI196" s="20">
        <v>5000</v>
      </c>
      <c r="HJ196" s="20">
        <v>178000</v>
      </c>
      <c r="HK196" s="20">
        <v>0</v>
      </c>
      <c r="HM196" s="20">
        <v>210310</v>
      </c>
      <c r="HR196" s="20">
        <v>23</v>
      </c>
      <c r="HS196" s="20">
        <v>360</v>
      </c>
      <c r="HY196" s="20" t="s">
        <v>723</v>
      </c>
      <c r="HZ196" s="20" t="s">
        <v>698</v>
      </c>
      <c r="IC196" s="20">
        <v>54912</v>
      </c>
      <c r="ID196" s="20" t="s">
        <v>696</v>
      </c>
      <c r="IL196" s="20" t="s">
        <v>698</v>
      </c>
      <c r="IS196" s="20" t="s">
        <v>724</v>
      </c>
      <c r="IT196" s="20" t="s">
        <v>696</v>
      </c>
      <c r="IU196" s="20" t="s">
        <v>696</v>
      </c>
      <c r="IV196" s="20" t="s">
        <v>696</v>
      </c>
      <c r="IW196" s="20" t="s">
        <v>698</v>
      </c>
      <c r="IX196" s="20" t="s">
        <v>698</v>
      </c>
      <c r="IY196" s="20" t="s">
        <v>696</v>
      </c>
      <c r="IZ196" s="20" t="s">
        <v>696</v>
      </c>
      <c r="JA196" s="20" t="s">
        <v>696</v>
      </c>
      <c r="JB196" s="20" t="s">
        <v>698</v>
      </c>
      <c r="JC196" s="20" t="s">
        <v>698</v>
      </c>
      <c r="JD196" s="20" t="s">
        <v>725</v>
      </c>
      <c r="JE196" s="20" t="s">
        <v>726</v>
      </c>
      <c r="JR196" s="20" t="s">
        <v>698</v>
      </c>
      <c r="JS196" s="20" t="s">
        <v>698</v>
      </c>
      <c r="JX196" s="20" t="s">
        <v>929</v>
      </c>
      <c r="JY196" s="20" t="s">
        <v>2118</v>
      </c>
      <c r="PC196" s="20" t="s">
        <v>696</v>
      </c>
      <c r="PG196" s="20" t="s">
        <v>2118</v>
      </c>
      <c r="PL196" s="20" t="s">
        <v>696</v>
      </c>
      <c r="PM196" s="20" t="s">
        <v>2119</v>
      </c>
      <c r="QA196" s="20" t="s">
        <v>696</v>
      </c>
      <c r="SC196" s="20" t="s">
        <v>696</v>
      </c>
      <c r="SD196" s="20" t="s">
        <v>696</v>
      </c>
      <c r="SG196" s="20" t="s">
        <v>696</v>
      </c>
      <c r="SK196" s="20">
        <v>2019</v>
      </c>
      <c r="TQ196" s="20">
        <v>2019</v>
      </c>
      <c r="UO196" s="20" t="s">
        <v>696</v>
      </c>
      <c r="UP196" s="20">
        <v>1976</v>
      </c>
      <c r="UQ196" s="20">
        <v>481</v>
      </c>
      <c r="UR196" s="20" t="s">
        <v>698</v>
      </c>
      <c r="UZ196" s="20" t="s">
        <v>698</v>
      </c>
      <c r="XL196" s="20" t="s">
        <v>1902</v>
      </c>
      <c r="XM196" s="20" t="s">
        <v>1903</v>
      </c>
      <c r="XN196" s="20" t="s">
        <v>1904</v>
      </c>
      <c r="XO196" s="20">
        <v>7139894527</v>
      </c>
      <c r="XQ196" s="24">
        <v>44504</v>
      </c>
      <c r="XU196" s="20" t="s">
        <v>730</v>
      </c>
      <c r="XV196" s="20" t="s">
        <v>733</v>
      </c>
      <c r="XW196" s="20" t="s">
        <v>1360</v>
      </c>
      <c r="XX196" s="20" t="s">
        <v>732</v>
      </c>
      <c r="XY196" s="20" t="s">
        <v>2120</v>
      </c>
    </row>
    <row r="197" spans="1:649" ht="13">
      <c r="A197" s="20">
        <v>1313</v>
      </c>
      <c r="B197" s="21">
        <v>44266</v>
      </c>
      <c r="C197" s="20">
        <v>2021</v>
      </c>
      <c r="D197" s="20">
        <v>20210061</v>
      </c>
      <c r="E197" s="20">
        <v>36068</v>
      </c>
      <c r="F197" s="20" t="s">
        <v>825</v>
      </c>
      <c r="G197" s="20">
        <v>18718</v>
      </c>
      <c r="H197" s="20" t="s">
        <v>918</v>
      </c>
      <c r="I197" s="20" t="s">
        <v>692</v>
      </c>
      <c r="J197" s="20" t="s">
        <v>693</v>
      </c>
      <c r="K197" s="20" t="s">
        <v>694</v>
      </c>
      <c r="L197" s="20">
        <v>77002</v>
      </c>
      <c r="M197" s="22">
        <v>44242.347222222219</v>
      </c>
      <c r="P197" s="20">
        <v>32.437489999999997</v>
      </c>
      <c r="Q197" s="20">
        <v>-100.44141</v>
      </c>
      <c r="R197" s="20" t="s">
        <v>844</v>
      </c>
      <c r="S197" s="20" t="s">
        <v>845</v>
      </c>
      <c r="W197" s="20">
        <v>2608</v>
      </c>
      <c r="Y197" s="20">
        <v>2608</v>
      </c>
      <c r="Z197" s="20" t="s">
        <v>698</v>
      </c>
      <c r="AF197" s="20">
        <v>0</v>
      </c>
      <c r="AG197" s="20" t="s">
        <v>698</v>
      </c>
      <c r="AM197" s="20">
        <v>0</v>
      </c>
      <c r="AN197" s="20" t="s">
        <v>775</v>
      </c>
      <c r="AQ197" s="23">
        <v>44242.347222222219</v>
      </c>
      <c r="AR197" s="20" t="s">
        <v>907</v>
      </c>
      <c r="AS197" s="20" t="s">
        <v>702</v>
      </c>
      <c r="AU197" s="20" t="s">
        <v>698</v>
      </c>
      <c r="AV197" s="20" t="s">
        <v>2121</v>
      </c>
      <c r="BC197" s="23">
        <v>44242.406944444447</v>
      </c>
      <c r="BE197" s="23">
        <v>44242.480555555558</v>
      </c>
      <c r="BF197" s="20">
        <v>1298034</v>
      </c>
      <c r="BH197" s="20" t="s">
        <v>698</v>
      </c>
      <c r="BM197" s="20" t="s">
        <v>698</v>
      </c>
      <c r="CA197" s="20">
        <v>0</v>
      </c>
      <c r="CB197" s="20" t="s">
        <v>2122</v>
      </c>
      <c r="CC197" s="20" t="s">
        <v>2123</v>
      </c>
      <c r="CD197" s="20" t="s">
        <v>694</v>
      </c>
      <c r="CE197" s="20">
        <v>79556</v>
      </c>
      <c r="CF197" s="20" t="s">
        <v>2124</v>
      </c>
      <c r="CG197" s="20" t="s">
        <v>2125</v>
      </c>
      <c r="CH197" s="20" t="s">
        <v>1931</v>
      </c>
      <c r="CI197" s="20">
        <v>98</v>
      </c>
      <c r="CJ197" s="20" t="s">
        <v>698</v>
      </c>
      <c r="CK197" s="20" t="s">
        <v>891</v>
      </c>
      <c r="CL197" s="20" t="s">
        <v>910</v>
      </c>
      <c r="CP197" s="20" t="s">
        <v>698</v>
      </c>
      <c r="DM197" s="20" t="s">
        <v>715</v>
      </c>
      <c r="DN197" s="20" t="s">
        <v>911</v>
      </c>
      <c r="EW197" s="20" t="s">
        <v>2126</v>
      </c>
      <c r="EY197" s="20" t="s">
        <v>913</v>
      </c>
      <c r="FK197" s="20">
        <v>2019</v>
      </c>
      <c r="FM197" s="20" t="s">
        <v>719</v>
      </c>
      <c r="FO197" s="20" t="s">
        <v>893</v>
      </c>
      <c r="FY197" s="20" t="s">
        <v>698</v>
      </c>
      <c r="GC197" s="20" t="s">
        <v>696</v>
      </c>
      <c r="GD197" s="20" t="s">
        <v>698</v>
      </c>
      <c r="GE197" s="20" t="s">
        <v>696</v>
      </c>
      <c r="GH197" s="20" t="s">
        <v>696</v>
      </c>
      <c r="GK197" s="20" t="s">
        <v>698</v>
      </c>
      <c r="GT197" s="20" t="s">
        <v>696</v>
      </c>
      <c r="GU197" s="20" t="s">
        <v>696</v>
      </c>
      <c r="HB197" s="20" t="s">
        <v>696</v>
      </c>
      <c r="HC197" s="20" t="s">
        <v>696</v>
      </c>
      <c r="HF197" s="20">
        <v>30000</v>
      </c>
      <c r="HG197" s="20">
        <v>190593</v>
      </c>
      <c r="HH197" s="20">
        <v>0</v>
      </c>
      <c r="HI197" s="20">
        <v>100000</v>
      </c>
      <c r="HJ197" s="20">
        <v>475000</v>
      </c>
      <c r="HK197" s="20">
        <v>0</v>
      </c>
      <c r="HM197" s="20">
        <v>795593</v>
      </c>
      <c r="HR197" s="20">
        <v>189</v>
      </c>
      <c r="HS197" s="20">
        <v>540</v>
      </c>
      <c r="HY197" s="20" t="s">
        <v>723</v>
      </c>
      <c r="HZ197" s="20" t="s">
        <v>698</v>
      </c>
      <c r="IS197" s="20" t="s">
        <v>724</v>
      </c>
      <c r="IT197" s="20" t="s">
        <v>696</v>
      </c>
      <c r="IU197" s="20" t="s">
        <v>696</v>
      </c>
      <c r="IV197" s="20" t="s">
        <v>696</v>
      </c>
      <c r="IW197" s="20" t="s">
        <v>698</v>
      </c>
      <c r="IX197" s="20" t="s">
        <v>698</v>
      </c>
      <c r="IY197" s="20" t="s">
        <v>696</v>
      </c>
      <c r="IZ197" s="20" t="s">
        <v>696</v>
      </c>
      <c r="JA197" s="20" t="s">
        <v>696</v>
      </c>
      <c r="JB197" s="20" t="s">
        <v>698</v>
      </c>
      <c r="JC197" s="20" t="s">
        <v>698</v>
      </c>
      <c r="JD197" s="20" t="s">
        <v>725</v>
      </c>
      <c r="JE197" s="20" t="s">
        <v>726</v>
      </c>
      <c r="JR197" s="20" t="s">
        <v>698</v>
      </c>
      <c r="JS197" s="20" t="s">
        <v>698</v>
      </c>
      <c r="JX197" s="20" t="s">
        <v>789</v>
      </c>
      <c r="JY197" s="20" t="s">
        <v>790</v>
      </c>
      <c r="QB197" s="20" t="s">
        <v>790</v>
      </c>
      <c r="QI197" s="20" t="s">
        <v>696</v>
      </c>
      <c r="QJ197" s="20" t="s">
        <v>696</v>
      </c>
      <c r="QZ197" s="20" t="s">
        <v>696</v>
      </c>
      <c r="XL197" s="20" t="s">
        <v>1712</v>
      </c>
      <c r="XM197" s="20" t="s">
        <v>1713</v>
      </c>
      <c r="XN197" s="20" t="s">
        <v>1714</v>
      </c>
      <c r="XO197" s="20" t="s">
        <v>1715</v>
      </c>
      <c r="XQ197" s="24">
        <v>44532</v>
      </c>
      <c r="XU197" s="20" t="s">
        <v>730</v>
      </c>
      <c r="XV197" s="20">
        <v>7139897126</v>
      </c>
      <c r="XW197" s="20" t="s">
        <v>1360</v>
      </c>
      <c r="XX197" s="20" t="s">
        <v>732</v>
      </c>
      <c r="XY197" s="20" t="s">
        <v>2127</v>
      </c>
    </row>
    <row r="198" spans="1:649" ht="13">
      <c r="A198" s="20">
        <v>1321</v>
      </c>
      <c r="B198" s="21">
        <v>44264</v>
      </c>
      <c r="C198" s="20">
        <v>2021</v>
      </c>
      <c r="D198" s="20">
        <v>20210057</v>
      </c>
      <c r="E198" s="20">
        <v>35181</v>
      </c>
      <c r="F198" s="20" t="s">
        <v>825</v>
      </c>
      <c r="G198" s="20">
        <v>18718</v>
      </c>
      <c r="H198" s="20" t="s">
        <v>918</v>
      </c>
      <c r="I198" s="20" t="s">
        <v>692</v>
      </c>
      <c r="J198" s="20" t="s">
        <v>693</v>
      </c>
      <c r="K198" s="20" t="s">
        <v>694</v>
      </c>
      <c r="L198" s="20">
        <v>77002</v>
      </c>
      <c r="M198" s="22">
        <v>44235.776388888888</v>
      </c>
      <c r="P198" s="20">
        <v>40.318820000000002</v>
      </c>
      <c r="Q198" s="20">
        <v>-76.037589999999994</v>
      </c>
      <c r="R198" s="20" t="s">
        <v>773</v>
      </c>
      <c r="S198" s="20" t="s">
        <v>1700</v>
      </c>
      <c r="T198" s="20" t="s">
        <v>1981</v>
      </c>
      <c r="W198" s="20">
        <v>1.19</v>
      </c>
      <c r="X198" s="20">
        <v>2.14</v>
      </c>
      <c r="Y198" s="20">
        <v>0</v>
      </c>
      <c r="Z198" s="20" t="s">
        <v>698</v>
      </c>
      <c r="AF198" s="20">
        <v>0</v>
      </c>
      <c r="AG198" s="20" t="s">
        <v>698</v>
      </c>
      <c r="AM198" s="20">
        <v>0</v>
      </c>
      <c r="AN198" s="20" t="s">
        <v>2050</v>
      </c>
      <c r="AQ198" s="23">
        <v>44235.776388888888</v>
      </c>
      <c r="AR198" s="20" t="s">
        <v>701</v>
      </c>
      <c r="AS198" s="20" t="s">
        <v>702</v>
      </c>
      <c r="AU198" s="20" t="s">
        <v>698</v>
      </c>
      <c r="AV198" s="20" t="s">
        <v>2128</v>
      </c>
      <c r="BC198" s="23">
        <v>44235.864583333336</v>
      </c>
      <c r="BF198" s="20" t="s">
        <v>754</v>
      </c>
      <c r="BH198" s="20" t="s">
        <v>698</v>
      </c>
      <c r="BM198" s="20" t="s">
        <v>698</v>
      </c>
      <c r="CA198" s="20">
        <v>0</v>
      </c>
      <c r="CB198" s="20" t="s">
        <v>2129</v>
      </c>
      <c r="CC198" s="20" t="s">
        <v>2130</v>
      </c>
      <c r="CD198" s="20" t="s">
        <v>921</v>
      </c>
      <c r="CE198" s="20">
        <v>19608</v>
      </c>
      <c r="CF198" s="20" t="s">
        <v>2131</v>
      </c>
      <c r="CG198" s="20" t="s">
        <v>1030</v>
      </c>
      <c r="CH198" s="20" t="s">
        <v>1931</v>
      </c>
      <c r="CI198" s="20">
        <v>0.38</v>
      </c>
      <c r="CJ198" s="20" t="s">
        <v>698</v>
      </c>
      <c r="CK198" s="20" t="s">
        <v>712</v>
      </c>
      <c r="CL198" s="20" t="s">
        <v>713</v>
      </c>
      <c r="CM198" s="20" t="s">
        <v>758</v>
      </c>
      <c r="CP198" s="20" t="s">
        <v>698</v>
      </c>
      <c r="DM198" s="20" t="s">
        <v>743</v>
      </c>
      <c r="DN198" s="20" t="s">
        <v>766</v>
      </c>
      <c r="FJ198" s="20" t="s">
        <v>2132</v>
      </c>
      <c r="FK198" s="20">
        <v>2019</v>
      </c>
      <c r="FM198" s="20" t="s">
        <v>962</v>
      </c>
      <c r="FN198" s="20" t="s">
        <v>2048</v>
      </c>
      <c r="FO198" s="20" t="s">
        <v>720</v>
      </c>
      <c r="FR198" s="20" t="s">
        <v>721</v>
      </c>
      <c r="FY198" s="20" t="s">
        <v>698</v>
      </c>
      <c r="GC198" s="20" t="s">
        <v>698</v>
      </c>
      <c r="GD198" s="20" t="s">
        <v>698</v>
      </c>
      <c r="GE198" s="20" t="s">
        <v>698</v>
      </c>
      <c r="GK198" s="20" t="s">
        <v>698</v>
      </c>
      <c r="GT198" s="20" t="s">
        <v>696</v>
      </c>
      <c r="GU198" s="20" t="s">
        <v>696</v>
      </c>
      <c r="GX198" s="20" t="s">
        <v>696</v>
      </c>
      <c r="GY198" s="20" t="s">
        <v>696</v>
      </c>
      <c r="HB198" s="20" t="s">
        <v>696</v>
      </c>
      <c r="HC198" s="20" t="s">
        <v>696</v>
      </c>
      <c r="HF198" s="20">
        <v>0</v>
      </c>
      <c r="HG198" s="20">
        <v>50</v>
      </c>
      <c r="HH198" s="20">
        <v>100</v>
      </c>
      <c r="HI198" s="20">
        <v>1900</v>
      </c>
      <c r="HJ198" s="20">
        <v>0</v>
      </c>
      <c r="HK198" s="20">
        <v>0</v>
      </c>
      <c r="HM198" s="20">
        <v>2050</v>
      </c>
      <c r="HR198" s="20">
        <v>79</v>
      </c>
      <c r="HS198" s="20">
        <v>1480</v>
      </c>
      <c r="HY198" s="20" t="s">
        <v>723</v>
      </c>
      <c r="HZ198" s="20" t="s">
        <v>698</v>
      </c>
      <c r="IS198" s="20" t="s">
        <v>724</v>
      </c>
      <c r="IT198" s="20" t="s">
        <v>696</v>
      </c>
      <c r="IU198" s="20" t="s">
        <v>696</v>
      </c>
      <c r="IV198" s="20" t="s">
        <v>696</v>
      </c>
      <c r="IW198" s="20" t="s">
        <v>696</v>
      </c>
      <c r="IX198" s="20" t="s">
        <v>698</v>
      </c>
      <c r="IY198" s="20" t="s">
        <v>696</v>
      </c>
      <c r="IZ198" s="20" t="s">
        <v>696</v>
      </c>
      <c r="JA198" s="20" t="s">
        <v>696</v>
      </c>
      <c r="JB198" s="20" t="s">
        <v>698</v>
      </c>
      <c r="JC198" s="20" t="s">
        <v>698</v>
      </c>
      <c r="JD198" s="20" t="s">
        <v>725</v>
      </c>
      <c r="JE198" s="20" t="s">
        <v>2133</v>
      </c>
      <c r="JR198" s="20" t="s">
        <v>698</v>
      </c>
      <c r="JS198" s="20" t="s">
        <v>698</v>
      </c>
      <c r="JX198" s="20" t="s">
        <v>789</v>
      </c>
      <c r="JY198" s="20" t="s">
        <v>914</v>
      </c>
      <c r="QB198" s="20" t="s">
        <v>914</v>
      </c>
      <c r="QS198" s="20" t="s">
        <v>1659</v>
      </c>
      <c r="RI198" s="20" t="s">
        <v>696</v>
      </c>
      <c r="XL198" s="20" t="s">
        <v>2134</v>
      </c>
      <c r="XM198" s="20" t="s">
        <v>2135</v>
      </c>
      <c r="XN198" s="20" t="s">
        <v>1904</v>
      </c>
      <c r="XO198" s="20" t="s">
        <v>1905</v>
      </c>
      <c r="XQ198" s="24">
        <v>44302</v>
      </c>
      <c r="XU198" s="20" t="s">
        <v>730</v>
      </c>
      <c r="XV198" s="20" t="s">
        <v>733</v>
      </c>
      <c r="XW198" s="20" t="s">
        <v>1360</v>
      </c>
      <c r="XX198" s="20" t="s">
        <v>732</v>
      </c>
      <c r="XY198" s="20" t="s">
        <v>2136</v>
      </c>
    </row>
    <row r="199" spans="1:649" ht="13">
      <c r="A199" s="20">
        <v>1330</v>
      </c>
      <c r="B199" s="21">
        <v>44252</v>
      </c>
      <c r="C199" s="20">
        <v>2021</v>
      </c>
      <c r="D199" s="20">
        <v>20210045</v>
      </c>
      <c r="E199" s="20">
        <v>34911</v>
      </c>
      <c r="F199" s="20" t="s">
        <v>885</v>
      </c>
      <c r="G199" s="20">
        <v>18718</v>
      </c>
      <c r="H199" s="20" t="s">
        <v>918</v>
      </c>
      <c r="I199" s="20" t="s">
        <v>692</v>
      </c>
      <c r="J199" s="20" t="s">
        <v>693</v>
      </c>
      <c r="K199" s="20" t="s">
        <v>694</v>
      </c>
      <c r="L199" s="20">
        <v>77002</v>
      </c>
      <c r="M199" s="22">
        <v>44225.36041666667</v>
      </c>
      <c r="P199" s="20">
        <v>31.919713000000002</v>
      </c>
      <c r="Q199" s="20">
        <v>-101.314013</v>
      </c>
      <c r="R199" s="20" t="s">
        <v>697</v>
      </c>
      <c r="W199" s="20">
        <v>0.59</v>
      </c>
      <c r="Y199" s="20">
        <v>0.59</v>
      </c>
      <c r="Z199" s="20" t="s">
        <v>698</v>
      </c>
      <c r="AF199" s="20">
        <v>0</v>
      </c>
      <c r="AG199" s="20" t="s">
        <v>698</v>
      </c>
      <c r="AM199" s="20">
        <v>0</v>
      </c>
      <c r="AN199" s="20" t="s">
        <v>699</v>
      </c>
      <c r="AP199" s="20" t="s">
        <v>700</v>
      </c>
      <c r="AQ199" s="23">
        <v>44225.375</v>
      </c>
      <c r="AR199" s="20" t="s">
        <v>701</v>
      </c>
      <c r="AS199" s="20" t="s">
        <v>702</v>
      </c>
      <c r="AU199" s="20" t="s">
        <v>696</v>
      </c>
      <c r="AW199" s="23">
        <v>44225.36041666667</v>
      </c>
      <c r="AX199" s="23">
        <v>44225.697916666664</v>
      </c>
      <c r="BC199" s="23">
        <v>44225.375</v>
      </c>
      <c r="BF199" s="20" t="s">
        <v>754</v>
      </c>
      <c r="BH199" s="20" t="s">
        <v>698</v>
      </c>
      <c r="BM199" s="20" t="s">
        <v>698</v>
      </c>
      <c r="CA199" s="20">
        <v>0</v>
      </c>
      <c r="CB199" s="20" t="s">
        <v>1145</v>
      </c>
      <c r="CC199" s="20" t="s">
        <v>2137</v>
      </c>
      <c r="CD199" s="20" t="s">
        <v>694</v>
      </c>
      <c r="CE199" s="20">
        <v>79739</v>
      </c>
      <c r="CF199" s="20" t="s">
        <v>2138</v>
      </c>
      <c r="CG199" s="20" t="s">
        <v>2139</v>
      </c>
      <c r="CH199" s="20" t="s">
        <v>710</v>
      </c>
      <c r="CI199" s="20" t="s">
        <v>2140</v>
      </c>
      <c r="CJ199" s="20" t="s">
        <v>698</v>
      </c>
      <c r="CK199" s="20" t="s">
        <v>712</v>
      </c>
      <c r="CL199" s="20" t="s">
        <v>713</v>
      </c>
      <c r="CM199" s="20" t="s">
        <v>758</v>
      </c>
      <c r="CP199" s="20" t="s">
        <v>698</v>
      </c>
      <c r="DM199" s="20" t="s">
        <v>743</v>
      </c>
      <c r="DN199" s="20" t="s">
        <v>892</v>
      </c>
      <c r="FK199" s="20">
        <v>1926</v>
      </c>
      <c r="FM199" s="20" t="s">
        <v>719</v>
      </c>
      <c r="FO199" s="20" t="s">
        <v>893</v>
      </c>
      <c r="FY199" s="20" t="s">
        <v>698</v>
      </c>
      <c r="GC199" s="20" t="s">
        <v>696</v>
      </c>
      <c r="GD199" s="20" t="s">
        <v>698</v>
      </c>
      <c r="GE199" s="20" t="s">
        <v>696</v>
      </c>
      <c r="GH199" s="20" t="s">
        <v>696</v>
      </c>
      <c r="GK199" s="20" t="s">
        <v>698</v>
      </c>
      <c r="GT199" s="20" t="s">
        <v>698</v>
      </c>
      <c r="GU199" s="20" t="s">
        <v>698</v>
      </c>
      <c r="HF199" s="20">
        <v>0</v>
      </c>
      <c r="HG199" s="20">
        <v>25</v>
      </c>
      <c r="HH199" s="20">
        <v>0</v>
      </c>
      <c r="HI199" s="20">
        <v>0</v>
      </c>
      <c r="HJ199" s="20">
        <v>500</v>
      </c>
      <c r="HK199" s="20">
        <v>0</v>
      </c>
      <c r="HM199" s="20">
        <v>525</v>
      </c>
      <c r="HR199" s="20">
        <v>963</v>
      </c>
      <c r="HS199" s="20">
        <v>900</v>
      </c>
      <c r="HY199" s="20" t="s">
        <v>1214</v>
      </c>
      <c r="HZ199" s="20" t="s">
        <v>698</v>
      </c>
      <c r="IS199" s="20" t="s">
        <v>724</v>
      </c>
      <c r="IT199" s="20" t="s">
        <v>696</v>
      </c>
      <c r="IU199" s="20" t="s">
        <v>696</v>
      </c>
      <c r="IV199" s="20" t="s">
        <v>696</v>
      </c>
      <c r="IW199" s="20" t="s">
        <v>698</v>
      </c>
      <c r="IX199" s="20" t="s">
        <v>698</v>
      </c>
      <c r="IY199" s="20" t="s">
        <v>696</v>
      </c>
      <c r="IZ199" s="20" t="s">
        <v>696</v>
      </c>
      <c r="JA199" s="20" t="s">
        <v>696</v>
      </c>
      <c r="JB199" s="20" t="s">
        <v>698</v>
      </c>
      <c r="JC199" s="20" t="s">
        <v>698</v>
      </c>
      <c r="JD199" s="20" t="s">
        <v>725</v>
      </c>
      <c r="JE199" s="20" t="s">
        <v>726</v>
      </c>
      <c r="JR199" s="20" t="s">
        <v>698</v>
      </c>
      <c r="JS199" s="20" t="s">
        <v>698</v>
      </c>
      <c r="JX199" s="20" t="s">
        <v>894</v>
      </c>
      <c r="JY199" s="20" t="s">
        <v>895</v>
      </c>
      <c r="RM199" s="20" t="s">
        <v>895</v>
      </c>
      <c r="RN199" s="20" t="s">
        <v>2014</v>
      </c>
      <c r="RS199" s="20" t="s">
        <v>696</v>
      </c>
      <c r="RV199" s="20" t="s">
        <v>1590</v>
      </c>
      <c r="RW199" s="20" t="s">
        <v>696</v>
      </c>
      <c r="RX199" s="20" t="s">
        <v>898</v>
      </c>
      <c r="XL199" s="20" t="s">
        <v>730</v>
      </c>
      <c r="XM199" s="20" t="s">
        <v>1360</v>
      </c>
      <c r="XN199" s="20" t="s">
        <v>732</v>
      </c>
      <c r="XO199" s="20">
        <v>7139897126</v>
      </c>
      <c r="XQ199" s="24">
        <v>44252</v>
      </c>
      <c r="XU199" s="20" t="s">
        <v>730</v>
      </c>
      <c r="XV199" s="20">
        <v>7139897126</v>
      </c>
      <c r="XW199" s="20" t="s">
        <v>1360</v>
      </c>
      <c r="XX199" s="20" t="s">
        <v>732</v>
      </c>
      <c r="XY199" s="20" t="s">
        <v>2141</v>
      </c>
    </row>
    <row r="200" spans="1:649" ht="13">
      <c r="A200" s="20">
        <v>1336</v>
      </c>
      <c r="B200" s="21">
        <v>44251</v>
      </c>
      <c r="C200" s="20">
        <v>2021</v>
      </c>
      <c r="D200" s="20">
        <v>20210040</v>
      </c>
      <c r="E200" s="20">
        <v>34901</v>
      </c>
      <c r="F200" s="20" t="s">
        <v>885</v>
      </c>
      <c r="G200" s="20">
        <v>18718</v>
      </c>
      <c r="H200" s="20" t="s">
        <v>918</v>
      </c>
      <c r="I200" s="20" t="s">
        <v>692</v>
      </c>
      <c r="J200" s="20" t="s">
        <v>693</v>
      </c>
      <c r="K200" s="20" t="s">
        <v>694</v>
      </c>
      <c r="L200" s="20">
        <v>77002</v>
      </c>
      <c r="M200" s="22">
        <v>44221.416666666664</v>
      </c>
      <c r="P200" s="20">
        <v>32.482300000000002</v>
      </c>
      <c r="Q200" s="20">
        <v>-94.830079999999995</v>
      </c>
      <c r="R200" s="20" t="s">
        <v>697</v>
      </c>
      <c r="W200" s="20">
        <v>1</v>
      </c>
      <c r="Y200" s="20">
        <v>1</v>
      </c>
      <c r="Z200" s="20" t="s">
        <v>698</v>
      </c>
      <c r="AF200" s="20">
        <v>0</v>
      </c>
      <c r="AG200" s="20" t="s">
        <v>698</v>
      </c>
      <c r="AM200" s="20">
        <v>0</v>
      </c>
      <c r="AN200" s="20" t="s">
        <v>699</v>
      </c>
      <c r="AP200" s="20" t="s">
        <v>700</v>
      </c>
      <c r="AQ200" s="23">
        <v>44221.416666666664</v>
      </c>
      <c r="AR200" s="20" t="s">
        <v>701</v>
      </c>
      <c r="AS200" s="20" t="s">
        <v>702</v>
      </c>
      <c r="AU200" s="20" t="s">
        <v>698</v>
      </c>
      <c r="AV200" s="20" t="s">
        <v>2142</v>
      </c>
      <c r="BC200" s="23">
        <v>44221.416666666664</v>
      </c>
      <c r="BF200" s="20" t="s">
        <v>754</v>
      </c>
      <c r="BH200" s="20" t="s">
        <v>698</v>
      </c>
      <c r="BM200" s="20" t="s">
        <v>698</v>
      </c>
      <c r="CA200" s="20">
        <v>0</v>
      </c>
      <c r="CB200" s="20" t="s">
        <v>2143</v>
      </c>
      <c r="CC200" s="20" t="s">
        <v>2144</v>
      </c>
      <c r="CD200" s="20" t="s">
        <v>694</v>
      </c>
      <c r="CE200" s="20">
        <v>75604</v>
      </c>
      <c r="CF200" s="20" t="s">
        <v>1122</v>
      </c>
      <c r="CG200" s="20" t="s">
        <v>1123</v>
      </c>
      <c r="CH200" s="20" t="s">
        <v>710</v>
      </c>
      <c r="CI200" s="20" t="s">
        <v>711</v>
      </c>
      <c r="CJ200" s="20" t="s">
        <v>698</v>
      </c>
      <c r="CK200" s="20" t="s">
        <v>712</v>
      </c>
      <c r="CL200" s="20" t="s">
        <v>713</v>
      </c>
      <c r="CM200" s="20" t="s">
        <v>758</v>
      </c>
      <c r="CP200" s="20" t="s">
        <v>698</v>
      </c>
      <c r="DM200" s="20" t="s">
        <v>743</v>
      </c>
      <c r="DN200" s="20" t="s">
        <v>892</v>
      </c>
      <c r="FK200" s="20">
        <v>1931</v>
      </c>
      <c r="FM200" s="20" t="s">
        <v>719</v>
      </c>
      <c r="FO200" s="20" t="s">
        <v>893</v>
      </c>
      <c r="FY200" s="20" t="s">
        <v>698</v>
      </c>
      <c r="GC200" s="20" t="s">
        <v>696</v>
      </c>
      <c r="GD200" s="20" t="s">
        <v>698</v>
      </c>
      <c r="GE200" s="20" t="s">
        <v>696</v>
      </c>
      <c r="GH200" s="20" t="s">
        <v>696</v>
      </c>
      <c r="GK200" s="20" t="s">
        <v>698</v>
      </c>
      <c r="GT200" s="20" t="s">
        <v>696</v>
      </c>
      <c r="GU200" s="20" t="s">
        <v>698</v>
      </c>
      <c r="HF200" s="20">
        <v>0</v>
      </c>
      <c r="HG200" s="20">
        <v>53</v>
      </c>
      <c r="HH200" s="20">
        <v>0</v>
      </c>
      <c r="HI200" s="20">
        <v>0</v>
      </c>
      <c r="HJ200" s="20">
        <v>11075</v>
      </c>
      <c r="HK200" s="20">
        <v>0</v>
      </c>
      <c r="HM200" s="20">
        <v>11128</v>
      </c>
      <c r="HR200" s="20">
        <v>160</v>
      </c>
      <c r="HS200" s="20">
        <v>618</v>
      </c>
      <c r="HY200" s="20" t="s">
        <v>723</v>
      </c>
      <c r="HZ200" s="20" t="s">
        <v>698</v>
      </c>
      <c r="IS200" s="20" t="s">
        <v>724</v>
      </c>
      <c r="IT200" s="20" t="s">
        <v>696</v>
      </c>
      <c r="IU200" s="20" t="s">
        <v>696</v>
      </c>
      <c r="IV200" s="20" t="s">
        <v>696</v>
      </c>
      <c r="IW200" s="20" t="s">
        <v>698</v>
      </c>
      <c r="IX200" s="20" t="s">
        <v>698</v>
      </c>
      <c r="IY200" s="20" t="s">
        <v>696</v>
      </c>
      <c r="IZ200" s="20" t="s">
        <v>696</v>
      </c>
      <c r="JA200" s="20" t="s">
        <v>696</v>
      </c>
      <c r="JB200" s="20" t="s">
        <v>698</v>
      </c>
      <c r="JC200" s="20" t="s">
        <v>698</v>
      </c>
      <c r="JD200" s="20" t="s">
        <v>725</v>
      </c>
      <c r="JE200" s="20" t="s">
        <v>726</v>
      </c>
      <c r="JR200" s="20" t="s">
        <v>698</v>
      </c>
      <c r="JS200" s="20" t="s">
        <v>698</v>
      </c>
      <c r="JX200" s="20" t="s">
        <v>789</v>
      </c>
      <c r="JY200" s="20" t="s">
        <v>790</v>
      </c>
      <c r="QB200" s="20" t="s">
        <v>790</v>
      </c>
      <c r="QF200" s="20" t="s">
        <v>696</v>
      </c>
      <c r="RG200" s="20" t="s">
        <v>696</v>
      </c>
      <c r="RK200" s="20" t="s">
        <v>696</v>
      </c>
      <c r="RL200" s="20" t="s">
        <v>2145</v>
      </c>
      <c r="XL200" s="20" t="s">
        <v>730</v>
      </c>
      <c r="XM200" s="20" t="s">
        <v>1360</v>
      </c>
      <c r="XN200" s="20" t="s">
        <v>732</v>
      </c>
      <c r="XO200" s="20">
        <v>7139897126</v>
      </c>
      <c r="XQ200" s="24">
        <v>44251</v>
      </c>
      <c r="XU200" s="20" t="s">
        <v>730</v>
      </c>
      <c r="XV200" s="20">
        <v>7139897126</v>
      </c>
      <c r="XW200" s="20" t="s">
        <v>1360</v>
      </c>
      <c r="XX200" s="20" t="s">
        <v>732</v>
      </c>
      <c r="XY200" s="20" t="s">
        <v>2146</v>
      </c>
    </row>
    <row r="201" spans="1:649" ht="13">
      <c r="A201" s="20">
        <v>1351</v>
      </c>
      <c r="B201" s="21">
        <v>44229</v>
      </c>
      <c r="C201" s="20">
        <v>2021</v>
      </c>
      <c r="D201" s="20">
        <v>20210022</v>
      </c>
      <c r="E201" s="20">
        <v>34791</v>
      </c>
      <c r="F201" s="20" t="s">
        <v>885</v>
      </c>
      <c r="G201" s="20">
        <v>18718</v>
      </c>
      <c r="H201" s="20" t="s">
        <v>918</v>
      </c>
      <c r="I201" s="20" t="s">
        <v>692</v>
      </c>
      <c r="J201" s="20" t="s">
        <v>693</v>
      </c>
      <c r="K201" s="20" t="s">
        <v>694</v>
      </c>
      <c r="L201" s="20">
        <v>77002</v>
      </c>
      <c r="M201" s="22">
        <v>44202.59375</v>
      </c>
      <c r="P201" s="20">
        <v>32.072150000000001</v>
      </c>
      <c r="Q201" s="20">
        <v>-96.470687999999996</v>
      </c>
      <c r="R201" s="20" t="s">
        <v>697</v>
      </c>
      <c r="W201" s="20">
        <v>0.5</v>
      </c>
      <c r="Y201" s="20">
        <v>0.5</v>
      </c>
      <c r="Z201" s="20" t="s">
        <v>698</v>
      </c>
      <c r="AF201" s="20">
        <v>0</v>
      </c>
      <c r="AG201" s="20" t="s">
        <v>698</v>
      </c>
      <c r="AM201" s="20">
        <v>0</v>
      </c>
      <c r="AN201" s="20" t="s">
        <v>699</v>
      </c>
      <c r="AP201" s="20" t="s">
        <v>700</v>
      </c>
      <c r="AQ201" s="23">
        <v>44202.59375</v>
      </c>
      <c r="AR201" s="20" t="s">
        <v>736</v>
      </c>
      <c r="AS201" s="20" t="s">
        <v>702</v>
      </c>
      <c r="AU201" s="20" t="s">
        <v>698</v>
      </c>
      <c r="AV201" s="20" t="s">
        <v>2069</v>
      </c>
      <c r="BC201" s="23">
        <v>44202.59375</v>
      </c>
      <c r="BF201" s="20" t="s">
        <v>754</v>
      </c>
      <c r="BH201" s="20" t="s">
        <v>698</v>
      </c>
      <c r="BM201" s="20" t="s">
        <v>698</v>
      </c>
      <c r="CA201" s="20">
        <v>0</v>
      </c>
      <c r="CB201" s="20" t="s">
        <v>1420</v>
      </c>
      <c r="CC201" s="20" t="s">
        <v>2147</v>
      </c>
      <c r="CD201" s="20" t="s">
        <v>694</v>
      </c>
      <c r="CE201" s="20">
        <v>75110</v>
      </c>
      <c r="CF201" s="20" t="s">
        <v>1296</v>
      </c>
      <c r="CG201" s="20" t="s">
        <v>1283</v>
      </c>
      <c r="CH201" s="20" t="s">
        <v>1931</v>
      </c>
      <c r="CI201" s="20">
        <v>0</v>
      </c>
      <c r="CJ201" s="20" t="s">
        <v>698</v>
      </c>
      <c r="CK201" s="20" t="s">
        <v>712</v>
      </c>
      <c r="CL201" s="20" t="s">
        <v>741</v>
      </c>
      <c r="CM201" s="20" t="s">
        <v>742</v>
      </c>
      <c r="CO201" s="20">
        <v>100</v>
      </c>
      <c r="CP201" s="20" t="s">
        <v>698</v>
      </c>
      <c r="DM201" s="20" t="s">
        <v>743</v>
      </c>
      <c r="DN201" s="20" t="s">
        <v>744</v>
      </c>
      <c r="DO201" s="20" t="s">
        <v>745</v>
      </c>
      <c r="DQ201" s="20">
        <v>26</v>
      </c>
      <c r="DR201" s="20">
        <v>0.28000000000000003</v>
      </c>
      <c r="DS201" s="20">
        <v>42000</v>
      </c>
      <c r="DT201" s="20" t="s">
        <v>985</v>
      </c>
      <c r="DU201" s="20" t="s">
        <v>857</v>
      </c>
      <c r="DW201" s="20" t="s">
        <v>728</v>
      </c>
      <c r="DX201" s="20" t="s">
        <v>805</v>
      </c>
      <c r="FK201" s="20">
        <v>1953</v>
      </c>
      <c r="FL201" s="20">
        <v>1953</v>
      </c>
      <c r="FM201" s="20" t="s">
        <v>719</v>
      </c>
      <c r="FO201" s="20" t="s">
        <v>720</v>
      </c>
      <c r="FR201" s="20" t="s">
        <v>749</v>
      </c>
      <c r="FY201" s="20" t="s">
        <v>698</v>
      </c>
      <c r="GC201" s="20" t="s">
        <v>696</v>
      </c>
      <c r="GD201" s="20" t="s">
        <v>698</v>
      </c>
      <c r="GE201" s="20" t="s">
        <v>696</v>
      </c>
      <c r="GH201" s="20" t="s">
        <v>696</v>
      </c>
      <c r="GK201" s="20" t="s">
        <v>698</v>
      </c>
      <c r="GT201" s="20" t="s">
        <v>696</v>
      </c>
      <c r="GU201" s="20" t="s">
        <v>696</v>
      </c>
      <c r="GZ201" s="20" t="s">
        <v>696</v>
      </c>
      <c r="HA201" s="20" t="s">
        <v>696</v>
      </c>
      <c r="HF201" s="20">
        <v>0</v>
      </c>
      <c r="HG201" s="20">
        <v>10</v>
      </c>
      <c r="HH201" s="20">
        <v>1000</v>
      </c>
      <c r="HI201" s="20">
        <v>17000</v>
      </c>
      <c r="HJ201" s="20">
        <v>3000</v>
      </c>
      <c r="HK201" s="20">
        <v>0</v>
      </c>
      <c r="HM201" s="20">
        <v>21010</v>
      </c>
      <c r="HR201" s="20">
        <v>20</v>
      </c>
      <c r="HS201" s="20">
        <v>285</v>
      </c>
      <c r="HY201" s="20" t="s">
        <v>723</v>
      </c>
      <c r="HZ201" s="20" t="s">
        <v>698</v>
      </c>
      <c r="IS201" s="20" t="s">
        <v>724</v>
      </c>
      <c r="IT201" s="20" t="s">
        <v>696</v>
      </c>
      <c r="IU201" s="20" t="s">
        <v>696</v>
      </c>
      <c r="IV201" s="20" t="s">
        <v>696</v>
      </c>
      <c r="IW201" s="20" t="s">
        <v>698</v>
      </c>
      <c r="IX201" s="20" t="s">
        <v>698</v>
      </c>
      <c r="IY201" s="20" t="s">
        <v>696</v>
      </c>
      <c r="IZ201" s="20" t="s">
        <v>696</v>
      </c>
      <c r="JA201" s="20" t="s">
        <v>696</v>
      </c>
      <c r="JB201" s="20" t="s">
        <v>698</v>
      </c>
      <c r="JC201" s="20" t="s">
        <v>698</v>
      </c>
      <c r="JD201" s="20" t="s">
        <v>725</v>
      </c>
      <c r="JE201" s="20" t="s">
        <v>726</v>
      </c>
      <c r="JR201" s="20" t="s">
        <v>698</v>
      </c>
      <c r="JS201" s="20" t="s">
        <v>698</v>
      </c>
      <c r="JX201" s="20" t="s">
        <v>833</v>
      </c>
      <c r="JY201" s="20" t="s">
        <v>834</v>
      </c>
      <c r="JZ201" s="20" t="s">
        <v>834</v>
      </c>
      <c r="LD201" s="20" t="s">
        <v>835</v>
      </c>
      <c r="LG201" s="20" t="s">
        <v>696</v>
      </c>
      <c r="LH201" s="20" t="s">
        <v>696</v>
      </c>
      <c r="LL201" s="20" t="s">
        <v>696</v>
      </c>
      <c r="LP201" s="20" t="s">
        <v>696</v>
      </c>
      <c r="LU201" s="20" t="s">
        <v>696</v>
      </c>
      <c r="LV201" s="20" t="s">
        <v>698</v>
      </c>
      <c r="LW201" s="20" t="s">
        <v>838</v>
      </c>
      <c r="LX201" s="20" t="s">
        <v>838</v>
      </c>
      <c r="SC201" s="20" t="s">
        <v>698</v>
      </c>
      <c r="UO201" s="20" t="s">
        <v>696</v>
      </c>
      <c r="UP201" s="20">
        <v>2014</v>
      </c>
      <c r="UQ201" s="20">
        <v>450</v>
      </c>
      <c r="UR201" s="20" t="s">
        <v>698</v>
      </c>
      <c r="UZ201" s="20" t="s">
        <v>698</v>
      </c>
      <c r="XL201" s="20" t="s">
        <v>1902</v>
      </c>
      <c r="XM201" s="20" t="s">
        <v>1903</v>
      </c>
      <c r="XN201" s="20" t="s">
        <v>1904</v>
      </c>
      <c r="XO201" s="20" t="s">
        <v>1905</v>
      </c>
      <c r="XQ201" s="24">
        <v>44229</v>
      </c>
      <c r="XU201" s="20" t="s">
        <v>1624</v>
      </c>
      <c r="XV201" s="20" t="s">
        <v>1625</v>
      </c>
      <c r="XW201" s="20" t="s">
        <v>1626</v>
      </c>
      <c r="XX201" s="20" t="s">
        <v>1627</v>
      </c>
      <c r="XY201" s="20" t="s">
        <v>2148</v>
      </c>
    </row>
    <row r="202" spans="1:649" ht="13">
      <c r="A202" s="20">
        <v>1356</v>
      </c>
      <c r="B202" s="21">
        <v>44222</v>
      </c>
      <c r="C202" s="20">
        <v>2020</v>
      </c>
      <c r="D202" s="20">
        <v>20210016</v>
      </c>
      <c r="E202" s="20">
        <v>34771</v>
      </c>
      <c r="F202" s="20" t="s">
        <v>825</v>
      </c>
      <c r="G202" s="20">
        <v>12470</v>
      </c>
      <c r="H202" s="20" t="s">
        <v>1070</v>
      </c>
      <c r="I202" s="20" t="s">
        <v>692</v>
      </c>
      <c r="J202" s="20" t="s">
        <v>693</v>
      </c>
      <c r="K202" s="20" t="s">
        <v>694</v>
      </c>
      <c r="L202" s="20">
        <v>77002</v>
      </c>
      <c r="M202" s="22">
        <v>44193.583333333336</v>
      </c>
      <c r="P202" s="20">
        <v>41.806559999999998</v>
      </c>
      <c r="Q202" s="20">
        <v>-83.601280000000003</v>
      </c>
      <c r="R202" s="20" t="s">
        <v>697</v>
      </c>
      <c r="W202" s="20">
        <v>3</v>
      </c>
      <c r="Y202" s="20">
        <v>3</v>
      </c>
      <c r="Z202" s="20" t="s">
        <v>698</v>
      </c>
      <c r="AF202" s="20">
        <v>0</v>
      </c>
      <c r="AG202" s="20" t="s">
        <v>698</v>
      </c>
      <c r="AM202" s="20">
        <v>0</v>
      </c>
      <c r="AN202" s="20" t="s">
        <v>699</v>
      </c>
      <c r="AP202" s="20" t="s">
        <v>700</v>
      </c>
      <c r="AQ202" s="23">
        <v>44193.583333333336</v>
      </c>
      <c r="AR202" s="20" t="s">
        <v>736</v>
      </c>
      <c r="AS202" s="20" t="s">
        <v>702</v>
      </c>
      <c r="AU202" s="20" t="s">
        <v>696</v>
      </c>
      <c r="AW202" s="23">
        <v>44193.583333333336</v>
      </c>
      <c r="AX202" s="23">
        <v>44194.833333333336</v>
      </c>
      <c r="BC202" s="23">
        <v>44193.583333333336</v>
      </c>
      <c r="BF202" s="20" t="s">
        <v>754</v>
      </c>
      <c r="BH202" s="20" t="s">
        <v>698</v>
      </c>
      <c r="BM202" s="20" t="s">
        <v>698</v>
      </c>
      <c r="CA202" s="20">
        <v>0</v>
      </c>
      <c r="CB202" s="20" t="s">
        <v>2149</v>
      </c>
      <c r="CC202" s="20" t="s">
        <v>2150</v>
      </c>
      <c r="CD202" s="20" t="s">
        <v>976</v>
      </c>
      <c r="CE202" s="20">
        <v>48182</v>
      </c>
      <c r="CF202" s="20" t="s">
        <v>1520</v>
      </c>
      <c r="CG202" s="20" t="s">
        <v>1986</v>
      </c>
      <c r="CH202" s="20" t="s">
        <v>1931</v>
      </c>
      <c r="CI202" s="20">
        <v>1114.3</v>
      </c>
      <c r="CJ202" s="20" t="s">
        <v>698</v>
      </c>
      <c r="CK202" s="20" t="s">
        <v>712</v>
      </c>
      <c r="CL202" s="20" t="s">
        <v>713</v>
      </c>
      <c r="CM202" s="20" t="s">
        <v>758</v>
      </c>
      <c r="CP202" s="20" t="s">
        <v>698</v>
      </c>
      <c r="DM202" s="20" t="s">
        <v>743</v>
      </c>
      <c r="DN202" s="20" t="s">
        <v>1141</v>
      </c>
      <c r="EA202" s="20" t="s">
        <v>1609</v>
      </c>
      <c r="FK202" s="20">
        <v>1969</v>
      </c>
      <c r="FM202" s="20" t="s">
        <v>719</v>
      </c>
      <c r="FO202" s="20" t="s">
        <v>720</v>
      </c>
      <c r="FR202" s="20" t="s">
        <v>749</v>
      </c>
      <c r="FY202" s="20" t="s">
        <v>698</v>
      </c>
      <c r="GC202" s="20" t="s">
        <v>696</v>
      </c>
      <c r="GD202" s="20" t="s">
        <v>698</v>
      </c>
      <c r="GE202" s="20" t="s">
        <v>696</v>
      </c>
      <c r="GH202" s="20" t="s">
        <v>696</v>
      </c>
      <c r="GK202" s="20" t="s">
        <v>698</v>
      </c>
      <c r="GT202" s="20" t="s">
        <v>698</v>
      </c>
      <c r="GU202" s="20" t="s">
        <v>698</v>
      </c>
      <c r="HF202" s="20">
        <v>0</v>
      </c>
      <c r="HG202" s="20">
        <v>150</v>
      </c>
      <c r="HH202" s="20">
        <v>4315</v>
      </c>
      <c r="HI202" s="20">
        <v>34317</v>
      </c>
      <c r="HJ202" s="20">
        <v>10000</v>
      </c>
      <c r="HK202" s="20">
        <v>0</v>
      </c>
      <c r="HM202" s="20">
        <v>48782</v>
      </c>
      <c r="HR202" s="20">
        <v>61</v>
      </c>
      <c r="HS202" s="20">
        <v>207</v>
      </c>
      <c r="HY202" s="20" t="s">
        <v>723</v>
      </c>
      <c r="HZ202" s="20" t="s">
        <v>698</v>
      </c>
      <c r="IS202" s="20" t="s">
        <v>724</v>
      </c>
      <c r="IT202" s="20" t="s">
        <v>696</v>
      </c>
      <c r="IU202" s="20" t="s">
        <v>696</v>
      </c>
      <c r="IV202" s="20" t="s">
        <v>696</v>
      </c>
      <c r="IW202" s="20" t="s">
        <v>698</v>
      </c>
      <c r="IX202" s="20" t="s">
        <v>698</v>
      </c>
      <c r="IY202" s="20" t="s">
        <v>696</v>
      </c>
      <c r="IZ202" s="20" t="s">
        <v>696</v>
      </c>
      <c r="JA202" s="20" t="s">
        <v>696</v>
      </c>
      <c r="JB202" s="20" t="s">
        <v>698</v>
      </c>
      <c r="JC202" s="20" t="s">
        <v>698</v>
      </c>
      <c r="JD202" s="20" t="s">
        <v>725</v>
      </c>
      <c r="JE202" s="20" t="s">
        <v>726</v>
      </c>
      <c r="JR202" s="20" t="s">
        <v>698</v>
      </c>
      <c r="JS202" s="20" t="s">
        <v>698</v>
      </c>
      <c r="JX202" s="20" t="s">
        <v>833</v>
      </c>
      <c r="JY202" s="20" t="s">
        <v>834</v>
      </c>
      <c r="JZ202" s="20" t="s">
        <v>834</v>
      </c>
      <c r="LD202" s="20" t="s">
        <v>905</v>
      </c>
      <c r="LG202" s="20" t="s">
        <v>696</v>
      </c>
      <c r="LH202" s="20" t="s">
        <v>696</v>
      </c>
      <c r="LL202" s="20" t="s">
        <v>696</v>
      </c>
      <c r="LP202" s="20" t="s">
        <v>696</v>
      </c>
      <c r="LU202" s="20" t="s">
        <v>696</v>
      </c>
      <c r="LV202" s="20" t="s">
        <v>698</v>
      </c>
      <c r="LW202" s="20" t="s">
        <v>838</v>
      </c>
      <c r="LX202" s="20" t="s">
        <v>838</v>
      </c>
      <c r="SC202" s="20" t="s">
        <v>698</v>
      </c>
      <c r="UO202" s="20" t="s">
        <v>696</v>
      </c>
      <c r="UP202" s="20">
        <v>1969</v>
      </c>
      <c r="UQ202" s="20">
        <v>880</v>
      </c>
      <c r="UR202" s="20" t="s">
        <v>698</v>
      </c>
      <c r="UZ202" s="20" t="s">
        <v>698</v>
      </c>
      <c r="XL202" s="20" t="s">
        <v>1902</v>
      </c>
      <c r="XM202" s="20" t="s">
        <v>1903</v>
      </c>
      <c r="XN202" s="20" t="s">
        <v>1904</v>
      </c>
      <c r="XO202" s="20" t="s">
        <v>1905</v>
      </c>
      <c r="XQ202" s="24">
        <v>44223</v>
      </c>
      <c r="XU202" s="20" t="s">
        <v>1624</v>
      </c>
      <c r="XV202" s="20" t="s">
        <v>1625</v>
      </c>
      <c r="XW202" s="20" t="s">
        <v>1626</v>
      </c>
      <c r="XX202" s="20" t="s">
        <v>1627</v>
      </c>
      <c r="XY202" s="20" t="s">
        <v>2151</v>
      </c>
    </row>
    <row r="203" spans="1:649" ht="13">
      <c r="A203" s="20">
        <v>1361</v>
      </c>
      <c r="B203" s="21">
        <v>44215</v>
      </c>
      <c r="C203" s="20">
        <v>2020</v>
      </c>
      <c r="D203" s="20">
        <v>20210011</v>
      </c>
      <c r="E203" s="20">
        <v>34736</v>
      </c>
      <c r="F203" s="20" t="s">
        <v>885</v>
      </c>
      <c r="G203" s="20">
        <v>18718</v>
      </c>
      <c r="H203" s="20" t="s">
        <v>918</v>
      </c>
      <c r="I203" s="20" t="s">
        <v>692</v>
      </c>
      <c r="J203" s="20" t="s">
        <v>693</v>
      </c>
      <c r="K203" s="20" t="s">
        <v>694</v>
      </c>
      <c r="L203" s="20">
        <v>77002</v>
      </c>
      <c r="M203" s="22">
        <v>44190.654166666667</v>
      </c>
      <c r="P203" s="20">
        <v>32.068928</v>
      </c>
      <c r="Q203" s="20">
        <v>-96.468046000000001</v>
      </c>
      <c r="R203" s="20" t="s">
        <v>697</v>
      </c>
      <c r="W203" s="20">
        <v>60</v>
      </c>
      <c r="Y203" s="20">
        <v>60</v>
      </c>
      <c r="Z203" s="20" t="s">
        <v>698</v>
      </c>
      <c r="AF203" s="20">
        <v>0</v>
      </c>
      <c r="AG203" s="20" t="s">
        <v>698</v>
      </c>
      <c r="AM203" s="20">
        <v>0</v>
      </c>
      <c r="AN203" s="20" t="s">
        <v>699</v>
      </c>
      <c r="AP203" s="20" t="s">
        <v>700</v>
      </c>
      <c r="AQ203" s="23">
        <v>44190.654166666667</v>
      </c>
      <c r="AR203" s="20" t="s">
        <v>736</v>
      </c>
      <c r="AS203" s="20" t="s">
        <v>702</v>
      </c>
      <c r="AU203" s="20" t="s">
        <v>698</v>
      </c>
      <c r="AV203" s="20" t="s">
        <v>2152</v>
      </c>
      <c r="BC203" s="23">
        <v>44190.654166666667</v>
      </c>
      <c r="BE203" s="23">
        <v>44190.718055555553</v>
      </c>
      <c r="BF203" s="20">
        <v>1294986</v>
      </c>
      <c r="BH203" s="20" t="s">
        <v>698</v>
      </c>
      <c r="BM203" s="20" t="s">
        <v>698</v>
      </c>
      <c r="CA203" s="20">
        <v>0</v>
      </c>
      <c r="CB203" s="20" t="s">
        <v>1420</v>
      </c>
      <c r="CC203" s="20" t="s">
        <v>2153</v>
      </c>
      <c r="CD203" s="20" t="s">
        <v>694</v>
      </c>
      <c r="CE203" s="20">
        <v>75110</v>
      </c>
      <c r="CF203" s="20" t="s">
        <v>1296</v>
      </c>
      <c r="CG203" s="20" t="s">
        <v>1283</v>
      </c>
      <c r="CH203" s="20" t="s">
        <v>1931</v>
      </c>
      <c r="CI203" s="20">
        <v>0</v>
      </c>
      <c r="CJ203" s="20" t="s">
        <v>698</v>
      </c>
      <c r="CK203" s="20" t="s">
        <v>712</v>
      </c>
      <c r="CL203" s="20" t="s">
        <v>713</v>
      </c>
      <c r="CM203" s="20" t="s">
        <v>758</v>
      </c>
      <c r="CP203" s="20" t="s">
        <v>698</v>
      </c>
      <c r="DM203" s="20" t="s">
        <v>743</v>
      </c>
      <c r="DN203" s="20" t="s">
        <v>744</v>
      </c>
      <c r="DO203" s="20" t="s">
        <v>745</v>
      </c>
      <c r="DQ203" s="20">
        <v>30</v>
      </c>
      <c r="DR203" s="20">
        <v>0.375</v>
      </c>
      <c r="DS203" s="20">
        <v>61641</v>
      </c>
      <c r="DT203" s="20" t="s">
        <v>1451</v>
      </c>
      <c r="DU203" s="20" t="s">
        <v>747</v>
      </c>
      <c r="DW203" s="20" t="s">
        <v>2154</v>
      </c>
      <c r="DX203" s="20" t="s">
        <v>748</v>
      </c>
      <c r="FK203" s="20">
        <v>2014</v>
      </c>
      <c r="FL203" s="20">
        <v>2014</v>
      </c>
      <c r="FM203" s="20" t="s">
        <v>719</v>
      </c>
      <c r="FO203" s="20" t="s">
        <v>720</v>
      </c>
      <c r="FR203" s="20" t="s">
        <v>749</v>
      </c>
      <c r="FY203" s="20" t="s">
        <v>698</v>
      </c>
      <c r="GC203" s="20" t="s">
        <v>696</v>
      </c>
      <c r="GD203" s="20" t="s">
        <v>698</v>
      </c>
      <c r="GE203" s="20" t="s">
        <v>696</v>
      </c>
      <c r="GH203" s="20" t="s">
        <v>696</v>
      </c>
      <c r="GK203" s="20" t="s">
        <v>698</v>
      </c>
      <c r="GT203" s="20" t="s">
        <v>696</v>
      </c>
      <c r="GU203" s="20" t="s">
        <v>696</v>
      </c>
      <c r="GZ203" s="20" t="s">
        <v>696</v>
      </c>
      <c r="HA203" s="20" t="s">
        <v>696</v>
      </c>
      <c r="HF203" s="20">
        <v>0</v>
      </c>
      <c r="HG203" s="20">
        <v>1000</v>
      </c>
      <c r="HH203" s="20">
        <v>32000</v>
      </c>
      <c r="HI203" s="20">
        <v>10000</v>
      </c>
      <c r="HJ203" s="20">
        <v>9000</v>
      </c>
      <c r="HK203" s="20">
        <v>0</v>
      </c>
      <c r="HM203" s="20">
        <v>52000</v>
      </c>
      <c r="HR203" s="20">
        <v>169</v>
      </c>
      <c r="HS203" s="20">
        <v>285</v>
      </c>
      <c r="HY203" s="20" t="s">
        <v>723</v>
      </c>
      <c r="HZ203" s="20" t="s">
        <v>698</v>
      </c>
      <c r="IS203" s="20" t="s">
        <v>724</v>
      </c>
      <c r="IT203" s="20" t="s">
        <v>696</v>
      </c>
      <c r="IU203" s="20" t="s">
        <v>696</v>
      </c>
      <c r="IV203" s="20" t="s">
        <v>696</v>
      </c>
      <c r="IW203" s="20" t="s">
        <v>698</v>
      </c>
      <c r="IX203" s="20" t="s">
        <v>698</v>
      </c>
      <c r="IY203" s="20" t="s">
        <v>696</v>
      </c>
      <c r="IZ203" s="20" t="s">
        <v>696</v>
      </c>
      <c r="JA203" s="20" t="s">
        <v>696</v>
      </c>
      <c r="JB203" s="20" t="s">
        <v>698</v>
      </c>
      <c r="JC203" s="20" t="s">
        <v>698</v>
      </c>
      <c r="JD203" s="20" t="s">
        <v>725</v>
      </c>
      <c r="JE203" s="20" t="s">
        <v>726</v>
      </c>
      <c r="JR203" s="20" t="s">
        <v>698</v>
      </c>
      <c r="JS203" s="20" t="s">
        <v>698</v>
      </c>
      <c r="JX203" s="20" t="s">
        <v>833</v>
      </c>
      <c r="JY203" s="20" t="s">
        <v>834</v>
      </c>
      <c r="JZ203" s="20" t="s">
        <v>834</v>
      </c>
      <c r="LD203" s="20" t="s">
        <v>835</v>
      </c>
      <c r="LG203" s="20" t="s">
        <v>696</v>
      </c>
      <c r="LH203" s="20" t="s">
        <v>696</v>
      </c>
      <c r="LL203" s="20" t="s">
        <v>696</v>
      </c>
      <c r="LP203" s="20" t="s">
        <v>696</v>
      </c>
      <c r="LU203" s="20" t="s">
        <v>696</v>
      </c>
      <c r="LV203" s="20" t="s">
        <v>698</v>
      </c>
      <c r="LW203" s="20" t="s">
        <v>838</v>
      </c>
      <c r="LX203" s="20" t="s">
        <v>838</v>
      </c>
      <c r="SC203" s="20" t="s">
        <v>698</v>
      </c>
      <c r="UO203" s="20" t="s">
        <v>696</v>
      </c>
      <c r="UP203" s="20">
        <v>2014</v>
      </c>
      <c r="UQ203" s="20">
        <v>450</v>
      </c>
      <c r="UR203" s="20" t="s">
        <v>698</v>
      </c>
      <c r="UZ203" s="20" t="s">
        <v>698</v>
      </c>
      <c r="XL203" s="20" t="s">
        <v>1902</v>
      </c>
      <c r="XM203" s="20" t="s">
        <v>1903</v>
      </c>
      <c r="XN203" s="20" t="s">
        <v>1904</v>
      </c>
      <c r="XO203" s="20" t="s">
        <v>1905</v>
      </c>
      <c r="XQ203" s="24">
        <v>44215</v>
      </c>
      <c r="XU203" s="20" t="s">
        <v>1624</v>
      </c>
      <c r="XV203" s="20" t="s">
        <v>1625</v>
      </c>
      <c r="XW203" s="20" t="s">
        <v>1626</v>
      </c>
      <c r="XX203" s="20" t="s">
        <v>1627</v>
      </c>
      <c r="XY203" s="20" t="s">
        <v>2155</v>
      </c>
    </row>
    <row r="204" spans="1:649" ht="13">
      <c r="A204" s="20">
        <v>1366</v>
      </c>
      <c r="B204" s="21">
        <v>44207</v>
      </c>
      <c r="C204" s="20">
        <v>2020</v>
      </c>
      <c r="D204" s="20">
        <v>20210008</v>
      </c>
      <c r="E204" s="20">
        <v>34959</v>
      </c>
      <c r="F204" s="20" t="s">
        <v>825</v>
      </c>
      <c r="G204" s="20">
        <v>32099</v>
      </c>
      <c r="H204" s="20" t="s">
        <v>752</v>
      </c>
      <c r="I204" s="20" t="s">
        <v>692</v>
      </c>
      <c r="J204" s="20" t="s">
        <v>693</v>
      </c>
      <c r="K204" s="20" t="s">
        <v>694</v>
      </c>
      <c r="L204" s="20">
        <v>77002</v>
      </c>
      <c r="M204" s="22">
        <v>44180.541666666664</v>
      </c>
      <c r="P204" s="20">
        <v>29.84732</v>
      </c>
      <c r="Q204" s="20">
        <v>-94.926100000000005</v>
      </c>
      <c r="R204" s="20" t="s">
        <v>773</v>
      </c>
      <c r="S204" s="20" t="s">
        <v>1700</v>
      </c>
      <c r="T204" s="20" t="s">
        <v>1865</v>
      </c>
      <c r="W204" s="20">
        <v>12</v>
      </c>
      <c r="X204" s="20">
        <v>1200</v>
      </c>
      <c r="Y204" s="20">
        <v>0</v>
      </c>
      <c r="Z204" s="20" t="s">
        <v>698</v>
      </c>
      <c r="AF204" s="20">
        <v>0</v>
      </c>
      <c r="AG204" s="20" t="s">
        <v>698</v>
      </c>
      <c r="AM204" s="20">
        <v>0</v>
      </c>
      <c r="AN204" s="20" t="s">
        <v>699</v>
      </c>
      <c r="AP204" s="20" t="s">
        <v>700</v>
      </c>
      <c r="AQ204" s="23">
        <v>44180.541666666664</v>
      </c>
      <c r="AR204" s="20" t="s">
        <v>736</v>
      </c>
      <c r="AS204" s="20" t="s">
        <v>702</v>
      </c>
      <c r="AU204" s="20" t="s">
        <v>696</v>
      </c>
      <c r="AW204" s="23">
        <v>44180.541666666664</v>
      </c>
      <c r="AX204" s="23">
        <v>44182.9375</v>
      </c>
      <c r="BC204" s="23">
        <v>44180.541666666664</v>
      </c>
      <c r="BF204" s="20" t="s">
        <v>754</v>
      </c>
      <c r="BH204" s="20" t="s">
        <v>698</v>
      </c>
      <c r="BM204" s="20" t="s">
        <v>698</v>
      </c>
      <c r="CA204" s="20">
        <v>0</v>
      </c>
      <c r="CB204" s="20" t="s">
        <v>2156</v>
      </c>
      <c r="CC204" s="20" t="s">
        <v>2157</v>
      </c>
      <c r="CD204" s="20" t="s">
        <v>694</v>
      </c>
      <c r="CE204" s="20">
        <v>77520</v>
      </c>
      <c r="CF204" s="20" t="s">
        <v>2158</v>
      </c>
      <c r="CG204" s="20" t="s">
        <v>2159</v>
      </c>
      <c r="CH204" s="20" t="s">
        <v>1931</v>
      </c>
      <c r="CI204" s="20">
        <v>0</v>
      </c>
      <c r="CJ204" s="20" t="s">
        <v>698</v>
      </c>
      <c r="CK204" s="20" t="s">
        <v>712</v>
      </c>
      <c r="CL204" s="20" t="s">
        <v>713</v>
      </c>
      <c r="CM204" s="20" t="s">
        <v>758</v>
      </c>
      <c r="CP204" s="20" t="s">
        <v>698</v>
      </c>
      <c r="DM204" s="20" t="s">
        <v>715</v>
      </c>
      <c r="DN204" s="20" t="s">
        <v>822</v>
      </c>
      <c r="FK204" s="20">
        <v>2016</v>
      </c>
      <c r="FM204" s="20" t="s">
        <v>719</v>
      </c>
      <c r="FO204" s="20" t="s">
        <v>720</v>
      </c>
      <c r="FR204" s="20" t="s">
        <v>768</v>
      </c>
      <c r="FY204" s="20" t="s">
        <v>698</v>
      </c>
      <c r="GC204" s="20" t="s">
        <v>698</v>
      </c>
      <c r="GD204" s="20" t="s">
        <v>698</v>
      </c>
      <c r="GE204" s="20" t="s">
        <v>698</v>
      </c>
      <c r="GK204" s="20" t="s">
        <v>698</v>
      </c>
      <c r="GT204" s="20" t="s">
        <v>696</v>
      </c>
      <c r="GU204" s="20" t="s">
        <v>698</v>
      </c>
      <c r="HF204" s="20">
        <v>0</v>
      </c>
      <c r="HG204" s="20">
        <v>325</v>
      </c>
      <c r="HH204" s="20">
        <v>13400</v>
      </c>
      <c r="HI204" s="20">
        <v>32375</v>
      </c>
      <c r="HJ204" s="20">
        <v>0</v>
      </c>
      <c r="HK204" s="20">
        <v>0</v>
      </c>
      <c r="HM204" s="20">
        <v>46100</v>
      </c>
      <c r="HR204" s="20">
        <v>950</v>
      </c>
      <c r="HS204" s="20">
        <v>1440</v>
      </c>
      <c r="HY204" s="20" t="s">
        <v>723</v>
      </c>
      <c r="HZ204" s="20" t="s">
        <v>698</v>
      </c>
      <c r="IS204" s="20" t="s">
        <v>724</v>
      </c>
      <c r="IT204" s="20" t="s">
        <v>696</v>
      </c>
      <c r="IU204" s="20" t="s">
        <v>696</v>
      </c>
      <c r="IV204" s="20" t="s">
        <v>696</v>
      </c>
      <c r="IW204" s="20" t="s">
        <v>698</v>
      </c>
      <c r="IX204" s="20" t="s">
        <v>698</v>
      </c>
      <c r="IY204" s="20" t="s">
        <v>696</v>
      </c>
      <c r="IZ204" s="20" t="s">
        <v>696</v>
      </c>
      <c r="JA204" s="20" t="s">
        <v>696</v>
      </c>
      <c r="JB204" s="20" t="s">
        <v>698</v>
      </c>
      <c r="JC204" s="20" t="s">
        <v>698</v>
      </c>
      <c r="JD204" s="20" t="s">
        <v>725</v>
      </c>
      <c r="JE204" s="20" t="s">
        <v>726</v>
      </c>
      <c r="JR204" s="20" t="s">
        <v>698</v>
      </c>
      <c r="JS204" s="20" t="s">
        <v>698</v>
      </c>
      <c r="JX204" s="20" t="s">
        <v>789</v>
      </c>
      <c r="JY204" s="20" t="s">
        <v>953</v>
      </c>
      <c r="QB204" s="20" t="s">
        <v>953</v>
      </c>
      <c r="QQ204" s="20" t="s">
        <v>1847</v>
      </c>
      <c r="QV204" s="20" t="s">
        <v>696</v>
      </c>
      <c r="XL204" s="20" t="s">
        <v>1902</v>
      </c>
      <c r="XM204" s="20" t="s">
        <v>1903</v>
      </c>
      <c r="XN204" s="20" t="s">
        <v>1904</v>
      </c>
      <c r="XO204" s="20" t="s">
        <v>1905</v>
      </c>
      <c r="XQ204" s="24">
        <v>44263</v>
      </c>
      <c r="XU204" s="20" t="s">
        <v>1624</v>
      </c>
      <c r="XV204" s="20" t="s">
        <v>1625</v>
      </c>
      <c r="XW204" s="20" t="s">
        <v>1626</v>
      </c>
      <c r="XX204" s="20" t="s">
        <v>1627</v>
      </c>
      <c r="XY204" s="20" t="s">
        <v>2160</v>
      </c>
    </row>
    <row r="205" spans="1:649" ht="13">
      <c r="A205" s="20">
        <v>1368</v>
      </c>
      <c r="B205" s="21">
        <v>44208</v>
      </c>
      <c r="C205" s="20">
        <v>2020</v>
      </c>
      <c r="D205" s="20">
        <v>20210009</v>
      </c>
      <c r="E205" s="20">
        <v>35964</v>
      </c>
      <c r="F205" s="20" t="s">
        <v>825</v>
      </c>
      <c r="G205" s="20">
        <v>22442</v>
      </c>
      <c r="H205" s="20" t="s">
        <v>886</v>
      </c>
      <c r="I205" s="20" t="s">
        <v>692</v>
      </c>
      <c r="J205" s="20" t="s">
        <v>693</v>
      </c>
      <c r="K205" s="20" t="s">
        <v>694</v>
      </c>
      <c r="L205" s="20">
        <v>77002</v>
      </c>
      <c r="M205" s="22">
        <v>44179.330555555556</v>
      </c>
      <c r="P205" s="20">
        <v>31.614716000000001</v>
      </c>
      <c r="Q205" s="20">
        <v>-96.162606999999994</v>
      </c>
      <c r="R205" s="20" t="s">
        <v>697</v>
      </c>
      <c r="W205" s="20">
        <v>1.5</v>
      </c>
      <c r="Y205" s="20">
        <v>1.5</v>
      </c>
      <c r="Z205" s="20" t="s">
        <v>698</v>
      </c>
      <c r="AF205" s="20">
        <v>0</v>
      </c>
      <c r="AG205" s="20" t="s">
        <v>698</v>
      </c>
      <c r="AM205" s="20">
        <v>0</v>
      </c>
      <c r="AN205" s="20" t="s">
        <v>775</v>
      </c>
      <c r="AQ205" s="23">
        <v>44179.375</v>
      </c>
      <c r="AR205" s="20" t="s">
        <v>776</v>
      </c>
      <c r="AS205" s="20" t="s">
        <v>702</v>
      </c>
      <c r="AU205" s="20" t="s">
        <v>696</v>
      </c>
      <c r="AW205" s="23">
        <v>44179.330555555556</v>
      </c>
      <c r="AX205" s="23">
        <v>44179.730555555558</v>
      </c>
      <c r="BC205" s="23">
        <v>44179.4375</v>
      </c>
      <c r="BF205" s="20" t="s">
        <v>754</v>
      </c>
      <c r="BH205" s="20" t="s">
        <v>698</v>
      </c>
      <c r="BM205" s="20" t="s">
        <v>698</v>
      </c>
      <c r="BQ205" s="20" t="s">
        <v>798</v>
      </c>
      <c r="BU205" s="20" t="s">
        <v>798</v>
      </c>
      <c r="CA205" s="20">
        <v>0</v>
      </c>
      <c r="CB205" s="20" t="s">
        <v>2161</v>
      </c>
      <c r="CC205" s="20" t="s">
        <v>1850</v>
      </c>
      <c r="CD205" s="20" t="s">
        <v>694</v>
      </c>
      <c r="CE205" s="20">
        <v>75860</v>
      </c>
      <c r="CF205" s="20" t="s">
        <v>2162</v>
      </c>
      <c r="CG205" s="20" t="s">
        <v>1940</v>
      </c>
      <c r="CH205" s="20" t="s">
        <v>710</v>
      </c>
      <c r="CI205" s="20" t="s">
        <v>2163</v>
      </c>
      <c r="CJ205" s="20" t="s">
        <v>698</v>
      </c>
      <c r="CK205" s="20" t="s">
        <v>785</v>
      </c>
      <c r="CL205" s="20" t="s">
        <v>741</v>
      </c>
      <c r="CM205" s="20" t="s">
        <v>742</v>
      </c>
      <c r="CO205" s="20">
        <v>54</v>
      </c>
      <c r="CP205" s="20" t="s">
        <v>698</v>
      </c>
      <c r="DM205" s="20" t="s">
        <v>743</v>
      </c>
      <c r="DN205" s="20" t="s">
        <v>744</v>
      </c>
      <c r="DO205" s="20" t="s">
        <v>745</v>
      </c>
      <c r="DQ205" s="20">
        <v>26</v>
      </c>
      <c r="DR205" s="20">
        <v>0.312</v>
      </c>
      <c r="DS205" s="20">
        <v>52000</v>
      </c>
      <c r="DT205" s="20" t="s">
        <v>1103</v>
      </c>
      <c r="DU205" s="20" t="s">
        <v>1783</v>
      </c>
      <c r="DW205" s="20" t="s">
        <v>1631</v>
      </c>
      <c r="DX205" s="20" t="s">
        <v>805</v>
      </c>
      <c r="FK205" s="20">
        <v>1952</v>
      </c>
      <c r="FL205" s="20">
        <v>1952</v>
      </c>
      <c r="FM205" s="20" t="s">
        <v>719</v>
      </c>
      <c r="FO205" s="20" t="s">
        <v>720</v>
      </c>
      <c r="FR205" s="20" t="s">
        <v>768</v>
      </c>
      <c r="FY205" s="20" t="s">
        <v>698</v>
      </c>
      <c r="GC205" s="20" t="s">
        <v>696</v>
      </c>
      <c r="GD205" s="20" t="s">
        <v>698</v>
      </c>
      <c r="GE205" s="20" t="s">
        <v>696</v>
      </c>
      <c r="GH205" s="20" t="s">
        <v>696</v>
      </c>
      <c r="GK205" s="20" t="s">
        <v>698</v>
      </c>
      <c r="GT205" s="20" t="s">
        <v>698</v>
      </c>
      <c r="GU205" s="20" t="s">
        <v>698</v>
      </c>
      <c r="HF205" s="20">
        <v>0</v>
      </c>
      <c r="HG205" s="20">
        <v>100</v>
      </c>
      <c r="HH205" s="20">
        <v>10000</v>
      </c>
      <c r="HI205" s="20">
        <v>10183</v>
      </c>
      <c r="HJ205" s="20">
        <v>10000</v>
      </c>
      <c r="HK205" s="20">
        <v>0</v>
      </c>
      <c r="HM205" s="20">
        <v>30283</v>
      </c>
      <c r="HR205" s="20">
        <v>570</v>
      </c>
      <c r="HS205" s="20">
        <v>799</v>
      </c>
      <c r="HY205" s="20" t="s">
        <v>723</v>
      </c>
      <c r="HZ205" s="20" t="s">
        <v>698</v>
      </c>
      <c r="IC205" s="20">
        <v>159428</v>
      </c>
      <c r="ID205" s="20" t="s">
        <v>696</v>
      </c>
      <c r="IL205" s="20" t="s">
        <v>698</v>
      </c>
      <c r="IS205" s="20" t="s">
        <v>724</v>
      </c>
      <c r="IT205" s="20" t="s">
        <v>696</v>
      </c>
      <c r="IU205" s="20" t="s">
        <v>696</v>
      </c>
      <c r="IV205" s="20" t="s">
        <v>696</v>
      </c>
      <c r="IW205" s="20" t="s">
        <v>698</v>
      </c>
      <c r="IX205" s="20" t="s">
        <v>698</v>
      </c>
      <c r="IY205" s="20" t="s">
        <v>696</v>
      </c>
      <c r="IZ205" s="20" t="s">
        <v>696</v>
      </c>
      <c r="JA205" s="20" t="s">
        <v>696</v>
      </c>
      <c r="JB205" s="20" t="s">
        <v>698</v>
      </c>
      <c r="JC205" s="20" t="s">
        <v>698</v>
      </c>
      <c r="JD205" s="20" t="s">
        <v>725</v>
      </c>
      <c r="JE205" s="20" t="s">
        <v>726</v>
      </c>
      <c r="JR205" s="20" t="s">
        <v>698</v>
      </c>
      <c r="JS205" s="20" t="s">
        <v>698</v>
      </c>
      <c r="JX205" s="20" t="s">
        <v>929</v>
      </c>
      <c r="JY205" s="20" t="s">
        <v>2118</v>
      </c>
      <c r="PC205" s="20" t="s">
        <v>696</v>
      </c>
      <c r="PG205" s="20" t="s">
        <v>2118</v>
      </c>
      <c r="PL205" s="20" t="s">
        <v>696</v>
      </c>
      <c r="PM205" s="20" t="s">
        <v>2164</v>
      </c>
      <c r="PT205" s="20" t="s">
        <v>696</v>
      </c>
      <c r="SC205" s="20" t="s">
        <v>696</v>
      </c>
      <c r="SD205" s="20" t="s">
        <v>696</v>
      </c>
      <c r="SG205" s="20" t="s">
        <v>696</v>
      </c>
      <c r="SH205" s="20" t="s">
        <v>696</v>
      </c>
      <c r="SK205" s="20">
        <v>2020</v>
      </c>
      <c r="TQ205" s="20">
        <v>2020</v>
      </c>
      <c r="UA205" s="20">
        <v>2020</v>
      </c>
      <c r="UO205" s="20" t="s">
        <v>696</v>
      </c>
      <c r="UP205" s="20">
        <v>2005</v>
      </c>
      <c r="UQ205" s="20">
        <v>1123</v>
      </c>
      <c r="UR205" s="20" t="s">
        <v>698</v>
      </c>
      <c r="UZ205" s="20" t="s">
        <v>698</v>
      </c>
      <c r="XL205" s="20" t="s">
        <v>1902</v>
      </c>
      <c r="XM205" s="20" t="s">
        <v>1903</v>
      </c>
      <c r="XN205" s="20" t="s">
        <v>1904</v>
      </c>
      <c r="XO205" s="20" t="s">
        <v>2165</v>
      </c>
      <c r="XQ205" s="24">
        <v>44504</v>
      </c>
      <c r="XU205" s="20" t="s">
        <v>730</v>
      </c>
      <c r="XV205" s="20" t="s">
        <v>733</v>
      </c>
      <c r="XW205" s="20" t="s">
        <v>1360</v>
      </c>
      <c r="XX205" s="20" t="s">
        <v>732</v>
      </c>
      <c r="XY205" s="20" t="s">
        <v>2166</v>
      </c>
    </row>
    <row r="206" spans="1:649" ht="13">
      <c r="A206" s="20">
        <v>1382</v>
      </c>
      <c r="B206" s="21">
        <v>44179</v>
      </c>
      <c r="C206" s="20">
        <v>2020</v>
      </c>
      <c r="D206" s="20">
        <v>20200330</v>
      </c>
      <c r="E206" s="20">
        <v>34621</v>
      </c>
      <c r="F206" s="20" t="s">
        <v>885</v>
      </c>
      <c r="G206" s="20">
        <v>18718</v>
      </c>
      <c r="H206" s="20" t="s">
        <v>918</v>
      </c>
      <c r="I206" s="20" t="s">
        <v>692</v>
      </c>
      <c r="J206" s="20" t="s">
        <v>693</v>
      </c>
      <c r="K206" s="20" t="s">
        <v>694</v>
      </c>
      <c r="L206" s="20">
        <v>77002</v>
      </c>
      <c r="M206" s="22">
        <v>44160.395833333336</v>
      </c>
      <c r="P206" s="20">
        <v>33.773899999999998</v>
      </c>
      <c r="Q206" s="20">
        <v>-100.05038</v>
      </c>
      <c r="R206" s="20" t="s">
        <v>697</v>
      </c>
      <c r="W206" s="20">
        <v>10</v>
      </c>
      <c r="Y206" s="20">
        <v>10</v>
      </c>
      <c r="Z206" s="20" t="s">
        <v>698</v>
      </c>
      <c r="AF206" s="20">
        <v>0</v>
      </c>
      <c r="AG206" s="20" t="s">
        <v>698</v>
      </c>
      <c r="AM206" s="20">
        <v>0</v>
      </c>
      <c r="AN206" s="20" t="s">
        <v>2114</v>
      </c>
      <c r="AP206" s="20" t="s">
        <v>1013</v>
      </c>
      <c r="AQ206" s="23">
        <v>44160.4375</v>
      </c>
      <c r="AR206" s="20" t="s">
        <v>776</v>
      </c>
      <c r="AS206" s="20" t="s">
        <v>702</v>
      </c>
      <c r="AU206" s="20" t="s">
        <v>698</v>
      </c>
      <c r="AV206" s="20" t="s">
        <v>2167</v>
      </c>
      <c r="BC206" s="23">
        <v>44160.4375</v>
      </c>
      <c r="BF206" s="20" t="s">
        <v>754</v>
      </c>
      <c r="BH206" s="20" t="s">
        <v>698</v>
      </c>
      <c r="BM206" s="20" t="s">
        <v>698</v>
      </c>
      <c r="BQ206" s="20" t="s">
        <v>779</v>
      </c>
      <c r="BU206" s="20" t="s">
        <v>779</v>
      </c>
      <c r="CA206" s="20">
        <v>0</v>
      </c>
      <c r="CB206" s="20" t="s">
        <v>2089</v>
      </c>
      <c r="CC206" s="20" t="s">
        <v>2168</v>
      </c>
      <c r="CD206" s="20" t="s">
        <v>694</v>
      </c>
      <c r="CE206" s="20">
        <v>79248</v>
      </c>
      <c r="CF206" s="20" t="s">
        <v>2169</v>
      </c>
      <c r="CG206" s="20" t="s">
        <v>2170</v>
      </c>
      <c r="CH206" s="20" t="s">
        <v>710</v>
      </c>
      <c r="CI206" s="20">
        <v>231535.7</v>
      </c>
      <c r="CJ206" s="20" t="s">
        <v>698</v>
      </c>
      <c r="CK206" s="20" t="s">
        <v>712</v>
      </c>
      <c r="CL206" s="20" t="s">
        <v>741</v>
      </c>
      <c r="CM206" s="20" t="s">
        <v>742</v>
      </c>
      <c r="CO206" s="20">
        <v>24</v>
      </c>
      <c r="CP206" s="20" t="s">
        <v>698</v>
      </c>
      <c r="DM206" s="20" t="s">
        <v>715</v>
      </c>
      <c r="DN206" s="20" t="s">
        <v>744</v>
      </c>
      <c r="DO206" s="20" t="s">
        <v>745</v>
      </c>
      <c r="DQ206" s="20">
        <v>10.75</v>
      </c>
      <c r="DR206" s="20">
        <v>0.36499999999999999</v>
      </c>
      <c r="DS206" s="20">
        <v>30000</v>
      </c>
      <c r="DT206" s="20" t="s">
        <v>1726</v>
      </c>
      <c r="DU206" s="20" t="s">
        <v>1048</v>
      </c>
      <c r="DW206" s="20" t="s">
        <v>2092</v>
      </c>
      <c r="DX206" s="20" t="s">
        <v>805</v>
      </c>
      <c r="FK206" s="20">
        <v>1927</v>
      </c>
      <c r="FL206" s="20">
        <v>1927</v>
      </c>
      <c r="FM206" s="20" t="s">
        <v>719</v>
      </c>
      <c r="FO206" s="20" t="s">
        <v>720</v>
      </c>
      <c r="FR206" s="20" t="s">
        <v>749</v>
      </c>
      <c r="FY206" s="20" t="s">
        <v>698</v>
      </c>
      <c r="GC206" s="20" t="s">
        <v>696</v>
      </c>
      <c r="GD206" s="20" t="s">
        <v>698</v>
      </c>
      <c r="GE206" s="20" t="s">
        <v>696</v>
      </c>
      <c r="GH206" s="20" t="s">
        <v>696</v>
      </c>
      <c r="GK206" s="20" t="s">
        <v>698</v>
      </c>
      <c r="GT206" s="20" t="s">
        <v>698</v>
      </c>
      <c r="GU206" s="20" t="s">
        <v>698</v>
      </c>
      <c r="HF206" s="20">
        <v>0</v>
      </c>
      <c r="HG206" s="20">
        <v>400</v>
      </c>
      <c r="HH206" s="20">
        <v>2500</v>
      </c>
      <c r="HI206" s="20">
        <v>7000</v>
      </c>
      <c r="HJ206" s="20">
        <v>10000</v>
      </c>
      <c r="HK206" s="20">
        <v>0</v>
      </c>
      <c r="HM206" s="20">
        <v>19900</v>
      </c>
      <c r="HR206" s="20">
        <v>70</v>
      </c>
      <c r="HS206" s="20">
        <v>705</v>
      </c>
      <c r="HY206" s="20" t="s">
        <v>723</v>
      </c>
      <c r="HZ206" s="20" t="s">
        <v>698</v>
      </c>
      <c r="IC206" s="20">
        <v>71808</v>
      </c>
      <c r="ID206" s="20" t="s">
        <v>696</v>
      </c>
      <c r="IL206" s="20" t="s">
        <v>698</v>
      </c>
      <c r="IS206" s="20" t="s">
        <v>724</v>
      </c>
      <c r="IT206" s="20" t="s">
        <v>696</v>
      </c>
      <c r="IU206" s="20" t="s">
        <v>696</v>
      </c>
      <c r="IV206" s="20" t="s">
        <v>696</v>
      </c>
      <c r="IW206" s="20" t="s">
        <v>698</v>
      </c>
      <c r="IX206" s="20" t="s">
        <v>698</v>
      </c>
      <c r="IY206" s="20" t="s">
        <v>698</v>
      </c>
      <c r="JD206" s="20" t="s">
        <v>725</v>
      </c>
      <c r="JE206" s="20" t="s">
        <v>726</v>
      </c>
      <c r="JR206" s="20" t="s">
        <v>698</v>
      </c>
      <c r="JS206" s="20" t="s">
        <v>698</v>
      </c>
      <c r="JX206" s="20" t="s">
        <v>833</v>
      </c>
      <c r="JY206" s="20" t="s">
        <v>860</v>
      </c>
      <c r="JZ206" s="20" t="s">
        <v>860</v>
      </c>
      <c r="KA206" s="20" t="s">
        <v>835</v>
      </c>
      <c r="KC206" s="20" t="s">
        <v>696</v>
      </c>
      <c r="KL206" s="20" t="s">
        <v>696</v>
      </c>
      <c r="KP206" s="20" t="s">
        <v>696</v>
      </c>
      <c r="KQ206" s="20" t="s">
        <v>696</v>
      </c>
      <c r="KR206" s="20">
        <v>1968</v>
      </c>
      <c r="KS206" s="20" t="s">
        <v>696</v>
      </c>
      <c r="KT206" s="20" t="s">
        <v>696</v>
      </c>
      <c r="KU206" s="20" t="s">
        <v>696</v>
      </c>
      <c r="KV206" s="20" t="s">
        <v>696</v>
      </c>
      <c r="KX206" s="20">
        <v>2020</v>
      </c>
      <c r="KY206" s="20">
        <v>2019</v>
      </c>
      <c r="LC206" s="20" t="s">
        <v>696</v>
      </c>
      <c r="SC206" s="20" t="s">
        <v>696</v>
      </c>
      <c r="SD206" s="20" t="s">
        <v>696</v>
      </c>
      <c r="SG206" s="20" t="s">
        <v>696</v>
      </c>
      <c r="SK206" s="20">
        <v>2019</v>
      </c>
      <c r="TQ206" s="20">
        <v>2016</v>
      </c>
      <c r="UO206" s="20" t="s">
        <v>696</v>
      </c>
      <c r="UP206" s="20">
        <v>1976</v>
      </c>
      <c r="UQ206" s="20">
        <v>851</v>
      </c>
      <c r="UR206" s="20" t="s">
        <v>698</v>
      </c>
      <c r="UZ206" s="20" t="s">
        <v>698</v>
      </c>
      <c r="XL206" s="20" t="s">
        <v>1902</v>
      </c>
      <c r="XM206" s="20" t="s">
        <v>1903</v>
      </c>
      <c r="XN206" s="20" t="s">
        <v>1904</v>
      </c>
      <c r="XO206" s="20" t="s">
        <v>1905</v>
      </c>
      <c r="XQ206" s="24">
        <v>44179</v>
      </c>
      <c r="XU206" s="20" t="s">
        <v>1624</v>
      </c>
      <c r="XV206" s="20" t="s">
        <v>1625</v>
      </c>
      <c r="XW206" s="20" t="s">
        <v>1626</v>
      </c>
      <c r="XX206" s="20" t="s">
        <v>1627</v>
      </c>
      <c r="XY206" s="20" t="s">
        <v>2171</v>
      </c>
    </row>
    <row r="207" spans="1:649" ht="13">
      <c r="A207" s="20">
        <v>1395</v>
      </c>
      <c r="B207" s="21">
        <v>44152</v>
      </c>
      <c r="C207" s="20">
        <v>2020</v>
      </c>
      <c r="D207" s="20">
        <v>20200312</v>
      </c>
      <c r="E207" s="20">
        <v>34539</v>
      </c>
      <c r="F207" s="20" t="s">
        <v>885</v>
      </c>
      <c r="G207" s="20">
        <v>39596</v>
      </c>
      <c r="H207" s="20" t="s">
        <v>796</v>
      </c>
      <c r="I207" s="20" t="s">
        <v>692</v>
      </c>
      <c r="J207" s="20" t="s">
        <v>693</v>
      </c>
      <c r="K207" s="20" t="s">
        <v>694</v>
      </c>
      <c r="L207" s="20">
        <v>77002</v>
      </c>
      <c r="M207" s="22">
        <v>44136.583333333336</v>
      </c>
      <c r="P207" s="20">
        <v>32.530419000000002</v>
      </c>
      <c r="Q207" s="20">
        <v>-100.82966999999999</v>
      </c>
      <c r="R207" s="20" t="s">
        <v>697</v>
      </c>
      <c r="W207" s="20">
        <v>4.3</v>
      </c>
      <c r="Y207" s="20">
        <v>4.3</v>
      </c>
      <c r="Z207" s="20" t="s">
        <v>698</v>
      </c>
      <c r="AF207" s="20">
        <v>0</v>
      </c>
      <c r="AG207" s="20" t="s">
        <v>698</v>
      </c>
      <c r="AM207" s="20">
        <v>0</v>
      </c>
      <c r="AN207" s="20" t="s">
        <v>699</v>
      </c>
      <c r="AP207" s="20" t="s">
        <v>700</v>
      </c>
      <c r="AQ207" s="23">
        <v>44136.583333333336</v>
      </c>
      <c r="AR207" s="20" t="s">
        <v>701</v>
      </c>
      <c r="AS207" s="20" t="s">
        <v>702</v>
      </c>
      <c r="AU207" s="20" t="s">
        <v>696</v>
      </c>
      <c r="AW207" s="23">
        <v>44136.583333333336</v>
      </c>
      <c r="AX207" s="23">
        <v>44137.479166666664</v>
      </c>
      <c r="BC207" s="23">
        <v>44136.583333333336</v>
      </c>
      <c r="BF207" s="20" t="s">
        <v>754</v>
      </c>
      <c r="BH207" s="20" t="s">
        <v>698</v>
      </c>
      <c r="BM207" s="20" t="s">
        <v>698</v>
      </c>
      <c r="CA207" s="20">
        <v>0</v>
      </c>
      <c r="CB207" s="20" t="s">
        <v>1318</v>
      </c>
      <c r="CC207" s="20" t="s">
        <v>2172</v>
      </c>
      <c r="CD207" s="20" t="s">
        <v>694</v>
      </c>
      <c r="CE207" s="20">
        <v>79526</v>
      </c>
      <c r="CF207" s="20" t="s">
        <v>1320</v>
      </c>
      <c r="CG207" s="20" t="s">
        <v>1204</v>
      </c>
      <c r="CH207" s="20" t="s">
        <v>710</v>
      </c>
      <c r="CI207" s="20" t="s">
        <v>2065</v>
      </c>
      <c r="CJ207" s="20" t="s">
        <v>698</v>
      </c>
      <c r="CK207" s="20" t="s">
        <v>712</v>
      </c>
      <c r="CL207" s="20" t="s">
        <v>741</v>
      </c>
      <c r="CM207" s="20" t="s">
        <v>742</v>
      </c>
      <c r="CO207" s="20">
        <v>48</v>
      </c>
      <c r="CP207" s="20" t="s">
        <v>698</v>
      </c>
      <c r="DM207" s="20" t="s">
        <v>743</v>
      </c>
      <c r="DN207" s="20" t="s">
        <v>1951</v>
      </c>
      <c r="FK207" s="20">
        <v>2015</v>
      </c>
      <c r="FM207" s="20" t="s">
        <v>719</v>
      </c>
      <c r="FO207" s="20" t="s">
        <v>720</v>
      </c>
      <c r="FR207" s="20" t="s">
        <v>749</v>
      </c>
      <c r="FY207" s="20" t="s">
        <v>698</v>
      </c>
      <c r="GC207" s="20" t="s">
        <v>696</v>
      </c>
      <c r="GD207" s="20" t="s">
        <v>698</v>
      </c>
      <c r="GE207" s="20" t="s">
        <v>696</v>
      </c>
      <c r="GH207" s="20" t="s">
        <v>696</v>
      </c>
      <c r="GK207" s="20" t="s">
        <v>698</v>
      </c>
      <c r="GT207" s="20" t="s">
        <v>698</v>
      </c>
      <c r="GU207" s="20" t="s">
        <v>698</v>
      </c>
      <c r="HF207" s="20">
        <v>0</v>
      </c>
      <c r="HG207" s="20">
        <v>172</v>
      </c>
      <c r="HH207" s="20">
        <v>2000</v>
      </c>
      <c r="HI207" s="20">
        <v>6500</v>
      </c>
      <c r="HJ207" s="20">
        <v>3000</v>
      </c>
      <c r="HK207" s="20">
        <v>0</v>
      </c>
      <c r="HM207" s="20">
        <v>11672</v>
      </c>
      <c r="HR207" s="20">
        <v>45</v>
      </c>
      <c r="HS207" s="20">
        <v>275</v>
      </c>
      <c r="HY207" s="20" t="s">
        <v>723</v>
      </c>
      <c r="HZ207" s="20" t="s">
        <v>698</v>
      </c>
      <c r="IS207" s="20" t="s">
        <v>724</v>
      </c>
      <c r="IT207" s="20" t="s">
        <v>696</v>
      </c>
      <c r="IU207" s="20" t="s">
        <v>696</v>
      </c>
      <c r="IV207" s="20" t="s">
        <v>696</v>
      </c>
      <c r="IW207" s="20" t="s">
        <v>698</v>
      </c>
      <c r="IX207" s="20" t="s">
        <v>698</v>
      </c>
      <c r="IY207" s="20" t="s">
        <v>696</v>
      </c>
      <c r="IZ207" s="20" t="s">
        <v>696</v>
      </c>
      <c r="JA207" s="20" t="s">
        <v>696</v>
      </c>
      <c r="JB207" s="20" t="s">
        <v>698</v>
      </c>
      <c r="JC207" s="20" t="s">
        <v>698</v>
      </c>
      <c r="JD207" s="20" t="s">
        <v>725</v>
      </c>
      <c r="JE207" s="20" t="s">
        <v>726</v>
      </c>
      <c r="JR207" s="20" t="s">
        <v>698</v>
      </c>
      <c r="JS207" s="20" t="s">
        <v>698</v>
      </c>
      <c r="JX207" s="20" t="s">
        <v>833</v>
      </c>
      <c r="JY207" s="20" t="s">
        <v>834</v>
      </c>
      <c r="JZ207" s="20" t="s">
        <v>834</v>
      </c>
      <c r="LD207" s="20" t="s">
        <v>905</v>
      </c>
      <c r="LG207" s="20" t="s">
        <v>696</v>
      </c>
      <c r="LH207" s="20" t="s">
        <v>696</v>
      </c>
      <c r="LL207" s="20" t="s">
        <v>696</v>
      </c>
      <c r="LP207" s="20" t="s">
        <v>696</v>
      </c>
      <c r="LU207" s="20" t="s">
        <v>696</v>
      </c>
      <c r="LV207" s="20" t="s">
        <v>698</v>
      </c>
      <c r="LW207" s="20" t="s">
        <v>838</v>
      </c>
      <c r="LX207" s="20" t="s">
        <v>838</v>
      </c>
      <c r="XL207" s="20" t="s">
        <v>1902</v>
      </c>
      <c r="XM207" s="20" t="s">
        <v>1903</v>
      </c>
      <c r="XN207" s="20" t="s">
        <v>1904</v>
      </c>
      <c r="XO207" s="20" t="s">
        <v>1905</v>
      </c>
      <c r="XQ207" s="24">
        <v>44152</v>
      </c>
      <c r="XU207" s="20" t="s">
        <v>1624</v>
      </c>
      <c r="XV207" s="20" t="s">
        <v>1625</v>
      </c>
      <c r="XW207" s="20" t="s">
        <v>1626</v>
      </c>
      <c r="XX207" s="20" t="s">
        <v>1627</v>
      </c>
      <c r="XY207" s="20" t="s">
        <v>2173</v>
      </c>
    </row>
    <row r="208" spans="1:649" ht="13">
      <c r="A208" s="20">
        <v>1399</v>
      </c>
      <c r="B208" s="21">
        <v>44148</v>
      </c>
      <c r="C208" s="20">
        <v>2020</v>
      </c>
      <c r="D208" s="20">
        <v>20200311</v>
      </c>
      <c r="E208" s="20">
        <v>34533</v>
      </c>
      <c r="F208" s="20" t="s">
        <v>885</v>
      </c>
      <c r="G208" s="20">
        <v>31476</v>
      </c>
      <c r="H208" s="20" t="s">
        <v>1859</v>
      </c>
      <c r="I208" s="20" t="s">
        <v>692</v>
      </c>
      <c r="J208" s="20" t="s">
        <v>693</v>
      </c>
      <c r="K208" s="20" t="s">
        <v>694</v>
      </c>
      <c r="L208" s="20">
        <v>77002</v>
      </c>
      <c r="M208" s="22">
        <v>44132.474999999999</v>
      </c>
      <c r="P208" s="20">
        <v>40.129117000000001</v>
      </c>
      <c r="Q208" s="20">
        <v>-104.806895</v>
      </c>
      <c r="R208" s="20" t="s">
        <v>697</v>
      </c>
      <c r="W208" s="20">
        <v>2</v>
      </c>
      <c r="Y208" s="20">
        <v>2</v>
      </c>
      <c r="Z208" s="20" t="s">
        <v>698</v>
      </c>
      <c r="AF208" s="20">
        <v>0</v>
      </c>
      <c r="AG208" s="20" t="s">
        <v>698</v>
      </c>
      <c r="AM208" s="20">
        <v>0</v>
      </c>
      <c r="AN208" s="20" t="s">
        <v>699</v>
      </c>
      <c r="AP208" s="20" t="s">
        <v>700</v>
      </c>
      <c r="AQ208" s="23">
        <v>44132.489583333336</v>
      </c>
      <c r="AR208" s="20" t="s">
        <v>701</v>
      </c>
      <c r="AS208" s="20" t="s">
        <v>702</v>
      </c>
      <c r="AU208" s="20" t="s">
        <v>698</v>
      </c>
      <c r="AV208" s="20" t="s">
        <v>2174</v>
      </c>
      <c r="BC208" s="23">
        <v>44132.489583333336</v>
      </c>
      <c r="BF208" s="20" t="s">
        <v>754</v>
      </c>
      <c r="BH208" s="20" t="s">
        <v>698</v>
      </c>
      <c r="BM208" s="20" t="s">
        <v>698</v>
      </c>
      <c r="CA208" s="20">
        <v>0</v>
      </c>
      <c r="CB208" s="20" t="s">
        <v>2175</v>
      </c>
      <c r="CC208" s="20" t="s">
        <v>2176</v>
      </c>
      <c r="CD208" s="20" t="s">
        <v>1963</v>
      </c>
      <c r="CE208" s="20">
        <v>80621</v>
      </c>
      <c r="CF208" s="20" t="s">
        <v>2175</v>
      </c>
      <c r="CG208" s="20" t="s">
        <v>1965</v>
      </c>
      <c r="CH208" s="20" t="s">
        <v>710</v>
      </c>
      <c r="CI208" s="20" t="s">
        <v>2177</v>
      </c>
      <c r="CJ208" s="20" t="s">
        <v>698</v>
      </c>
      <c r="CK208" s="20" t="s">
        <v>712</v>
      </c>
      <c r="CL208" s="20" t="s">
        <v>713</v>
      </c>
      <c r="CM208" s="20" t="s">
        <v>758</v>
      </c>
      <c r="CP208" s="20" t="s">
        <v>698</v>
      </c>
      <c r="DM208" s="20" t="s">
        <v>743</v>
      </c>
      <c r="DN208" s="20" t="s">
        <v>1011</v>
      </c>
      <c r="FK208" s="20">
        <v>2020</v>
      </c>
      <c r="FM208" s="20" t="s">
        <v>719</v>
      </c>
      <c r="FO208" s="20" t="s">
        <v>720</v>
      </c>
      <c r="FR208" s="20" t="s">
        <v>823</v>
      </c>
      <c r="FY208" s="20" t="s">
        <v>698</v>
      </c>
      <c r="GC208" s="20" t="s">
        <v>696</v>
      </c>
      <c r="GD208" s="20" t="s">
        <v>698</v>
      </c>
      <c r="GE208" s="20" t="s">
        <v>696</v>
      </c>
      <c r="GH208" s="20" t="s">
        <v>696</v>
      </c>
      <c r="GK208" s="20" t="s">
        <v>698</v>
      </c>
      <c r="GT208" s="20" t="s">
        <v>698</v>
      </c>
      <c r="GU208" s="20" t="s">
        <v>698</v>
      </c>
      <c r="HF208" s="20">
        <v>0</v>
      </c>
      <c r="HG208" s="20">
        <v>80</v>
      </c>
      <c r="HH208" s="20">
        <v>0</v>
      </c>
      <c r="HI208" s="20">
        <v>8800</v>
      </c>
      <c r="HJ208" s="20">
        <v>10700</v>
      </c>
      <c r="HK208" s="20">
        <v>0</v>
      </c>
      <c r="HM208" s="20">
        <v>19580</v>
      </c>
      <c r="HR208" s="20">
        <v>0</v>
      </c>
      <c r="HS208" s="20">
        <v>1480</v>
      </c>
      <c r="HY208" s="20" t="s">
        <v>723</v>
      </c>
      <c r="HZ208" s="20" t="s">
        <v>698</v>
      </c>
      <c r="IS208" s="20" t="s">
        <v>724</v>
      </c>
      <c r="IT208" s="20" t="s">
        <v>696</v>
      </c>
      <c r="IU208" s="20" t="s">
        <v>696</v>
      </c>
      <c r="IV208" s="20" t="s">
        <v>696</v>
      </c>
      <c r="IW208" s="20" t="s">
        <v>698</v>
      </c>
      <c r="IX208" s="20" t="s">
        <v>698</v>
      </c>
      <c r="IY208" s="20" t="s">
        <v>696</v>
      </c>
      <c r="IZ208" s="20" t="s">
        <v>696</v>
      </c>
      <c r="JA208" s="20" t="s">
        <v>696</v>
      </c>
      <c r="JB208" s="20" t="s">
        <v>698</v>
      </c>
      <c r="JC208" s="20" t="s">
        <v>698</v>
      </c>
      <c r="JD208" s="20" t="s">
        <v>725</v>
      </c>
      <c r="JE208" s="20" t="s">
        <v>726</v>
      </c>
      <c r="JR208" s="20" t="s">
        <v>698</v>
      </c>
      <c r="JS208" s="20" t="s">
        <v>698</v>
      </c>
      <c r="JX208" s="20" t="s">
        <v>789</v>
      </c>
      <c r="JY208" s="20" t="s">
        <v>964</v>
      </c>
      <c r="QB208" s="20" t="s">
        <v>964</v>
      </c>
      <c r="QU208" s="20" t="s">
        <v>2178</v>
      </c>
      <c r="QY208" s="20" t="s">
        <v>696</v>
      </c>
      <c r="XL208" s="20" t="s">
        <v>1902</v>
      </c>
      <c r="XM208" s="20" t="s">
        <v>1903</v>
      </c>
      <c r="XN208" s="20" t="s">
        <v>1904</v>
      </c>
      <c r="XO208" s="20" t="s">
        <v>1905</v>
      </c>
      <c r="XQ208" s="24">
        <v>44148</v>
      </c>
      <c r="XU208" s="20" t="s">
        <v>1624</v>
      </c>
      <c r="XV208" s="20" t="s">
        <v>1625</v>
      </c>
      <c r="XW208" s="20" t="s">
        <v>1626</v>
      </c>
      <c r="XX208" s="20" t="s">
        <v>1627</v>
      </c>
      <c r="XY208" s="20" t="s">
        <v>2179</v>
      </c>
    </row>
    <row r="209" spans="1:649" ht="13">
      <c r="A209" s="20">
        <v>1400</v>
      </c>
      <c r="B209" s="21">
        <v>44148</v>
      </c>
      <c r="C209" s="20">
        <v>2020</v>
      </c>
      <c r="D209" s="20">
        <v>20200308</v>
      </c>
      <c r="E209" s="20">
        <v>34557</v>
      </c>
      <c r="F209" s="20" t="s">
        <v>825</v>
      </c>
      <c r="G209" s="20">
        <v>39706</v>
      </c>
      <c r="H209" s="20" t="s">
        <v>1943</v>
      </c>
      <c r="I209" s="20" t="s">
        <v>692</v>
      </c>
      <c r="J209" s="20" t="s">
        <v>693</v>
      </c>
      <c r="K209" s="20" t="s">
        <v>694</v>
      </c>
      <c r="L209" s="20">
        <v>77002</v>
      </c>
      <c r="M209" s="22">
        <v>44132.1875</v>
      </c>
      <c r="P209" s="20">
        <v>29.994677800000002</v>
      </c>
      <c r="Q209" s="20">
        <v>-93.992286100000001</v>
      </c>
      <c r="R209" s="20" t="s">
        <v>697</v>
      </c>
      <c r="W209" s="20">
        <v>4</v>
      </c>
      <c r="Y209" s="20">
        <v>4</v>
      </c>
      <c r="Z209" s="20" t="s">
        <v>698</v>
      </c>
      <c r="AF209" s="20">
        <v>0</v>
      </c>
      <c r="AG209" s="20" t="s">
        <v>698</v>
      </c>
      <c r="AM209" s="20">
        <v>0</v>
      </c>
      <c r="AN209" s="20" t="s">
        <v>699</v>
      </c>
      <c r="AP209" s="20" t="s">
        <v>700</v>
      </c>
      <c r="AQ209" s="23">
        <v>44132.1875</v>
      </c>
      <c r="AR209" s="20" t="s">
        <v>736</v>
      </c>
      <c r="AS209" s="20" t="s">
        <v>702</v>
      </c>
      <c r="AU209" s="20" t="s">
        <v>698</v>
      </c>
      <c r="AV209" s="20" t="s">
        <v>2180</v>
      </c>
      <c r="BC209" s="23">
        <v>44132.1875</v>
      </c>
      <c r="BF209" s="20" t="s">
        <v>754</v>
      </c>
      <c r="BH209" s="20" t="s">
        <v>698</v>
      </c>
      <c r="BM209" s="20" t="s">
        <v>698</v>
      </c>
      <c r="CA209" s="20">
        <v>0</v>
      </c>
      <c r="CB209" s="20" t="s">
        <v>818</v>
      </c>
      <c r="CC209" s="20" t="s">
        <v>1440</v>
      </c>
      <c r="CD209" s="20" t="s">
        <v>694</v>
      </c>
      <c r="CE209" s="20">
        <v>77627</v>
      </c>
      <c r="CF209" s="20" t="s">
        <v>820</v>
      </c>
      <c r="CG209" s="20" t="s">
        <v>821</v>
      </c>
      <c r="CH209" s="20" t="s">
        <v>710</v>
      </c>
      <c r="CI209" s="20" t="s">
        <v>711</v>
      </c>
      <c r="CJ209" s="20" t="s">
        <v>698</v>
      </c>
      <c r="CK209" s="20" t="s">
        <v>712</v>
      </c>
      <c r="CL209" s="20" t="s">
        <v>713</v>
      </c>
      <c r="CM209" s="20" t="s">
        <v>758</v>
      </c>
      <c r="CP209" s="20" t="s">
        <v>698</v>
      </c>
      <c r="DM209" s="20" t="s">
        <v>743</v>
      </c>
      <c r="DN209" s="20" t="s">
        <v>1141</v>
      </c>
      <c r="EA209" s="20" t="s">
        <v>1609</v>
      </c>
      <c r="FK209" s="20">
        <v>1970</v>
      </c>
      <c r="FM209" s="20" t="s">
        <v>719</v>
      </c>
      <c r="FO209" s="20" t="s">
        <v>720</v>
      </c>
      <c r="FR209" s="20" t="s">
        <v>749</v>
      </c>
      <c r="FY209" s="20" t="s">
        <v>698</v>
      </c>
      <c r="GC209" s="20" t="s">
        <v>696</v>
      </c>
      <c r="GD209" s="20" t="s">
        <v>698</v>
      </c>
      <c r="GE209" s="20" t="s">
        <v>696</v>
      </c>
      <c r="GH209" s="20" t="s">
        <v>696</v>
      </c>
      <c r="GK209" s="20" t="s">
        <v>698</v>
      </c>
      <c r="GT209" s="20" t="s">
        <v>698</v>
      </c>
      <c r="GU209" s="20" t="s">
        <v>696</v>
      </c>
      <c r="GX209" s="20" t="s">
        <v>696</v>
      </c>
      <c r="GY209" s="20" t="s">
        <v>698</v>
      </c>
      <c r="HF209" s="20">
        <v>0</v>
      </c>
      <c r="HG209" s="20">
        <v>300</v>
      </c>
      <c r="HH209" s="20">
        <v>2000</v>
      </c>
      <c r="HI209" s="20">
        <v>5500</v>
      </c>
      <c r="HJ209" s="20">
        <v>500</v>
      </c>
      <c r="HK209" s="20">
        <v>0</v>
      </c>
      <c r="HM209" s="20">
        <v>8300</v>
      </c>
      <c r="HR209" s="20">
        <v>80</v>
      </c>
      <c r="HS209" s="20">
        <v>285</v>
      </c>
      <c r="HY209" s="20" t="s">
        <v>723</v>
      </c>
      <c r="HZ209" s="20" t="s">
        <v>698</v>
      </c>
      <c r="IS209" s="20" t="s">
        <v>724</v>
      </c>
      <c r="IT209" s="20" t="s">
        <v>696</v>
      </c>
      <c r="IU209" s="20" t="s">
        <v>696</v>
      </c>
      <c r="IV209" s="20" t="s">
        <v>696</v>
      </c>
      <c r="IW209" s="20" t="s">
        <v>698</v>
      </c>
      <c r="IX209" s="20" t="s">
        <v>698</v>
      </c>
      <c r="IY209" s="20" t="s">
        <v>696</v>
      </c>
      <c r="IZ209" s="20" t="s">
        <v>696</v>
      </c>
      <c r="JA209" s="20" t="s">
        <v>696</v>
      </c>
      <c r="JB209" s="20" t="s">
        <v>698</v>
      </c>
      <c r="JC209" s="20" t="s">
        <v>698</v>
      </c>
      <c r="JD209" s="20" t="s">
        <v>725</v>
      </c>
      <c r="JE209" s="20" t="s">
        <v>726</v>
      </c>
      <c r="JR209" s="20" t="s">
        <v>698</v>
      </c>
      <c r="JS209" s="20" t="s">
        <v>698</v>
      </c>
      <c r="JX209" s="20" t="s">
        <v>833</v>
      </c>
      <c r="JY209" s="20" t="s">
        <v>834</v>
      </c>
      <c r="JZ209" s="20" t="s">
        <v>834</v>
      </c>
      <c r="LD209" s="20" t="s">
        <v>835</v>
      </c>
      <c r="LH209" s="20" t="s">
        <v>696</v>
      </c>
      <c r="LL209" s="20" t="s">
        <v>696</v>
      </c>
      <c r="LS209" s="20" t="s">
        <v>696</v>
      </c>
      <c r="LT209" s="20" t="s">
        <v>1965</v>
      </c>
      <c r="LU209" s="20" t="s">
        <v>696</v>
      </c>
      <c r="LV209" s="20" t="s">
        <v>698</v>
      </c>
      <c r="LW209" s="20" t="s">
        <v>838</v>
      </c>
      <c r="LX209" s="20" t="s">
        <v>838</v>
      </c>
      <c r="SC209" s="20" t="s">
        <v>698</v>
      </c>
      <c r="UO209" s="20" t="s">
        <v>698</v>
      </c>
      <c r="UR209" s="20" t="s">
        <v>698</v>
      </c>
      <c r="UZ209" s="20" t="s">
        <v>698</v>
      </c>
      <c r="XL209" s="20" t="s">
        <v>1902</v>
      </c>
      <c r="XM209" s="20" t="s">
        <v>1903</v>
      </c>
      <c r="XN209" s="20" t="s">
        <v>1904</v>
      </c>
      <c r="XO209" s="20" t="s">
        <v>1905</v>
      </c>
      <c r="XQ209" s="24">
        <v>44155</v>
      </c>
      <c r="XU209" s="20" t="s">
        <v>1624</v>
      </c>
      <c r="XV209" s="20" t="s">
        <v>1625</v>
      </c>
      <c r="XW209" s="20" t="s">
        <v>1626</v>
      </c>
      <c r="XX209" s="20" t="s">
        <v>1627</v>
      </c>
      <c r="XY209" s="20" t="s">
        <v>2181</v>
      </c>
    </row>
    <row r="210" spans="1:649" ht="13">
      <c r="A210" s="20">
        <v>1402</v>
      </c>
      <c r="B210" s="21">
        <v>44148</v>
      </c>
      <c r="C210" s="20">
        <v>2020</v>
      </c>
      <c r="D210" s="20">
        <v>20200309</v>
      </c>
      <c r="E210" s="20">
        <v>34531</v>
      </c>
      <c r="F210" s="20" t="s">
        <v>885</v>
      </c>
      <c r="G210" s="20">
        <v>18718</v>
      </c>
      <c r="H210" s="20" t="s">
        <v>918</v>
      </c>
      <c r="I210" s="20" t="s">
        <v>692</v>
      </c>
      <c r="J210" s="20" t="s">
        <v>693</v>
      </c>
      <c r="K210" s="20" t="s">
        <v>694</v>
      </c>
      <c r="L210" s="20">
        <v>77002</v>
      </c>
      <c r="M210" s="22">
        <v>44130.333333333336</v>
      </c>
      <c r="P210" s="20">
        <v>32.207591000000001</v>
      </c>
      <c r="Q210" s="20">
        <v>-103.452344</v>
      </c>
      <c r="R210" s="20" t="s">
        <v>697</v>
      </c>
      <c r="W210" s="20">
        <v>0.25</v>
      </c>
      <c r="Y210" s="20">
        <v>0.25</v>
      </c>
      <c r="Z210" s="20" t="s">
        <v>698</v>
      </c>
      <c r="AF210" s="20">
        <v>0</v>
      </c>
      <c r="AG210" s="20" t="s">
        <v>698</v>
      </c>
      <c r="AM210" s="20">
        <v>0</v>
      </c>
      <c r="AN210" s="20" t="s">
        <v>699</v>
      </c>
      <c r="AP210" s="20" t="s">
        <v>700</v>
      </c>
      <c r="AQ210" s="23">
        <v>44130.333333333336</v>
      </c>
      <c r="AR210" s="20" t="s">
        <v>736</v>
      </c>
      <c r="AS210" s="20" t="s">
        <v>702</v>
      </c>
      <c r="AU210" s="20" t="s">
        <v>696</v>
      </c>
      <c r="AW210" s="23">
        <v>44130.333333333336</v>
      </c>
      <c r="AX210" s="23">
        <v>44130.5</v>
      </c>
      <c r="BC210" s="23">
        <v>44130.395833333336</v>
      </c>
      <c r="BF210" s="20" t="s">
        <v>754</v>
      </c>
      <c r="BH210" s="20" t="s">
        <v>698</v>
      </c>
      <c r="BM210" s="20" t="s">
        <v>698</v>
      </c>
      <c r="CA210" s="20">
        <v>0</v>
      </c>
      <c r="CB210" s="20" t="s">
        <v>2182</v>
      </c>
      <c r="CC210" s="20" t="s">
        <v>2183</v>
      </c>
      <c r="CD210" s="20" t="s">
        <v>1153</v>
      </c>
      <c r="CE210" s="20">
        <v>88252</v>
      </c>
      <c r="CF210" s="20" t="s">
        <v>1154</v>
      </c>
      <c r="CG210" s="20" t="s">
        <v>1155</v>
      </c>
      <c r="CH210" s="20" t="s">
        <v>710</v>
      </c>
      <c r="CI210" s="20" t="s">
        <v>711</v>
      </c>
      <c r="CJ210" s="20" t="s">
        <v>698</v>
      </c>
      <c r="CK210" s="20" t="s">
        <v>712</v>
      </c>
      <c r="CL210" s="20" t="s">
        <v>713</v>
      </c>
      <c r="CM210" s="20" t="s">
        <v>758</v>
      </c>
      <c r="CP210" s="20" t="s">
        <v>698</v>
      </c>
      <c r="DM210" s="20" t="s">
        <v>743</v>
      </c>
      <c r="DN210" s="20" t="s">
        <v>1278</v>
      </c>
      <c r="FK210" s="20">
        <v>2015</v>
      </c>
      <c r="FM210" s="20" t="s">
        <v>962</v>
      </c>
      <c r="FN210" s="20" t="s">
        <v>2048</v>
      </c>
      <c r="FO210" s="20" t="s">
        <v>720</v>
      </c>
      <c r="FR210" s="20" t="s">
        <v>721</v>
      </c>
      <c r="FY210" s="20" t="s">
        <v>698</v>
      </c>
      <c r="GC210" s="20" t="s">
        <v>696</v>
      </c>
      <c r="GD210" s="20" t="s">
        <v>698</v>
      </c>
      <c r="GE210" s="20" t="s">
        <v>696</v>
      </c>
      <c r="GH210" s="20" t="s">
        <v>696</v>
      </c>
      <c r="GK210" s="20" t="s">
        <v>698</v>
      </c>
      <c r="GT210" s="20" t="s">
        <v>698</v>
      </c>
      <c r="GU210" s="20" t="s">
        <v>698</v>
      </c>
      <c r="HF210" s="20">
        <v>0</v>
      </c>
      <c r="HG210" s="20">
        <v>0</v>
      </c>
      <c r="HH210" s="20">
        <v>0</v>
      </c>
      <c r="HI210" s="20">
        <v>1800</v>
      </c>
      <c r="HJ210" s="20">
        <v>3000</v>
      </c>
      <c r="HK210" s="20">
        <v>0</v>
      </c>
      <c r="HM210" s="20">
        <v>4800</v>
      </c>
      <c r="HR210" s="20">
        <v>915</v>
      </c>
      <c r="HS210" s="20">
        <v>1480</v>
      </c>
      <c r="HY210" s="20" t="s">
        <v>723</v>
      </c>
      <c r="HZ210" s="20" t="s">
        <v>698</v>
      </c>
      <c r="IS210" s="20" t="s">
        <v>724</v>
      </c>
      <c r="IT210" s="20" t="s">
        <v>696</v>
      </c>
      <c r="IU210" s="20" t="s">
        <v>696</v>
      </c>
      <c r="IV210" s="20" t="s">
        <v>696</v>
      </c>
      <c r="IW210" s="20" t="s">
        <v>698</v>
      </c>
      <c r="IX210" s="20" t="s">
        <v>698</v>
      </c>
      <c r="IY210" s="20" t="s">
        <v>696</v>
      </c>
      <c r="IZ210" s="20" t="s">
        <v>696</v>
      </c>
      <c r="JA210" s="20" t="s">
        <v>696</v>
      </c>
      <c r="JB210" s="20" t="s">
        <v>698</v>
      </c>
      <c r="JC210" s="20" t="s">
        <v>698</v>
      </c>
      <c r="JD210" s="20" t="s">
        <v>725</v>
      </c>
      <c r="JE210" s="20" t="s">
        <v>726</v>
      </c>
      <c r="JR210" s="20" t="s">
        <v>698</v>
      </c>
      <c r="JS210" s="20" t="s">
        <v>698</v>
      </c>
      <c r="JX210" s="20" t="s">
        <v>789</v>
      </c>
      <c r="JY210" s="20" t="s">
        <v>914</v>
      </c>
      <c r="QB210" s="20" t="s">
        <v>914</v>
      </c>
      <c r="QS210" s="20" t="s">
        <v>1659</v>
      </c>
      <c r="RK210" s="20" t="s">
        <v>696</v>
      </c>
      <c r="RL210" s="20" t="s">
        <v>1554</v>
      </c>
      <c r="XL210" s="20" t="s">
        <v>1902</v>
      </c>
      <c r="XM210" s="20" t="s">
        <v>2184</v>
      </c>
      <c r="XN210" s="20" t="s">
        <v>1904</v>
      </c>
      <c r="XO210" s="20" t="s">
        <v>1905</v>
      </c>
      <c r="XQ210" s="24">
        <v>44148</v>
      </c>
      <c r="XU210" s="20" t="s">
        <v>1624</v>
      </c>
      <c r="XV210" s="20" t="s">
        <v>1625</v>
      </c>
      <c r="XW210" s="20" t="s">
        <v>1626</v>
      </c>
      <c r="XX210" s="20" t="s">
        <v>1627</v>
      </c>
      <c r="XY210" s="20" t="s">
        <v>2185</v>
      </c>
    </row>
    <row r="211" spans="1:649" ht="13">
      <c r="A211" s="20">
        <v>1409</v>
      </c>
      <c r="B211" s="21">
        <v>44147</v>
      </c>
      <c r="C211" s="20">
        <v>2020</v>
      </c>
      <c r="D211" s="20">
        <v>20200307</v>
      </c>
      <c r="E211" s="20">
        <v>34529</v>
      </c>
      <c r="F211" s="20" t="s">
        <v>885</v>
      </c>
      <c r="G211" s="20">
        <v>39706</v>
      </c>
      <c r="H211" s="20" t="s">
        <v>1943</v>
      </c>
      <c r="I211" s="20" t="s">
        <v>692</v>
      </c>
      <c r="J211" s="20" t="s">
        <v>693</v>
      </c>
      <c r="K211" s="20" t="s">
        <v>694</v>
      </c>
      <c r="L211" s="20">
        <v>77002</v>
      </c>
      <c r="M211" s="22">
        <v>44122.3125</v>
      </c>
      <c r="P211" s="20">
        <v>29.995086100000002</v>
      </c>
      <c r="Q211" s="20">
        <v>-93.992647000000005</v>
      </c>
      <c r="R211" s="20" t="s">
        <v>697</v>
      </c>
      <c r="W211" s="20">
        <v>2</v>
      </c>
      <c r="Y211" s="20">
        <v>2</v>
      </c>
      <c r="Z211" s="20" t="s">
        <v>698</v>
      </c>
      <c r="AF211" s="20">
        <v>0</v>
      </c>
      <c r="AG211" s="20" t="s">
        <v>698</v>
      </c>
      <c r="AM211" s="20">
        <v>0</v>
      </c>
      <c r="AN211" s="20" t="s">
        <v>699</v>
      </c>
      <c r="AP211" s="20" t="s">
        <v>700</v>
      </c>
      <c r="AQ211" s="23">
        <v>44122.3125</v>
      </c>
      <c r="AR211" s="20" t="s">
        <v>736</v>
      </c>
      <c r="AS211" s="20" t="s">
        <v>702</v>
      </c>
      <c r="AU211" s="20" t="s">
        <v>698</v>
      </c>
      <c r="AV211" s="20" t="s">
        <v>2186</v>
      </c>
      <c r="BC211" s="23">
        <v>44122.3125</v>
      </c>
      <c r="BF211" s="20" t="s">
        <v>754</v>
      </c>
      <c r="BH211" s="20" t="s">
        <v>698</v>
      </c>
      <c r="BM211" s="20" t="s">
        <v>698</v>
      </c>
      <c r="CA211" s="20">
        <v>0</v>
      </c>
      <c r="CB211" s="20" t="s">
        <v>818</v>
      </c>
      <c r="CC211" s="20" t="s">
        <v>2187</v>
      </c>
      <c r="CD211" s="20" t="s">
        <v>694</v>
      </c>
      <c r="CE211" s="20">
        <v>77627</v>
      </c>
      <c r="CF211" s="20" t="s">
        <v>820</v>
      </c>
      <c r="CG211" s="20" t="s">
        <v>821</v>
      </c>
      <c r="CH211" s="20" t="s">
        <v>710</v>
      </c>
      <c r="CI211" s="20" t="s">
        <v>711</v>
      </c>
      <c r="CJ211" s="20" t="s">
        <v>698</v>
      </c>
      <c r="CK211" s="20" t="s">
        <v>712</v>
      </c>
      <c r="CL211" s="20" t="s">
        <v>713</v>
      </c>
      <c r="CM211" s="20" t="s">
        <v>758</v>
      </c>
      <c r="CP211" s="20" t="s">
        <v>698</v>
      </c>
      <c r="DM211" s="20" t="s">
        <v>743</v>
      </c>
      <c r="DN211" s="20" t="s">
        <v>829</v>
      </c>
      <c r="EM211" s="20" t="s">
        <v>830</v>
      </c>
      <c r="FK211" s="20">
        <v>2017</v>
      </c>
      <c r="FM211" s="20" t="s">
        <v>719</v>
      </c>
      <c r="FO211" s="20" t="s">
        <v>720</v>
      </c>
      <c r="FR211" s="20" t="s">
        <v>823</v>
      </c>
      <c r="FY211" s="20" t="s">
        <v>698</v>
      </c>
      <c r="GC211" s="20" t="s">
        <v>696</v>
      </c>
      <c r="GD211" s="20" t="s">
        <v>698</v>
      </c>
      <c r="GE211" s="20" t="s">
        <v>696</v>
      </c>
      <c r="GH211" s="20" t="s">
        <v>696</v>
      </c>
      <c r="GK211" s="20" t="s">
        <v>698</v>
      </c>
      <c r="GT211" s="20" t="s">
        <v>698</v>
      </c>
      <c r="GU211" s="20" t="s">
        <v>696</v>
      </c>
      <c r="GX211" s="20" t="s">
        <v>696</v>
      </c>
      <c r="GY211" s="20" t="s">
        <v>698</v>
      </c>
      <c r="HF211" s="20">
        <v>0</v>
      </c>
      <c r="HG211" s="20">
        <v>100</v>
      </c>
      <c r="HH211" s="20">
        <v>100</v>
      </c>
      <c r="HI211" s="20">
        <v>300</v>
      </c>
      <c r="HJ211" s="20">
        <v>500</v>
      </c>
      <c r="HK211" s="20">
        <v>0</v>
      </c>
      <c r="HM211" s="20">
        <v>1000</v>
      </c>
      <c r="HR211" s="20">
        <v>80</v>
      </c>
      <c r="HS211" s="20">
        <v>285</v>
      </c>
      <c r="HY211" s="20" t="s">
        <v>723</v>
      </c>
      <c r="HZ211" s="20" t="s">
        <v>698</v>
      </c>
      <c r="IS211" s="20" t="s">
        <v>724</v>
      </c>
      <c r="IT211" s="20" t="s">
        <v>696</v>
      </c>
      <c r="IU211" s="20" t="s">
        <v>696</v>
      </c>
      <c r="IV211" s="20" t="s">
        <v>696</v>
      </c>
      <c r="IW211" s="20" t="s">
        <v>698</v>
      </c>
      <c r="IX211" s="20" t="s">
        <v>698</v>
      </c>
      <c r="IY211" s="20" t="s">
        <v>696</v>
      </c>
      <c r="IZ211" s="20" t="s">
        <v>696</v>
      </c>
      <c r="JA211" s="20" t="s">
        <v>696</v>
      </c>
      <c r="JB211" s="20" t="s">
        <v>698</v>
      </c>
      <c r="JC211" s="20" t="s">
        <v>698</v>
      </c>
      <c r="JD211" s="20" t="s">
        <v>725</v>
      </c>
      <c r="JE211" s="20" t="s">
        <v>726</v>
      </c>
      <c r="JR211" s="20" t="s">
        <v>698</v>
      </c>
      <c r="JS211" s="20" t="s">
        <v>698</v>
      </c>
      <c r="JX211" s="20" t="s">
        <v>833</v>
      </c>
      <c r="JY211" s="20" t="s">
        <v>834</v>
      </c>
      <c r="JZ211" s="20" t="s">
        <v>834</v>
      </c>
      <c r="LD211" s="20" t="s">
        <v>905</v>
      </c>
      <c r="LG211" s="20" t="s">
        <v>696</v>
      </c>
      <c r="LL211" s="20" t="s">
        <v>696</v>
      </c>
      <c r="LS211" s="20" t="s">
        <v>696</v>
      </c>
      <c r="LT211" s="20" t="s">
        <v>2188</v>
      </c>
      <c r="LU211" s="20" t="s">
        <v>696</v>
      </c>
      <c r="LV211" s="20" t="s">
        <v>698</v>
      </c>
      <c r="LW211" s="20" t="s">
        <v>838</v>
      </c>
      <c r="LX211" s="20" t="s">
        <v>838</v>
      </c>
      <c r="XL211" s="20" t="s">
        <v>1902</v>
      </c>
      <c r="XM211" s="20" t="s">
        <v>1903</v>
      </c>
      <c r="XN211" s="20" t="s">
        <v>1904</v>
      </c>
      <c r="XO211" s="20" t="s">
        <v>1905</v>
      </c>
      <c r="XQ211" s="24">
        <v>44147</v>
      </c>
      <c r="XU211" s="20" t="s">
        <v>1624</v>
      </c>
      <c r="XV211" s="20" t="s">
        <v>2189</v>
      </c>
      <c r="XW211" s="20" t="s">
        <v>1626</v>
      </c>
      <c r="XX211" s="20" t="s">
        <v>1627</v>
      </c>
      <c r="XY211" s="20" t="s">
        <v>2190</v>
      </c>
    </row>
    <row r="212" spans="1:649" ht="13">
      <c r="A212" s="20">
        <v>1411</v>
      </c>
      <c r="B212" s="21">
        <v>44146</v>
      </c>
      <c r="C212" s="20">
        <v>2020</v>
      </c>
      <c r="D212" s="20">
        <v>20200306</v>
      </c>
      <c r="E212" s="20">
        <v>34522</v>
      </c>
      <c r="F212" s="20" t="s">
        <v>885</v>
      </c>
      <c r="G212" s="20">
        <v>18718</v>
      </c>
      <c r="H212" s="20" t="s">
        <v>918</v>
      </c>
      <c r="I212" s="20" t="s">
        <v>692</v>
      </c>
      <c r="J212" s="20" t="s">
        <v>693</v>
      </c>
      <c r="K212" s="20" t="s">
        <v>694</v>
      </c>
      <c r="L212" s="20">
        <v>77002</v>
      </c>
      <c r="M212" s="22">
        <v>44118.4375</v>
      </c>
      <c r="P212" s="20">
        <v>40.616076</v>
      </c>
      <c r="Q212" s="20">
        <v>-74.340110999999993</v>
      </c>
      <c r="R212" s="20" t="s">
        <v>844</v>
      </c>
      <c r="S212" s="20" t="s">
        <v>845</v>
      </c>
      <c r="W212" s="20">
        <v>0.3</v>
      </c>
      <c r="Y212" s="20">
        <v>0.3</v>
      </c>
      <c r="Z212" s="20" t="s">
        <v>698</v>
      </c>
      <c r="AF212" s="20">
        <v>0</v>
      </c>
      <c r="AG212" s="20" t="s">
        <v>698</v>
      </c>
      <c r="AM212" s="20">
        <v>0</v>
      </c>
      <c r="AN212" s="20" t="s">
        <v>699</v>
      </c>
      <c r="AP212" s="20" t="s">
        <v>700</v>
      </c>
      <c r="AQ212" s="23">
        <v>44118.4375</v>
      </c>
      <c r="AR212" s="20" t="s">
        <v>776</v>
      </c>
      <c r="AS212" s="20" t="s">
        <v>702</v>
      </c>
      <c r="AU212" s="20" t="s">
        <v>698</v>
      </c>
      <c r="AV212" s="20" t="s">
        <v>2191</v>
      </c>
      <c r="BC212" s="23">
        <v>44118.4375</v>
      </c>
      <c r="BF212" s="20" t="s">
        <v>754</v>
      </c>
      <c r="BH212" s="20" t="s">
        <v>698</v>
      </c>
      <c r="BM212" s="20" t="s">
        <v>698</v>
      </c>
      <c r="BQ212" s="20" t="s">
        <v>779</v>
      </c>
      <c r="BU212" s="20" t="s">
        <v>779</v>
      </c>
      <c r="CA212" s="20">
        <v>0</v>
      </c>
      <c r="CB212" s="20" t="s">
        <v>2192</v>
      </c>
      <c r="CC212" s="20" t="s">
        <v>2193</v>
      </c>
      <c r="CD212" s="20" t="s">
        <v>1246</v>
      </c>
      <c r="CE212" s="20">
        <v>7076</v>
      </c>
      <c r="CF212" s="20" t="s">
        <v>2194</v>
      </c>
      <c r="CG212" s="20" t="s">
        <v>1248</v>
      </c>
      <c r="CH212" s="20" t="s">
        <v>1931</v>
      </c>
      <c r="CI212" s="20" t="s">
        <v>2195</v>
      </c>
      <c r="CJ212" s="20" t="s">
        <v>698</v>
      </c>
      <c r="CK212" s="20" t="s">
        <v>712</v>
      </c>
      <c r="CL212" s="20" t="s">
        <v>741</v>
      </c>
      <c r="CM212" s="20" t="s">
        <v>878</v>
      </c>
      <c r="CO212" s="20">
        <v>96</v>
      </c>
      <c r="CP212" s="20" t="s">
        <v>698</v>
      </c>
      <c r="DM212" s="20" t="s">
        <v>743</v>
      </c>
      <c r="DN212" s="20" t="s">
        <v>766</v>
      </c>
      <c r="FJ212" s="20" t="s">
        <v>1847</v>
      </c>
      <c r="FK212" s="20">
        <v>1956</v>
      </c>
      <c r="FM212" s="20" t="s">
        <v>719</v>
      </c>
      <c r="FO212" s="20" t="s">
        <v>720</v>
      </c>
      <c r="FR212" s="20" t="s">
        <v>749</v>
      </c>
      <c r="FY212" s="20" t="s">
        <v>698</v>
      </c>
      <c r="GC212" s="20" t="s">
        <v>698</v>
      </c>
      <c r="GD212" s="20" t="s">
        <v>698</v>
      </c>
      <c r="GE212" s="20" t="s">
        <v>698</v>
      </c>
      <c r="GK212" s="20" t="s">
        <v>698</v>
      </c>
      <c r="GT212" s="20" t="s">
        <v>696</v>
      </c>
      <c r="GU212" s="20" t="s">
        <v>696</v>
      </c>
      <c r="GX212" s="20" t="s">
        <v>696</v>
      </c>
      <c r="GY212" s="20" t="s">
        <v>696</v>
      </c>
      <c r="HB212" s="20" t="s">
        <v>696</v>
      </c>
      <c r="HC212" s="20" t="s">
        <v>696</v>
      </c>
      <c r="HF212" s="20">
        <v>0</v>
      </c>
      <c r="HG212" s="20">
        <v>17</v>
      </c>
      <c r="HH212" s="20">
        <v>100</v>
      </c>
      <c r="HI212" s="20">
        <v>2000</v>
      </c>
      <c r="HJ212" s="20">
        <v>0</v>
      </c>
      <c r="HK212" s="20">
        <v>0</v>
      </c>
      <c r="HM212" s="20">
        <v>2117</v>
      </c>
      <c r="HR212" s="20">
        <v>235</v>
      </c>
      <c r="HS212" s="20">
        <v>1200</v>
      </c>
      <c r="HY212" s="20" t="s">
        <v>723</v>
      </c>
      <c r="HZ212" s="20" t="s">
        <v>698</v>
      </c>
      <c r="IC212" s="20">
        <v>1</v>
      </c>
      <c r="ID212" s="20" t="s">
        <v>696</v>
      </c>
      <c r="IL212" s="20" t="s">
        <v>698</v>
      </c>
      <c r="IS212" s="20" t="s">
        <v>724</v>
      </c>
      <c r="IT212" s="20" t="s">
        <v>696</v>
      </c>
      <c r="IU212" s="20" t="s">
        <v>696</v>
      </c>
      <c r="IV212" s="20" t="s">
        <v>696</v>
      </c>
      <c r="IW212" s="20" t="s">
        <v>698</v>
      </c>
      <c r="IX212" s="20" t="s">
        <v>698</v>
      </c>
      <c r="IY212" s="20" t="s">
        <v>696</v>
      </c>
      <c r="IZ212" s="20" t="s">
        <v>696</v>
      </c>
      <c r="JA212" s="20" t="s">
        <v>696</v>
      </c>
      <c r="JB212" s="20" t="s">
        <v>698</v>
      </c>
      <c r="JC212" s="20" t="s">
        <v>698</v>
      </c>
      <c r="JD212" s="20" t="s">
        <v>859</v>
      </c>
      <c r="JF212" s="20" t="s">
        <v>696</v>
      </c>
      <c r="JI212" s="20" t="s">
        <v>696</v>
      </c>
      <c r="JJ212" s="20" t="s">
        <v>696</v>
      </c>
      <c r="JR212" s="20" t="s">
        <v>698</v>
      </c>
      <c r="JS212" s="20" t="s">
        <v>698</v>
      </c>
      <c r="JX212" s="20" t="s">
        <v>833</v>
      </c>
      <c r="JY212" s="20" t="s">
        <v>860</v>
      </c>
      <c r="JZ212" s="20" t="s">
        <v>860</v>
      </c>
      <c r="KA212" s="20" t="s">
        <v>835</v>
      </c>
      <c r="KD212" s="20" t="s">
        <v>696</v>
      </c>
      <c r="KL212" s="20" t="s">
        <v>696</v>
      </c>
      <c r="KP212" s="20" t="s">
        <v>698</v>
      </c>
      <c r="LB212" s="20" t="s">
        <v>696</v>
      </c>
      <c r="LC212" s="20" t="s">
        <v>696</v>
      </c>
      <c r="XL212" s="20" t="s">
        <v>730</v>
      </c>
      <c r="XM212" s="20" t="s">
        <v>1360</v>
      </c>
      <c r="XN212" s="20" t="s">
        <v>732</v>
      </c>
      <c r="XO212" s="20">
        <v>7139897126</v>
      </c>
      <c r="XQ212" s="24">
        <v>44146</v>
      </c>
      <c r="XU212" s="20" t="s">
        <v>730</v>
      </c>
      <c r="XV212" s="20">
        <v>7139897126</v>
      </c>
      <c r="XW212" s="20" t="s">
        <v>1360</v>
      </c>
      <c r="XX212" s="20" t="s">
        <v>732</v>
      </c>
      <c r="XY212" s="20" t="s">
        <v>2196</v>
      </c>
    </row>
    <row r="213" spans="1:649" ht="13">
      <c r="A213" s="20">
        <v>1417</v>
      </c>
      <c r="B213" s="21">
        <v>44139</v>
      </c>
      <c r="C213" s="20">
        <v>2020</v>
      </c>
      <c r="D213" s="20">
        <v>20200296</v>
      </c>
      <c r="E213" s="20">
        <v>34478</v>
      </c>
      <c r="F213" s="20" t="s">
        <v>885</v>
      </c>
      <c r="G213" s="20">
        <v>39706</v>
      </c>
      <c r="H213" s="20" t="s">
        <v>1943</v>
      </c>
      <c r="I213" s="20" t="s">
        <v>692</v>
      </c>
      <c r="J213" s="20" t="s">
        <v>693</v>
      </c>
      <c r="K213" s="20" t="s">
        <v>694</v>
      </c>
      <c r="L213" s="20">
        <v>77002</v>
      </c>
      <c r="M213" s="22">
        <v>44114.375</v>
      </c>
      <c r="P213" s="20">
        <v>29.992222000000002</v>
      </c>
      <c r="Q213" s="20">
        <v>-93.991665999999995</v>
      </c>
      <c r="R213" s="20" t="s">
        <v>697</v>
      </c>
      <c r="W213" s="20">
        <v>10</v>
      </c>
      <c r="Y213" s="20">
        <v>10</v>
      </c>
      <c r="Z213" s="20" t="s">
        <v>698</v>
      </c>
      <c r="AF213" s="20">
        <v>0</v>
      </c>
      <c r="AG213" s="20" t="s">
        <v>698</v>
      </c>
      <c r="AM213" s="20">
        <v>0</v>
      </c>
      <c r="AN213" s="20" t="s">
        <v>699</v>
      </c>
      <c r="AP213" s="20" t="s">
        <v>700</v>
      </c>
      <c r="AQ213" s="23">
        <v>44114.375</v>
      </c>
      <c r="AR213" s="20" t="s">
        <v>907</v>
      </c>
      <c r="AS213" s="20" t="s">
        <v>702</v>
      </c>
      <c r="AU213" s="20" t="s">
        <v>698</v>
      </c>
      <c r="AV213" s="20" t="s">
        <v>2197</v>
      </c>
      <c r="BC213" s="23">
        <v>44114.375</v>
      </c>
      <c r="BF213" s="20" t="s">
        <v>754</v>
      </c>
      <c r="BH213" s="20" t="s">
        <v>698</v>
      </c>
      <c r="BM213" s="20" t="s">
        <v>698</v>
      </c>
      <c r="CA213" s="20">
        <v>0</v>
      </c>
      <c r="CB213" s="20" t="s">
        <v>818</v>
      </c>
      <c r="CC213" s="20" t="s">
        <v>2057</v>
      </c>
      <c r="CD213" s="20" t="s">
        <v>694</v>
      </c>
      <c r="CE213" s="20">
        <v>77627</v>
      </c>
      <c r="CF213" s="20" t="s">
        <v>820</v>
      </c>
      <c r="CG213" s="20" t="s">
        <v>821</v>
      </c>
      <c r="CH213" s="20" t="s">
        <v>710</v>
      </c>
      <c r="CI213" s="20" t="s">
        <v>711</v>
      </c>
      <c r="CJ213" s="20" t="s">
        <v>698</v>
      </c>
      <c r="CK213" s="20" t="s">
        <v>712</v>
      </c>
      <c r="CL213" s="20" t="s">
        <v>910</v>
      </c>
      <c r="CP213" s="20" t="s">
        <v>698</v>
      </c>
      <c r="DM213" s="20" t="s">
        <v>743</v>
      </c>
      <c r="DN213" s="20" t="s">
        <v>911</v>
      </c>
      <c r="EW213" s="20" t="s">
        <v>1156</v>
      </c>
      <c r="EY213" s="20" t="s">
        <v>913</v>
      </c>
      <c r="FK213" s="20">
        <v>1956</v>
      </c>
      <c r="FM213" s="20" t="s">
        <v>719</v>
      </c>
      <c r="FO213" s="20" t="s">
        <v>766</v>
      </c>
      <c r="FX213" s="20" t="s">
        <v>2198</v>
      </c>
      <c r="FY213" s="20" t="s">
        <v>698</v>
      </c>
      <c r="GC213" s="20" t="s">
        <v>696</v>
      </c>
      <c r="GD213" s="20" t="s">
        <v>698</v>
      </c>
      <c r="GE213" s="20" t="s">
        <v>696</v>
      </c>
      <c r="GH213" s="20" t="s">
        <v>696</v>
      </c>
      <c r="GK213" s="20" t="s">
        <v>698</v>
      </c>
      <c r="GT213" s="20" t="s">
        <v>698</v>
      </c>
      <c r="GU213" s="20" t="s">
        <v>696</v>
      </c>
      <c r="GX213" s="20" t="s">
        <v>696</v>
      </c>
      <c r="GY213" s="20" t="s">
        <v>698</v>
      </c>
      <c r="HF213" s="20">
        <v>0</v>
      </c>
      <c r="HG213" s="20">
        <v>600</v>
      </c>
      <c r="HH213" s="20">
        <v>0</v>
      </c>
      <c r="HI213" s="20">
        <v>5500</v>
      </c>
      <c r="HJ213" s="20">
        <v>8500</v>
      </c>
      <c r="HK213" s="20">
        <v>0</v>
      </c>
      <c r="HM213" s="20">
        <v>14600</v>
      </c>
      <c r="HR213" s="20">
        <v>85</v>
      </c>
      <c r="HS213" s="20">
        <v>285</v>
      </c>
      <c r="HY213" s="20" t="s">
        <v>723</v>
      </c>
      <c r="HZ213" s="20" t="s">
        <v>698</v>
      </c>
      <c r="IS213" s="20" t="s">
        <v>724</v>
      </c>
      <c r="IT213" s="20" t="s">
        <v>696</v>
      </c>
      <c r="IU213" s="20" t="s">
        <v>696</v>
      </c>
      <c r="IV213" s="20" t="s">
        <v>696</v>
      </c>
      <c r="IW213" s="20" t="s">
        <v>698</v>
      </c>
      <c r="IX213" s="20" t="s">
        <v>698</v>
      </c>
      <c r="IY213" s="20" t="s">
        <v>696</v>
      </c>
      <c r="IZ213" s="20" t="s">
        <v>696</v>
      </c>
      <c r="JA213" s="20" t="s">
        <v>696</v>
      </c>
      <c r="JB213" s="20" t="s">
        <v>698</v>
      </c>
      <c r="JC213" s="20" t="s">
        <v>698</v>
      </c>
      <c r="JD213" s="20" t="s">
        <v>725</v>
      </c>
      <c r="JE213" s="20" t="s">
        <v>726</v>
      </c>
      <c r="JR213" s="20" t="s">
        <v>698</v>
      </c>
      <c r="JS213" s="20" t="s">
        <v>698</v>
      </c>
      <c r="JX213" s="20" t="s">
        <v>1173</v>
      </c>
      <c r="JY213" s="20" t="s">
        <v>1174</v>
      </c>
      <c r="LY213" s="20" t="s">
        <v>1174</v>
      </c>
      <c r="MA213" s="20" t="s">
        <v>766</v>
      </c>
      <c r="MD213" s="20" t="s">
        <v>2199</v>
      </c>
      <c r="ME213" s="20" t="s">
        <v>696</v>
      </c>
      <c r="MF213" s="20" t="s">
        <v>696</v>
      </c>
      <c r="XL213" s="20" t="s">
        <v>1902</v>
      </c>
      <c r="XM213" s="20" t="s">
        <v>1903</v>
      </c>
      <c r="XN213" s="20" t="s">
        <v>1904</v>
      </c>
      <c r="XO213" s="20" t="s">
        <v>1905</v>
      </c>
      <c r="XQ213" s="24">
        <v>44139</v>
      </c>
      <c r="XU213" s="20" t="s">
        <v>1624</v>
      </c>
      <c r="XV213" s="20" t="s">
        <v>1625</v>
      </c>
      <c r="XW213" s="20" t="s">
        <v>1626</v>
      </c>
      <c r="XX213" s="20" t="s">
        <v>1627</v>
      </c>
      <c r="XY213" s="20" t="s">
        <v>2200</v>
      </c>
    </row>
    <row r="214" spans="1:649" ht="13">
      <c r="A214" s="20">
        <v>1438</v>
      </c>
      <c r="B214" s="21">
        <v>44117</v>
      </c>
      <c r="C214" s="20">
        <v>2020</v>
      </c>
      <c r="D214" s="20">
        <v>20200277</v>
      </c>
      <c r="E214" s="20">
        <v>34382</v>
      </c>
      <c r="F214" s="20" t="s">
        <v>825</v>
      </c>
      <c r="G214" s="20">
        <v>18718</v>
      </c>
      <c r="H214" s="20" t="s">
        <v>918</v>
      </c>
      <c r="I214" s="20" t="s">
        <v>692</v>
      </c>
      <c r="J214" s="20" t="s">
        <v>693</v>
      </c>
      <c r="K214" s="20" t="s">
        <v>694</v>
      </c>
      <c r="L214" s="20">
        <v>77002</v>
      </c>
      <c r="M214" s="22">
        <v>44088.395833333336</v>
      </c>
      <c r="P214" s="20">
        <v>32.226779999999998</v>
      </c>
      <c r="Q214" s="20">
        <v>-101.39443</v>
      </c>
      <c r="R214" s="20" t="s">
        <v>697</v>
      </c>
      <c r="W214" s="20">
        <v>3</v>
      </c>
      <c r="Y214" s="20">
        <v>3</v>
      </c>
      <c r="Z214" s="20" t="s">
        <v>698</v>
      </c>
      <c r="AF214" s="20">
        <v>0</v>
      </c>
      <c r="AG214" s="20" t="s">
        <v>698</v>
      </c>
      <c r="AM214" s="20">
        <v>0</v>
      </c>
      <c r="AN214" s="20" t="s">
        <v>699</v>
      </c>
      <c r="AP214" s="20" t="s">
        <v>700</v>
      </c>
      <c r="AQ214" s="23">
        <v>44088.395833333336</v>
      </c>
      <c r="AR214" s="20" t="s">
        <v>776</v>
      </c>
      <c r="AS214" s="20" t="s">
        <v>702</v>
      </c>
      <c r="AU214" s="20" t="s">
        <v>698</v>
      </c>
      <c r="AV214" s="20" t="s">
        <v>2201</v>
      </c>
      <c r="BC214" s="23">
        <v>44088.416666666664</v>
      </c>
      <c r="BF214" s="20" t="s">
        <v>754</v>
      </c>
      <c r="BH214" s="20" t="s">
        <v>698</v>
      </c>
      <c r="BM214" s="20" t="s">
        <v>698</v>
      </c>
      <c r="BQ214" s="20" t="s">
        <v>779</v>
      </c>
      <c r="BU214" s="20" t="s">
        <v>779</v>
      </c>
      <c r="CA214" s="20">
        <v>0</v>
      </c>
      <c r="CB214" s="20" t="s">
        <v>1145</v>
      </c>
      <c r="CC214" s="20" t="s">
        <v>2202</v>
      </c>
      <c r="CD214" s="20" t="s">
        <v>694</v>
      </c>
      <c r="CE214" s="20">
        <v>79720</v>
      </c>
      <c r="CF214" s="20" t="s">
        <v>2203</v>
      </c>
      <c r="CG214" s="20" t="s">
        <v>1506</v>
      </c>
      <c r="CH214" s="20" t="s">
        <v>1931</v>
      </c>
      <c r="CI214" s="20">
        <v>3</v>
      </c>
      <c r="CJ214" s="20" t="s">
        <v>698</v>
      </c>
      <c r="CK214" s="20" t="s">
        <v>891</v>
      </c>
      <c r="CL214" s="20" t="s">
        <v>713</v>
      </c>
      <c r="CM214" s="20" t="s">
        <v>758</v>
      </c>
      <c r="CP214" s="20" t="s">
        <v>698</v>
      </c>
      <c r="DM214" s="20" t="s">
        <v>743</v>
      </c>
      <c r="DN214" s="20" t="s">
        <v>829</v>
      </c>
      <c r="EM214" s="20" t="s">
        <v>1188</v>
      </c>
      <c r="EN214" s="20" t="s">
        <v>1740</v>
      </c>
      <c r="EP214" s="20" t="s">
        <v>2204</v>
      </c>
      <c r="FK214" s="20">
        <v>1929</v>
      </c>
      <c r="FL214" s="20">
        <v>1929</v>
      </c>
      <c r="FM214" s="20" t="s">
        <v>719</v>
      </c>
      <c r="FO214" s="20" t="s">
        <v>720</v>
      </c>
      <c r="FR214" s="20" t="s">
        <v>823</v>
      </c>
      <c r="FY214" s="20" t="s">
        <v>698</v>
      </c>
      <c r="GC214" s="20" t="s">
        <v>696</v>
      </c>
      <c r="GD214" s="20" t="s">
        <v>698</v>
      </c>
      <c r="GE214" s="20" t="s">
        <v>696</v>
      </c>
      <c r="GH214" s="20" t="s">
        <v>696</v>
      </c>
      <c r="GK214" s="20" t="s">
        <v>698</v>
      </c>
      <c r="GT214" s="20" t="s">
        <v>696</v>
      </c>
      <c r="GU214" s="20" t="s">
        <v>698</v>
      </c>
      <c r="HF214" s="20">
        <v>14000</v>
      </c>
      <c r="HG214" s="20">
        <v>160</v>
      </c>
      <c r="HH214" s="20">
        <v>100</v>
      </c>
      <c r="HI214" s="20">
        <v>1211</v>
      </c>
      <c r="HJ214" s="20">
        <v>1000</v>
      </c>
      <c r="HK214" s="20">
        <v>0</v>
      </c>
      <c r="HM214" s="20">
        <v>16471</v>
      </c>
      <c r="HR214" s="20">
        <v>831</v>
      </c>
      <c r="HS214" s="20">
        <v>1140</v>
      </c>
      <c r="HY214" s="20" t="s">
        <v>723</v>
      </c>
      <c r="HZ214" s="20" t="s">
        <v>698</v>
      </c>
      <c r="IC214" s="20">
        <v>1</v>
      </c>
      <c r="ID214" s="20" t="s">
        <v>696</v>
      </c>
      <c r="IL214" s="20" t="s">
        <v>698</v>
      </c>
      <c r="IS214" s="20" t="s">
        <v>724</v>
      </c>
      <c r="IT214" s="20" t="s">
        <v>696</v>
      </c>
      <c r="IU214" s="20" t="s">
        <v>696</v>
      </c>
      <c r="IV214" s="20" t="s">
        <v>696</v>
      </c>
      <c r="IW214" s="20" t="s">
        <v>698</v>
      </c>
      <c r="IX214" s="20" t="s">
        <v>698</v>
      </c>
      <c r="IY214" s="20" t="s">
        <v>696</v>
      </c>
      <c r="IZ214" s="20" t="s">
        <v>696</v>
      </c>
      <c r="JA214" s="20" t="s">
        <v>696</v>
      </c>
      <c r="JB214" s="20" t="s">
        <v>698</v>
      </c>
      <c r="JC214" s="20" t="s">
        <v>698</v>
      </c>
      <c r="JD214" s="20" t="s">
        <v>725</v>
      </c>
      <c r="JE214" s="20" t="s">
        <v>726</v>
      </c>
      <c r="JR214" s="20" t="s">
        <v>698</v>
      </c>
      <c r="JS214" s="20" t="s">
        <v>698</v>
      </c>
      <c r="JX214" s="20" t="s">
        <v>833</v>
      </c>
      <c r="JY214" s="20" t="s">
        <v>834</v>
      </c>
      <c r="JZ214" s="20" t="s">
        <v>834</v>
      </c>
      <c r="LD214" s="20" t="s">
        <v>905</v>
      </c>
      <c r="LG214" s="20" t="s">
        <v>696</v>
      </c>
      <c r="LL214" s="20" t="s">
        <v>696</v>
      </c>
      <c r="LS214" s="20" t="s">
        <v>696</v>
      </c>
      <c r="LT214" s="20" t="s">
        <v>2205</v>
      </c>
      <c r="LU214" s="20" t="s">
        <v>696</v>
      </c>
      <c r="LV214" s="20" t="s">
        <v>698</v>
      </c>
      <c r="LW214" s="20" t="s">
        <v>696</v>
      </c>
      <c r="LX214" s="20" t="s">
        <v>696</v>
      </c>
      <c r="XL214" s="20" t="s">
        <v>1902</v>
      </c>
      <c r="XM214" s="20" t="s">
        <v>1903</v>
      </c>
      <c r="XN214" s="20" t="s">
        <v>1904</v>
      </c>
      <c r="XO214" s="20" t="s">
        <v>1905</v>
      </c>
      <c r="XQ214" s="24">
        <v>44119</v>
      </c>
      <c r="XU214" s="20" t="s">
        <v>2206</v>
      </c>
      <c r="XV214" s="20" t="s">
        <v>2189</v>
      </c>
      <c r="XW214" s="20" t="s">
        <v>1626</v>
      </c>
      <c r="XX214" s="20" t="s">
        <v>1627</v>
      </c>
      <c r="XY214" s="20" t="s">
        <v>2207</v>
      </c>
    </row>
    <row r="215" spans="1:649" ht="13">
      <c r="A215" s="20">
        <v>1455</v>
      </c>
      <c r="B215" s="21">
        <v>44097</v>
      </c>
      <c r="C215" s="20">
        <v>2020</v>
      </c>
      <c r="D215" s="20">
        <v>20200259</v>
      </c>
      <c r="E215" s="20">
        <v>34346</v>
      </c>
      <c r="F215" s="20" t="s">
        <v>825</v>
      </c>
      <c r="G215" s="20">
        <v>39596</v>
      </c>
      <c r="H215" s="20" t="s">
        <v>796</v>
      </c>
      <c r="I215" s="20" t="s">
        <v>692</v>
      </c>
      <c r="J215" s="20" t="s">
        <v>693</v>
      </c>
      <c r="K215" s="20" t="s">
        <v>694</v>
      </c>
      <c r="L215" s="20">
        <v>77002</v>
      </c>
      <c r="M215" s="22">
        <v>44068.375</v>
      </c>
      <c r="P215" s="20">
        <v>30.049423999999998</v>
      </c>
      <c r="Q215" s="20">
        <v>-94.069841999999994</v>
      </c>
      <c r="R215" s="20" t="s">
        <v>697</v>
      </c>
      <c r="W215" s="20">
        <v>23</v>
      </c>
      <c r="Y215" s="20">
        <v>23</v>
      </c>
      <c r="Z215" s="20" t="s">
        <v>698</v>
      </c>
      <c r="AF215" s="20">
        <v>0</v>
      </c>
      <c r="AG215" s="20" t="s">
        <v>698</v>
      </c>
      <c r="AM215" s="20">
        <v>0</v>
      </c>
      <c r="AN215" s="20" t="s">
        <v>766</v>
      </c>
      <c r="AO215" s="20" t="s">
        <v>2208</v>
      </c>
      <c r="AQ215" s="23">
        <v>44068.375</v>
      </c>
      <c r="AR215" s="20" t="s">
        <v>736</v>
      </c>
      <c r="AS215" s="20" t="s">
        <v>702</v>
      </c>
      <c r="AU215" s="20" t="s">
        <v>696</v>
      </c>
      <c r="AW215" s="23">
        <v>44068.386111111111</v>
      </c>
      <c r="AX215" s="23">
        <v>44071.630555555559</v>
      </c>
      <c r="BC215" s="23">
        <v>44068.395833333336</v>
      </c>
      <c r="BE215" s="23">
        <v>44102.618750000001</v>
      </c>
      <c r="BF215" s="20">
        <v>1288501</v>
      </c>
      <c r="BH215" s="20" t="s">
        <v>698</v>
      </c>
      <c r="BM215" s="20" t="s">
        <v>698</v>
      </c>
      <c r="CA215" s="20">
        <v>0</v>
      </c>
      <c r="CB215" s="20" t="s">
        <v>2209</v>
      </c>
      <c r="CC215" s="20" t="s">
        <v>2210</v>
      </c>
      <c r="CD215" s="20" t="s">
        <v>694</v>
      </c>
      <c r="CE215" s="20">
        <v>77705</v>
      </c>
      <c r="CF215" s="20" t="s">
        <v>2211</v>
      </c>
      <c r="CG215" s="20" t="s">
        <v>821</v>
      </c>
      <c r="CH215" s="20" t="s">
        <v>1931</v>
      </c>
      <c r="CI215" s="20">
        <v>204.83</v>
      </c>
      <c r="CJ215" s="20" t="s">
        <v>698</v>
      </c>
      <c r="CK215" s="20" t="s">
        <v>891</v>
      </c>
      <c r="CL215" s="20" t="s">
        <v>741</v>
      </c>
      <c r="CM215" s="20" t="s">
        <v>742</v>
      </c>
      <c r="CO215" s="20">
        <v>48</v>
      </c>
      <c r="CP215" s="20" t="s">
        <v>698</v>
      </c>
      <c r="DM215" s="20" t="s">
        <v>743</v>
      </c>
      <c r="DN215" s="20" t="s">
        <v>1951</v>
      </c>
      <c r="FK215" s="20">
        <v>1956</v>
      </c>
      <c r="FM215" s="20" t="s">
        <v>719</v>
      </c>
      <c r="FO215" s="20" t="s">
        <v>720</v>
      </c>
      <c r="FR215" s="20" t="s">
        <v>749</v>
      </c>
      <c r="FY215" s="20" t="s">
        <v>698</v>
      </c>
      <c r="GC215" s="20" t="s">
        <v>696</v>
      </c>
      <c r="GD215" s="20" t="s">
        <v>698</v>
      </c>
      <c r="GE215" s="20" t="s">
        <v>696</v>
      </c>
      <c r="GH215" s="20" t="s">
        <v>696</v>
      </c>
      <c r="GK215" s="20" t="s">
        <v>698</v>
      </c>
      <c r="GT215" s="20" t="s">
        <v>696</v>
      </c>
      <c r="GU215" s="20" t="s">
        <v>696</v>
      </c>
      <c r="GX215" s="20" t="s">
        <v>696</v>
      </c>
      <c r="GY215" s="20" t="s">
        <v>696</v>
      </c>
      <c r="HB215" s="20" t="s">
        <v>696</v>
      </c>
      <c r="HC215" s="20" t="s">
        <v>696</v>
      </c>
      <c r="HF215" s="20">
        <v>5000</v>
      </c>
      <c r="HG215" s="20">
        <v>900</v>
      </c>
      <c r="HH215" s="20">
        <v>21200</v>
      </c>
      <c r="HI215" s="20">
        <v>8500</v>
      </c>
      <c r="HJ215" s="20">
        <v>24529</v>
      </c>
      <c r="HK215" s="20">
        <v>0</v>
      </c>
      <c r="HM215" s="20">
        <v>60129</v>
      </c>
      <c r="HR215" s="20">
        <v>180</v>
      </c>
      <c r="HS215" s="20">
        <v>750</v>
      </c>
      <c r="HY215" s="20" t="s">
        <v>723</v>
      </c>
      <c r="HZ215" s="20" t="s">
        <v>698</v>
      </c>
      <c r="IS215" s="20" t="s">
        <v>724</v>
      </c>
      <c r="IT215" s="20" t="s">
        <v>696</v>
      </c>
      <c r="IU215" s="20" t="s">
        <v>696</v>
      </c>
      <c r="IV215" s="20" t="s">
        <v>696</v>
      </c>
      <c r="IW215" s="20" t="s">
        <v>698</v>
      </c>
      <c r="IX215" s="20" t="s">
        <v>698</v>
      </c>
      <c r="IY215" s="20" t="s">
        <v>696</v>
      </c>
      <c r="IZ215" s="20" t="s">
        <v>696</v>
      </c>
      <c r="JA215" s="20" t="s">
        <v>696</v>
      </c>
      <c r="JB215" s="20" t="s">
        <v>698</v>
      </c>
      <c r="JC215" s="20" t="s">
        <v>698</v>
      </c>
      <c r="JD215" s="20" t="s">
        <v>725</v>
      </c>
      <c r="JE215" s="20" t="s">
        <v>726</v>
      </c>
      <c r="JR215" s="20" t="s">
        <v>698</v>
      </c>
      <c r="JS215" s="20" t="s">
        <v>698</v>
      </c>
      <c r="JX215" s="20" t="s">
        <v>833</v>
      </c>
      <c r="JY215" s="20" t="s">
        <v>834</v>
      </c>
      <c r="JZ215" s="20" t="s">
        <v>834</v>
      </c>
      <c r="LD215" s="20" t="s">
        <v>905</v>
      </c>
      <c r="LH215" s="20" t="s">
        <v>696</v>
      </c>
      <c r="LL215" s="20" t="s">
        <v>696</v>
      </c>
      <c r="LP215" s="20" t="s">
        <v>696</v>
      </c>
      <c r="LU215" s="20" t="s">
        <v>698</v>
      </c>
      <c r="LV215" s="20" t="s">
        <v>698</v>
      </c>
      <c r="LW215" s="20" t="s">
        <v>838</v>
      </c>
      <c r="LX215" s="20" t="s">
        <v>838</v>
      </c>
      <c r="XL215" s="20" t="s">
        <v>1902</v>
      </c>
      <c r="XM215" s="20" t="s">
        <v>1903</v>
      </c>
      <c r="XN215" s="20" t="s">
        <v>1904</v>
      </c>
      <c r="XO215" s="20" t="s">
        <v>1905</v>
      </c>
      <c r="XQ215" s="24">
        <v>44111</v>
      </c>
      <c r="XU215" s="20" t="s">
        <v>2206</v>
      </c>
      <c r="XV215" s="20">
        <v>9795319036</v>
      </c>
      <c r="XW215" s="20" t="s">
        <v>1626</v>
      </c>
      <c r="XX215" s="20" t="s">
        <v>1627</v>
      </c>
      <c r="XY215" s="20" t="s">
        <v>2212</v>
      </c>
    </row>
    <row r="216" spans="1:649" ht="13">
      <c r="A216" s="20">
        <v>1465</v>
      </c>
      <c r="B216" s="21">
        <v>44076</v>
      </c>
      <c r="C216" s="20">
        <v>2020</v>
      </c>
      <c r="D216" s="20">
        <v>20200241</v>
      </c>
      <c r="E216" s="20">
        <v>34222</v>
      </c>
      <c r="F216" s="20" t="s">
        <v>885</v>
      </c>
      <c r="G216" s="20">
        <v>39706</v>
      </c>
      <c r="H216" s="20" t="s">
        <v>1943</v>
      </c>
      <c r="I216" s="20" t="s">
        <v>692</v>
      </c>
      <c r="J216" s="20" t="s">
        <v>693</v>
      </c>
      <c r="K216" s="20" t="s">
        <v>694</v>
      </c>
      <c r="L216" s="20">
        <v>77002</v>
      </c>
      <c r="M216" s="22">
        <v>44055.375</v>
      </c>
      <c r="P216" s="20">
        <v>29.990291299999999</v>
      </c>
      <c r="Q216" s="20">
        <v>-94.001082999999994</v>
      </c>
      <c r="R216" s="20" t="s">
        <v>697</v>
      </c>
      <c r="W216" s="20">
        <v>0.47</v>
      </c>
      <c r="Y216" s="20">
        <v>0.47</v>
      </c>
      <c r="Z216" s="20" t="s">
        <v>698</v>
      </c>
      <c r="AF216" s="20">
        <v>0</v>
      </c>
      <c r="AG216" s="20" t="s">
        <v>698</v>
      </c>
      <c r="AM216" s="20">
        <v>0</v>
      </c>
      <c r="AN216" s="20" t="s">
        <v>699</v>
      </c>
      <c r="AP216" s="20" t="s">
        <v>700</v>
      </c>
      <c r="AQ216" s="23">
        <v>44055.375</v>
      </c>
      <c r="AR216" s="20" t="s">
        <v>736</v>
      </c>
      <c r="AS216" s="20" t="s">
        <v>702</v>
      </c>
      <c r="AU216" s="20" t="s">
        <v>698</v>
      </c>
      <c r="AV216" s="20" t="s">
        <v>2213</v>
      </c>
      <c r="BC216" s="23">
        <v>44055.416666666664</v>
      </c>
      <c r="BF216" s="20" t="s">
        <v>754</v>
      </c>
      <c r="BH216" s="20" t="s">
        <v>698</v>
      </c>
      <c r="BM216" s="20" t="s">
        <v>698</v>
      </c>
      <c r="CA216" s="20">
        <v>0</v>
      </c>
      <c r="CB216" s="20" t="s">
        <v>818</v>
      </c>
      <c r="CC216" s="20" t="s">
        <v>2214</v>
      </c>
      <c r="CD216" s="20" t="s">
        <v>694</v>
      </c>
      <c r="CE216" s="20">
        <v>77627</v>
      </c>
      <c r="CF216" s="20" t="s">
        <v>820</v>
      </c>
      <c r="CG216" s="20" t="s">
        <v>821</v>
      </c>
      <c r="CH216" s="20" t="s">
        <v>710</v>
      </c>
      <c r="CI216" s="20" t="s">
        <v>711</v>
      </c>
      <c r="CJ216" s="20" t="s">
        <v>698</v>
      </c>
      <c r="CK216" s="20" t="s">
        <v>712</v>
      </c>
      <c r="CL216" s="20" t="s">
        <v>713</v>
      </c>
      <c r="CM216" s="20" t="s">
        <v>758</v>
      </c>
      <c r="CP216" s="20" t="s">
        <v>698</v>
      </c>
      <c r="DM216" s="20" t="s">
        <v>743</v>
      </c>
      <c r="DN216" s="20" t="s">
        <v>829</v>
      </c>
      <c r="EM216" s="20" t="s">
        <v>830</v>
      </c>
      <c r="FK216" s="20">
        <v>2006</v>
      </c>
      <c r="FM216" s="20" t="s">
        <v>719</v>
      </c>
      <c r="FO216" s="20" t="s">
        <v>720</v>
      </c>
      <c r="FR216" s="20" t="s">
        <v>721</v>
      </c>
      <c r="FY216" s="20" t="s">
        <v>698</v>
      </c>
      <c r="GC216" s="20" t="s">
        <v>696</v>
      </c>
      <c r="GD216" s="20" t="s">
        <v>698</v>
      </c>
      <c r="GE216" s="20" t="s">
        <v>696</v>
      </c>
      <c r="GH216" s="20" t="s">
        <v>696</v>
      </c>
      <c r="GK216" s="20" t="s">
        <v>698</v>
      </c>
      <c r="GT216" s="20" t="s">
        <v>698</v>
      </c>
      <c r="GU216" s="20" t="s">
        <v>696</v>
      </c>
      <c r="GX216" s="20" t="s">
        <v>696</v>
      </c>
      <c r="GY216" s="20" t="s">
        <v>696</v>
      </c>
      <c r="HF216" s="20">
        <v>0</v>
      </c>
      <c r="HG216" s="20">
        <v>42</v>
      </c>
      <c r="HH216" s="20">
        <v>0</v>
      </c>
      <c r="HI216" s="20">
        <v>2000</v>
      </c>
      <c r="HJ216" s="20">
        <v>600</v>
      </c>
      <c r="HK216" s="20">
        <v>0</v>
      </c>
      <c r="HM216" s="20">
        <v>2642</v>
      </c>
      <c r="HR216" s="20">
        <v>340</v>
      </c>
      <c r="HS216" s="20">
        <v>740</v>
      </c>
      <c r="HY216" s="20" t="s">
        <v>723</v>
      </c>
      <c r="HZ216" s="20" t="s">
        <v>698</v>
      </c>
      <c r="IS216" s="20" t="s">
        <v>724</v>
      </c>
      <c r="IT216" s="20" t="s">
        <v>696</v>
      </c>
      <c r="IU216" s="20" t="s">
        <v>696</v>
      </c>
      <c r="IV216" s="20" t="s">
        <v>696</v>
      </c>
      <c r="IW216" s="20" t="s">
        <v>698</v>
      </c>
      <c r="IX216" s="20" t="s">
        <v>698</v>
      </c>
      <c r="IY216" s="20" t="s">
        <v>698</v>
      </c>
      <c r="JD216" s="20" t="s">
        <v>725</v>
      </c>
      <c r="JE216" s="20" t="s">
        <v>726</v>
      </c>
      <c r="JR216" s="20" t="s">
        <v>698</v>
      </c>
      <c r="JS216" s="20" t="s">
        <v>698</v>
      </c>
      <c r="JX216" s="20" t="s">
        <v>789</v>
      </c>
      <c r="JY216" s="20" t="s">
        <v>914</v>
      </c>
      <c r="QB216" s="20" t="s">
        <v>914</v>
      </c>
      <c r="QS216" s="20" t="s">
        <v>915</v>
      </c>
      <c r="RH216" s="20" t="s">
        <v>696</v>
      </c>
      <c r="RK216" s="20" t="s">
        <v>696</v>
      </c>
      <c r="RL216" s="20" t="s">
        <v>2215</v>
      </c>
      <c r="XL216" s="20" t="s">
        <v>730</v>
      </c>
      <c r="XM216" s="20" t="s">
        <v>1360</v>
      </c>
      <c r="XN216" s="20" t="s">
        <v>732</v>
      </c>
      <c r="XO216" s="20" t="s">
        <v>733</v>
      </c>
      <c r="XP216" s="20" t="s">
        <v>2216</v>
      </c>
      <c r="XQ216" s="24">
        <v>44076</v>
      </c>
      <c r="XU216" s="20" t="s">
        <v>730</v>
      </c>
      <c r="XV216" s="20" t="s">
        <v>733</v>
      </c>
      <c r="XW216" s="20" t="s">
        <v>1360</v>
      </c>
      <c r="XX216" s="20" t="s">
        <v>732</v>
      </c>
      <c r="XY216" s="20" t="s">
        <v>2217</v>
      </c>
    </row>
    <row r="217" spans="1:649" ht="13">
      <c r="A217" s="20">
        <v>1473</v>
      </c>
      <c r="B217" s="21">
        <v>44076</v>
      </c>
      <c r="C217" s="20">
        <v>2020</v>
      </c>
      <c r="D217" s="20">
        <v>20200239</v>
      </c>
      <c r="E217" s="20">
        <v>34217</v>
      </c>
      <c r="F217" s="20" t="s">
        <v>885</v>
      </c>
      <c r="G217" s="20">
        <v>18718</v>
      </c>
      <c r="H217" s="20" t="s">
        <v>918</v>
      </c>
      <c r="I217" s="20" t="s">
        <v>692</v>
      </c>
      <c r="J217" s="20" t="s">
        <v>693</v>
      </c>
      <c r="K217" s="20" t="s">
        <v>694</v>
      </c>
      <c r="L217" s="20">
        <v>77002</v>
      </c>
      <c r="M217" s="22">
        <v>44047.520833333336</v>
      </c>
      <c r="P217" s="20">
        <v>39.895029999999998</v>
      </c>
      <c r="Q217" s="20">
        <v>-75.261030000000005</v>
      </c>
      <c r="R217" s="20" t="s">
        <v>697</v>
      </c>
      <c r="W217" s="20">
        <v>0.9</v>
      </c>
      <c r="Y217" s="20">
        <v>0.9</v>
      </c>
      <c r="Z217" s="20" t="s">
        <v>698</v>
      </c>
      <c r="AF217" s="20">
        <v>0</v>
      </c>
      <c r="AG217" s="20" t="s">
        <v>698</v>
      </c>
      <c r="AM217" s="20">
        <v>0</v>
      </c>
      <c r="AN217" s="20" t="s">
        <v>699</v>
      </c>
      <c r="AP217" s="20" t="s">
        <v>700</v>
      </c>
      <c r="AQ217" s="23">
        <v>44047.520833333336</v>
      </c>
      <c r="AR217" s="20" t="s">
        <v>736</v>
      </c>
      <c r="AS217" s="20" t="s">
        <v>702</v>
      </c>
      <c r="AU217" s="20" t="s">
        <v>698</v>
      </c>
      <c r="AV217" s="20" t="s">
        <v>2218</v>
      </c>
      <c r="BC217" s="23">
        <v>44047.520833333336</v>
      </c>
      <c r="BE217" s="23">
        <v>44047.631249999999</v>
      </c>
      <c r="BF217" s="20">
        <v>1283671</v>
      </c>
      <c r="BH217" s="20" t="s">
        <v>698</v>
      </c>
      <c r="BM217" s="20" t="s">
        <v>698</v>
      </c>
      <c r="CA217" s="20">
        <v>0</v>
      </c>
      <c r="CB217" s="20" t="s">
        <v>2219</v>
      </c>
      <c r="CC217" s="20" t="s">
        <v>2220</v>
      </c>
      <c r="CD217" s="20" t="s">
        <v>921</v>
      </c>
      <c r="CE217" s="20">
        <v>19079</v>
      </c>
      <c r="CF217" s="20" t="s">
        <v>2221</v>
      </c>
      <c r="CG217" s="20" t="s">
        <v>1180</v>
      </c>
      <c r="CH217" s="20" t="s">
        <v>1931</v>
      </c>
      <c r="CI217" s="20" t="s">
        <v>711</v>
      </c>
      <c r="CJ217" s="20" t="s">
        <v>698</v>
      </c>
      <c r="CK217" s="20" t="s">
        <v>712</v>
      </c>
      <c r="CL217" s="20" t="s">
        <v>713</v>
      </c>
      <c r="CM217" s="20" t="s">
        <v>766</v>
      </c>
      <c r="CN217" s="20" t="s">
        <v>2222</v>
      </c>
      <c r="CP217" s="20" t="s">
        <v>698</v>
      </c>
      <c r="DM217" s="20" t="s">
        <v>743</v>
      </c>
      <c r="DN217" s="20" t="s">
        <v>892</v>
      </c>
      <c r="FK217" s="20">
        <v>2003</v>
      </c>
      <c r="FM217" s="20" t="s">
        <v>962</v>
      </c>
      <c r="FN217" s="20" t="s">
        <v>2223</v>
      </c>
      <c r="FO217" s="20" t="s">
        <v>893</v>
      </c>
      <c r="FY217" s="20" t="s">
        <v>698</v>
      </c>
      <c r="GC217" s="20" t="s">
        <v>698</v>
      </c>
      <c r="GD217" s="20" t="s">
        <v>698</v>
      </c>
      <c r="GE217" s="20" t="s">
        <v>698</v>
      </c>
      <c r="GK217" s="20" t="s">
        <v>698</v>
      </c>
      <c r="GT217" s="20" t="s">
        <v>696</v>
      </c>
      <c r="GU217" s="20" t="s">
        <v>696</v>
      </c>
      <c r="GX217" s="20" t="s">
        <v>696</v>
      </c>
      <c r="GY217" s="20" t="s">
        <v>696</v>
      </c>
      <c r="HD217" s="20" t="s">
        <v>696</v>
      </c>
      <c r="HE217" s="20" t="s">
        <v>696</v>
      </c>
      <c r="HF217" s="20">
        <v>0</v>
      </c>
      <c r="HG217" s="20">
        <v>0</v>
      </c>
      <c r="HH217" s="20">
        <v>0</v>
      </c>
      <c r="HI217" s="20">
        <v>125000</v>
      </c>
      <c r="HJ217" s="20">
        <v>0</v>
      </c>
      <c r="HK217" s="20">
        <v>0</v>
      </c>
      <c r="HM217" s="20">
        <v>125000</v>
      </c>
      <c r="HR217" s="20">
        <v>0</v>
      </c>
      <c r="HS217" s="20">
        <v>285</v>
      </c>
      <c r="HY217" s="20" t="s">
        <v>723</v>
      </c>
      <c r="HZ217" s="20" t="s">
        <v>698</v>
      </c>
      <c r="IS217" s="20" t="s">
        <v>808</v>
      </c>
      <c r="IT217" s="20" t="s">
        <v>696</v>
      </c>
      <c r="IU217" s="20" t="s">
        <v>696</v>
      </c>
      <c r="IV217" s="20" t="s">
        <v>696</v>
      </c>
      <c r="IW217" s="20" t="s">
        <v>698</v>
      </c>
      <c r="IX217" s="20" t="s">
        <v>698</v>
      </c>
      <c r="IY217" s="20" t="s">
        <v>696</v>
      </c>
      <c r="IZ217" s="20" t="s">
        <v>696</v>
      </c>
      <c r="JA217" s="20" t="s">
        <v>696</v>
      </c>
      <c r="JB217" s="20" t="s">
        <v>698</v>
      </c>
      <c r="JC217" s="20" t="s">
        <v>698</v>
      </c>
      <c r="JD217" s="20" t="s">
        <v>725</v>
      </c>
      <c r="JE217" s="20" t="s">
        <v>2224</v>
      </c>
      <c r="JR217" s="20" t="s">
        <v>698</v>
      </c>
      <c r="JS217" s="20" t="s">
        <v>698</v>
      </c>
      <c r="JX217" s="20" t="s">
        <v>1173</v>
      </c>
      <c r="JY217" s="20" t="s">
        <v>1174</v>
      </c>
      <c r="LY217" s="20" t="s">
        <v>1174</v>
      </c>
      <c r="MA217" s="20" t="s">
        <v>766</v>
      </c>
      <c r="MD217" s="20" t="s">
        <v>2225</v>
      </c>
      <c r="ME217" s="20" t="s">
        <v>696</v>
      </c>
      <c r="MG217" s="20" t="s">
        <v>696</v>
      </c>
      <c r="XL217" s="20" t="s">
        <v>730</v>
      </c>
      <c r="XM217" s="20" t="s">
        <v>1360</v>
      </c>
      <c r="XN217" s="20" t="s">
        <v>732</v>
      </c>
      <c r="XO217" s="20" t="s">
        <v>733</v>
      </c>
      <c r="XP217" s="20" t="s">
        <v>2216</v>
      </c>
      <c r="XQ217" s="24">
        <v>44076</v>
      </c>
      <c r="XU217" s="20" t="s">
        <v>730</v>
      </c>
      <c r="XV217" s="20" t="s">
        <v>1625</v>
      </c>
      <c r="XW217" s="20" t="s">
        <v>1360</v>
      </c>
      <c r="XX217" s="20" t="s">
        <v>732</v>
      </c>
      <c r="XY217" s="20" t="s">
        <v>2226</v>
      </c>
    </row>
    <row r="218" spans="1:649" ht="13">
      <c r="A218" s="20">
        <v>1474</v>
      </c>
      <c r="B218" s="21">
        <v>44064</v>
      </c>
      <c r="C218" s="20">
        <v>2020</v>
      </c>
      <c r="D218" s="20">
        <v>20200235</v>
      </c>
      <c r="E218" s="20">
        <v>34181</v>
      </c>
      <c r="F218" s="20" t="s">
        <v>885</v>
      </c>
      <c r="G218" s="20">
        <v>22442</v>
      </c>
      <c r="H218" s="20" t="s">
        <v>886</v>
      </c>
      <c r="I218" s="20" t="s">
        <v>692</v>
      </c>
      <c r="J218" s="20" t="s">
        <v>693</v>
      </c>
      <c r="K218" s="20" t="s">
        <v>694</v>
      </c>
      <c r="L218" s="20">
        <v>77002</v>
      </c>
      <c r="M218" s="22">
        <v>44047.302083333336</v>
      </c>
      <c r="P218" s="20">
        <v>31.776610000000002</v>
      </c>
      <c r="Q218" s="20">
        <v>-96.395769999999999</v>
      </c>
      <c r="R218" s="20" t="s">
        <v>697</v>
      </c>
      <c r="W218" s="20">
        <v>4</v>
      </c>
      <c r="Y218" s="20">
        <v>4</v>
      </c>
      <c r="Z218" s="20" t="s">
        <v>698</v>
      </c>
      <c r="AF218" s="20">
        <v>0</v>
      </c>
      <c r="AG218" s="20" t="s">
        <v>698</v>
      </c>
      <c r="AM218" s="20">
        <v>0</v>
      </c>
      <c r="AN218" s="20" t="s">
        <v>699</v>
      </c>
      <c r="AP218" s="20" t="s">
        <v>700</v>
      </c>
      <c r="AQ218" s="23">
        <v>44047.302083333336</v>
      </c>
      <c r="AR218" s="20" t="s">
        <v>701</v>
      </c>
      <c r="AS218" s="20" t="s">
        <v>702</v>
      </c>
      <c r="AU218" s="20" t="s">
        <v>696</v>
      </c>
      <c r="AW218" s="23">
        <v>44047.302083333336</v>
      </c>
      <c r="AX218" s="23">
        <v>44047.72152777778</v>
      </c>
      <c r="BC218" s="23">
        <v>44047.395833333336</v>
      </c>
      <c r="BF218" s="20" t="s">
        <v>754</v>
      </c>
      <c r="BH218" s="20" t="s">
        <v>698</v>
      </c>
      <c r="BM218" s="20" t="s">
        <v>698</v>
      </c>
      <c r="CA218" s="20">
        <v>0</v>
      </c>
      <c r="CB218" s="20" t="s">
        <v>1937</v>
      </c>
      <c r="CC218" s="20" t="s">
        <v>2227</v>
      </c>
      <c r="CD218" s="20" t="s">
        <v>694</v>
      </c>
      <c r="CE218" s="20">
        <v>76693</v>
      </c>
      <c r="CF218" s="20" t="s">
        <v>1939</v>
      </c>
      <c r="CG218" s="20" t="s">
        <v>1940</v>
      </c>
      <c r="CH218" s="20" t="s">
        <v>1931</v>
      </c>
      <c r="CI218" s="20">
        <v>273.7</v>
      </c>
      <c r="CJ218" s="20" t="s">
        <v>698</v>
      </c>
      <c r="CK218" s="20" t="s">
        <v>712</v>
      </c>
      <c r="CL218" s="20" t="s">
        <v>741</v>
      </c>
      <c r="CM218" s="20" t="s">
        <v>742</v>
      </c>
      <c r="CO218" s="20">
        <v>48</v>
      </c>
      <c r="CP218" s="20" t="s">
        <v>698</v>
      </c>
      <c r="DM218" s="20" t="s">
        <v>743</v>
      </c>
      <c r="DN218" s="20" t="s">
        <v>744</v>
      </c>
      <c r="DO218" s="20" t="s">
        <v>745</v>
      </c>
      <c r="DQ218" s="20">
        <v>10</v>
      </c>
      <c r="DR218" s="20">
        <v>0.375</v>
      </c>
      <c r="DS218" s="20" t="s">
        <v>728</v>
      </c>
      <c r="DT218" s="20" t="s">
        <v>1103</v>
      </c>
      <c r="DU218" s="20" t="s">
        <v>804</v>
      </c>
      <c r="DW218" s="20" t="s">
        <v>728</v>
      </c>
      <c r="DX218" s="20" t="s">
        <v>805</v>
      </c>
      <c r="FK218" s="20">
        <v>1952</v>
      </c>
      <c r="FL218" s="20">
        <v>1952</v>
      </c>
      <c r="FM218" s="20" t="s">
        <v>719</v>
      </c>
      <c r="FO218" s="20" t="s">
        <v>720</v>
      </c>
      <c r="FR218" s="20" t="s">
        <v>749</v>
      </c>
      <c r="FY218" s="20" t="s">
        <v>698</v>
      </c>
      <c r="GC218" s="20" t="s">
        <v>696</v>
      </c>
      <c r="GD218" s="20" t="s">
        <v>698</v>
      </c>
      <c r="GE218" s="20" t="s">
        <v>696</v>
      </c>
      <c r="GH218" s="20" t="s">
        <v>696</v>
      </c>
      <c r="GK218" s="20" t="s">
        <v>698</v>
      </c>
      <c r="GT218" s="20" t="s">
        <v>698</v>
      </c>
      <c r="GU218" s="20" t="s">
        <v>698</v>
      </c>
      <c r="HF218" s="20">
        <v>0</v>
      </c>
      <c r="HG218" s="20">
        <v>168</v>
      </c>
      <c r="HH218" s="20">
        <v>0</v>
      </c>
      <c r="HI218" s="20">
        <v>10000</v>
      </c>
      <c r="HJ218" s="20">
        <v>5000</v>
      </c>
      <c r="HK218" s="20">
        <v>0</v>
      </c>
      <c r="HM218" s="20">
        <v>15168</v>
      </c>
      <c r="HR218" s="20">
        <v>150</v>
      </c>
      <c r="HS218" s="20">
        <v>799</v>
      </c>
      <c r="HY218" s="20" t="s">
        <v>723</v>
      </c>
      <c r="HZ218" s="20" t="s">
        <v>698</v>
      </c>
      <c r="IS218" s="20" t="s">
        <v>724</v>
      </c>
      <c r="IT218" s="20" t="s">
        <v>696</v>
      </c>
      <c r="IU218" s="20" t="s">
        <v>696</v>
      </c>
      <c r="IV218" s="20" t="s">
        <v>696</v>
      </c>
      <c r="IW218" s="20" t="s">
        <v>698</v>
      </c>
      <c r="IX218" s="20" t="s">
        <v>698</v>
      </c>
      <c r="IY218" s="20" t="s">
        <v>696</v>
      </c>
      <c r="IZ218" s="20" t="s">
        <v>696</v>
      </c>
      <c r="JA218" s="20" t="s">
        <v>696</v>
      </c>
      <c r="JB218" s="20" t="s">
        <v>698</v>
      </c>
      <c r="JC218" s="20" t="s">
        <v>698</v>
      </c>
      <c r="JD218" s="20" t="s">
        <v>725</v>
      </c>
      <c r="JE218" s="20" t="s">
        <v>726</v>
      </c>
      <c r="JR218" s="20" t="s">
        <v>698</v>
      </c>
      <c r="JS218" s="20" t="s">
        <v>698</v>
      </c>
      <c r="JX218" s="20" t="s">
        <v>833</v>
      </c>
      <c r="JY218" s="20" t="s">
        <v>834</v>
      </c>
      <c r="JZ218" s="20" t="s">
        <v>834</v>
      </c>
      <c r="LD218" s="20" t="s">
        <v>1442</v>
      </c>
      <c r="LG218" s="20" t="s">
        <v>696</v>
      </c>
      <c r="LH218" s="20" t="s">
        <v>696</v>
      </c>
      <c r="LL218" s="20" t="s">
        <v>696</v>
      </c>
      <c r="LP218" s="20" t="s">
        <v>696</v>
      </c>
      <c r="LU218" s="20" t="s">
        <v>696</v>
      </c>
      <c r="LV218" s="20" t="s">
        <v>698</v>
      </c>
      <c r="LW218" s="20" t="s">
        <v>838</v>
      </c>
      <c r="LX218" s="20" t="s">
        <v>838</v>
      </c>
      <c r="SC218" s="20" t="s">
        <v>698</v>
      </c>
      <c r="UO218" s="20" t="s">
        <v>696</v>
      </c>
      <c r="UP218" s="20">
        <v>2005</v>
      </c>
      <c r="UQ218" s="20">
        <v>1123</v>
      </c>
      <c r="UR218" s="20" t="s">
        <v>698</v>
      </c>
      <c r="UZ218" s="20" t="s">
        <v>698</v>
      </c>
      <c r="XL218" s="20" t="s">
        <v>1902</v>
      </c>
      <c r="XM218" s="20" t="s">
        <v>1903</v>
      </c>
      <c r="XN218" s="20" t="s">
        <v>1904</v>
      </c>
      <c r="XO218" s="20">
        <v>7139894527</v>
      </c>
      <c r="XQ218" s="24">
        <v>44064</v>
      </c>
      <c r="XU218" s="20" t="s">
        <v>1624</v>
      </c>
      <c r="XV218" s="20">
        <v>7139897077</v>
      </c>
      <c r="XW218" s="20" t="s">
        <v>1626</v>
      </c>
      <c r="XX218" s="20" t="s">
        <v>1627</v>
      </c>
      <c r="XY218" s="20" t="s">
        <v>2228</v>
      </c>
    </row>
    <row r="219" spans="1:649" ht="13">
      <c r="A219" s="20">
        <v>1477</v>
      </c>
      <c r="B219" s="21">
        <v>44064</v>
      </c>
      <c r="C219" s="20">
        <v>2020</v>
      </c>
      <c r="D219" s="20">
        <v>20200234</v>
      </c>
      <c r="E219" s="20">
        <v>34205</v>
      </c>
      <c r="F219" s="20" t="s">
        <v>825</v>
      </c>
      <c r="G219" s="20">
        <v>18718</v>
      </c>
      <c r="H219" s="20" t="s">
        <v>918</v>
      </c>
      <c r="I219" s="20" t="s">
        <v>692</v>
      </c>
      <c r="J219" s="20" t="s">
        <v>693</v>
      </c>
      <c r="K219" s="20" t="s">
        <v>694</v>
      </c>
      <c r="L219" s="20">
        <v>77002</v>
      </c>
      <c r="M219" s="22">
        <v>44046.097222222219</v>
      </c>
      <c r="P219" s="20">
        <v>32.146849000000003</v>
      </c>
      <c r="Q219" s="20">
        <v>-102.823066</v>
      </c>
      <c r="R219" s="20" t="s">
        <v>697</v>
      </c>
      <c r="W219" s="20">
        <v>3.26</v>
      </c>
      <c r="Y219" s="20">
        <v>3.26</v>
      </c>
      <c r="Z219" s="20" t="s">
        <v>698</v>
      </c>
      <c r="AF219" s="20">
        <v>0</v>
      </c>
      <c r="AG219" s="20" t="s">
        <v>698</v>
      </c>
      <c r="AM219" s="20">
        <v>0</v>
      </c>
      <c r="AN219" s="20" t="s">
        <v>699</v>
      </c>
      <c r="AP219" s="20" t="s">
        <v>700</v>
      </c>
      <c r="AQ219" s="23">
        <v>44046.097222222219</v>
      </c>
      <c r="AR219" s="20" t="s">
        <v>701</v>
      </c>
      <c r="AS219" s="20" t="s">
        <v>702</v>
      </c>
      <c r="AU219" s="20" t="s">
        <v>696</v>
      </c>
      <c r="AW219" s="23">
        <v>44046.097916666666</v>
      </c>
      <c r="AX219" s="23">
        <v>44046.148611111108</v>
      </c>
      <c r="BC219" s="23">
        <v>44046.145833333336</v>
      </c>
      <c r="BF219" s="20" t="s">
        <v>754</v>
      </c>
      <c r="BH219" s="20" t="s">
        <v>698</v>
      </c>
      <c r="BM219" s="20" t="s">
        <v>698</v>
      </c>
      <c r="CA219" s="20">
        <v>0</v>
      </c>
      <c r="CB219" s="20" t="s">
        <v>1371</v>
      </c>
      <c r="CC219" s="20" t="s">
        <v>2229</v>
      </c>
      <c r="CD219" s="20" t="s">
        <v>694</v>
      </c>
      <c r="CE219" s="20">
        <v>79714</v>
      </c>
      <c r="CF219" s="20" t="s">
        <v>1373</v>
      </c>
      <c r="CG219" s="20" t="s">
        <v>1373</v>
      </c>
      <c r="CH219" s="20" t="s">
        <v>710</v>
      </c>
      <c r="CI219" s="20" t="s">
        <v>2230</v>
      </c>
      <c r="CJ219" s="20" t="s">
        <v>698</v>
      </c>
      <c r="CK219" s="20" t="s">
        <v>712</v>
      </c>
      <c r="CL219" s="20" t="s">
        <v>713</v>
      </c>
      <c r="CM219" s="20" t="s">
        <v>758</v>
      </c>
      <c r="CP219" s="20" t="s">
        <v>698</v>
      </c>
      <c r="DM219" s="20" t="s">
        <v>743</v>
      </c>
      <c r="DN219" s="20" t="s">
        <v>1170</v>
      </c>
      <c r="FK219" s="20">
        <v>2015</v>
      </c>
      <c r="FM219" s="20" t="s">
        <v>719</v>
      </c>
      <c r="FO219" s="20" t="s">
        <v>720</v>
      </c>
      <c r="FR219" s="20" t="s">
        <v>823</v>
      </c>
      <c r="FY219" s="20" t="s">
        <v>698</v>
      </c>
      <c r="GC219" s="20" t="s">
        <v>696</v>
      </c>
      <c r="GD219" s="20" t="s">
        <v>698</v>
      </c>
      <c r="GE219" s="20" t="s">
        <v>696</v>
      </c>
      <c r="GH219" s="20" t="s">
        <v>696</v>
      </c>
      <c r="GK219" s="20" t="s">
        <v>698</v>
      </c>
      <c r="GT219" s="20" t="s">
        <v>696</v>
      </c>
      <c r="GU219" s="20" t="s">
        <v>696</v>
      </c>
      <c r="HD219" s="20" t="s">
        <v>696</v>
      </c>
      <c r="HE219" s="20" t="s">
        <v>696</v>
      </c>
      <c r="HF219" s="20">
        <v>0</v>
      </c>
      <c r="HG219" s="20">
        <v>0</v>
      </c>
      <c r="HH219" s="20">
        <v>2000</v>
      </c>
      <c r="HI219" s="20">
        <v>5000</v>
      </c>
      <c r="HJ219" s="20">
        <v>5000</v>
      </c>
      <c r="HK219" s="20">
        <v>0</v>
      </c>
      <c r="HM219" s="20">
        <v>12000</v>
      </c>
      <c r="HR219" s="20">
        <v>377</v>
      </c>
      <c r="HS219" s="20">
        <v>1480</v>
      </c>
      <c r="HY219" s="20" t="s">
        <v>723</v>
      </c>
      <c r="HZ219" s="20" t="s">
        <v>698</v>
      </c>
      <c r="IS219" s="20" t="s">
        <v>724</v>
      </c>
      <c r="IT219" s="20" t="s">
        <v>696</v>
      </c>
      <c r="IU219" s="20" t="s">
        <v>696</v>
      </c>
      <c r="IV219" s="20" t="s">
        <v>696</v>
      </c>
      <c r="IW219" s="20" t="s">
        <v>698</v>
      </c>
      <c r="IX219" s="20" t="s">
        <v>698</v>
      </c>
      <c r="IY219" s="20" t="s">
        <v>696</v>
      </c>
      <c r="IZ219" s="20" t="s">
        <v>696</v>
      </c>
      <c r="JA219" s="20" t="s">
        <v>696</v>
      </c>
      <c r="JB219" s="20" t="s">
        <v>698</v>
      </c>
      <c r="JC219" s="20" t="s">
        <v>698</v>
      </c>
      <c r="JD219" s="20" t="s">
        <v>725</v>
      </c>
      <c r="JE219" s="20" t="s">
        <v>726</v>
      </c>
      <c r="JR219" s="20" t="s">
        <v>698</v>
      </c>
      <c r="JS219" s="20" t="s">
        <v>698</v>
      </c>
      <c r="JX219" s="20" t="s">
        <v>789</v>
      </c>
      <c r="JY219" s="20" t="s">
        <v>1230</v>
      </c>
      <c r="QB219" s="20" t="s">
        <v>1230</v>
      </c>
      <c r="QX219" s="20" t="s">
        <v>696</v>
      </c>
      <c r="XL219" s="20" t="s">
        <v>1902</v>
      </c>
      <c r="XM219" s="20" t="s">
        <v>1903</v>
      </c>
      <c r="XN219" s="20" t="s">
        <v>1904</v>
      </c>
      <c r="XO219" s="20">
        <v>7139894527</v>
      </c>
      <c r="XQ219" s="24">
        <v>44071</v>
      </c>
      <c r="XU219" s="20" t="s">
        <v>1624</v>
      </c>
      <c r="XV219" s="20">
        <v>7139897077</v>
      </c>
      <c r="XW219" s="20" t="s">
        <v>1626</v>
      </c>
      <c r="XX219" s="20" t="s">
        <v>1627</v>
      </c>
      <c r="XY219" s="20" t="s">
        <v>2231</v>
      </c>
    </row>
    <row r="220" spans="1:649" ht="13">
      <c r="A220" s="20">
        <v>1492</v>
      </c>
      <c r="B220" s="21">
        <v>44048</v>
      </c>
      <c r="C220" s="20">
        <v>2020</v>
      </c>
      <c r="D220" s="20">
        <v>20200220</v>
      </c>
      <c r="E220" s="20">
        <v>34439</v>
      </c>
      <c r="F220" s="20" t="s">
        <v>825</v>
      </c>
      <c r="G220" s="20">
        <v>39706</v>
      </c>
      <c r="H220" s="20" t="s">
        <v>1943</v>
      </c>
      <c r="I220" s="20" t="s">
        <v>692</v>
      </c>
      <c r="J220" s="20" t="s">
        <v>693</v>
      </c>
      <c r="K220" s="20" t="s">
        <v>694</v>
      </c>
      <c r="L220" s="20">
        <v>77002</v>
      </c>
      <c r="M220" s="22">
        <v>44019.458333333336</v>
      </c>
      <c r="P220" s="20">
        <v>30.001063890000001</v>
      </c>
      <c r="Q220" s="20">
        <v>-93.986666670000005</v>
      </c>
      <c r="R220" s="20" t="s">
        <v>697</v>
      </c>
      <c r="W220" s="20">
        <v>2</v>
      </c>
      <c r="Y220" s="20">
        <v>2</v>
      </c>
      <c r="Z220" s="20" t="s">
        <v>698</v>
      </c>
      <c r="AF220" s="20">
        <v>0</v>
      </c>
      <c r="AG220" s="20" t="s">
        <v>698</v>
      </c>
      <c r="AM220" s="20">
        <v>0</v>
      </c>
      <c r="AN220" s="20" t="s">
        <v>699</v>
      </c>
      <c r="AP220" s="20" t="s">
        <v>700</v>
      </c>
      <c r="AQ220" s="23">
        <v>44019.458333333336</v>
      </c>
      <c r="AR220" s="20" t="s">
        <v>736</v>
      </c>
      <c r="AS220" s="20" t="s">
        <v>702</v>
      </c>
      <c r="AU220" s="20" t="s">
        <v>696</v>
      </c>
      <c r="AW220" s="23">
        <v>44019.458333333336</v>
      </c>
      <c r="AX220" s="23">
        <v>44019.5</v>
      </c>
      <c r="BC220" s="23">
        <v>44019.458333333336</v>
      </c>
      <c r="BF220" s="20" t="s">
        <v>754</v>
      </c>
      <c r="BH220" s="20" t="s">
        <v>698</v>
      </c>
      <c r="BM220" s="20" t="s">
        <v>698</v>
      </c>
      <c r="CA220" s="20">
        <v>0</v>
      </c>
      <c r="CB220" s="20" t="s">
        <v>818</v>
      </c>
      <c r="CC220" s="20" t="s">
        <v>1662</v>
      </c>
      <c r="CD220" s="20" t="s">
        <v>694</v>
      </c>
      <c r="CE220" s="20">
        <v>77627</v>
      </c>
      <c r="CF220" s="20" t="s">
        <v>820</v>
      </c>
      <c r="CG220" s="20" t="s">
        <v>821</v>
      </c>
      <c r="CH220" s="20" t="s">
        <v>710</v>
      </c>
      <c r="CI220" s="20" t="s">
        <v>711</v>
      </c>
      <c r="CJ220" s="20" t="s">
        <v>698</v>
      </c>
      <c r="CK220" s="20" t="s">
        <v>712</v>
      </c>
      <c r="CL220" s="20" t="s">
        <v>713</v>
      </c>
      <c r="CM220" s="20" t="s">
        <v>766</v>
      </c>
      <c r="CN220" s="20" t="s">
        <v>2232</v>
      </c>
      <c r="CP220" s="20" t="s">
        <v>698</v>
      </c>
      <c r="DM220" s="20" t="s">
        <v>743</v>
      </c>
      <c r="DN220" s="20" t="s">
        <v>892</v>
      </c>
      <c r="FK220" s="20">
        <v>1979</v>
      </c>
      <c r="FM220" s="20" t="s">
        <v>719</v>
      </c>
      <c r="FO220" s="20" t="s">
        <v>893</v>
      </c>
      <c r="FY220" s="20" t="s">
        <v>698</v>
      </c>
      <c r="GC220" s="20" t="s">
        <v>696</v>
      </c>
      <c r="GD220" s="20" t="s">
        <v>698</v>
      </c>
      <c r="GE220" s="20" t="s">
        <v>698</v>
      </c>
      <c r="GK220" s="20" t="s">
        <v>698</v>
      </c>
      <c r="GT220" s="20" t="s">
        <v>696</v>
      </c>
      <c r="GU220" s="20" t="s">
        <v>696</v>
      </c>
      <c r="GX220" s="20" t="s">
        <v>696</v>
      </c>
      <c r="GY220" s="20" t="s">
        <v>696</v>
      </c>
      <c r="HF220" s="20">
        <v>0</v>
      </c>
      <c r="HG220" s="20">
        <v>100</v>
      </c>
      <c r="HH220" s="20">
        <v>0</v>
      </c>
      <c r="HI220" s="20">
        <v>500</v>
      </c>
      <c r="HJ220" s="20">
        <v>1500</v>
      </c>
      <c r="HK220" s="20">
        <v>0</v>
      </c>
      <c r="HM220" s="20">
        <v>2100</v>
      </c>
      <c r="HR220" s="20">
        <v>150</v>
      </c>
      <c r="HS220" s="20">
        <v>285</v>
      </c>
      <c r="HY220" s="20" t="s">
        <v>723</v>
      </c>
      <c r="HZ220" s="20" t="s">
        <v>698</v>
      </c>
      <c r="IS220" s="20" t="s">
        <v>808</v>
      </c>
      <c r="IT220" s="20" t="s">
        <v>696</v>
      </c>
      <c r="IU220" s="20" t="s">
        <v>696</v>
      </c>
      <c r="IV220" s="20" t="s">
        <v>696</v>
      </c>
      <c r="IW220" s="20" t="s">
        <v>698</v>
      </c>
      <c r="IX220" s="20" t="s">
        <v>698</v>
      </c>
      <c r="IY220" s="20" t="s">
        <v>698</v>
      </c>
      <c r="JD220" s="20" t="s">
        <v>725</v>
      </c>
      <c r="JE220" s="20" t="s">
        <v>726</v>
      </c>
      <c r="JR220" s="20" t="s">
        <v>698</v>
      </c>
      <c r="JS220" s="20" t="s">
        <v>698</v>
      </c>
      <c r="JX220" s="20" t="s">
        <v>894</v>
      </c>
      <c r="JY220" s="20" t="s">
        <v>895</v>
      </c>
      <c r="RM220" s="20" t="s">
        <v>895</v>
      </c>
      <c r="RN220" s="20" t="s">
        <v>2014</v>
      </c>
      <c r="RT220" s="20" t="s">
        <v>696</v>
      </c>
      <c r="RU220" s="20" t="s">
        <v>2233</v>
      </c>
      <c r="RV220" s="20" t="s">
        <v>1590</v>
      </c>
      <c r="RW220" s="20" t="s">
        <v>696</v>
      </c>
      <c r="RX220" s="20" t="s">
        <v>898</v>
      </c>
      <c r="XL220" s="20" t="s">
        <v>1902</v>
      </c>
      <c r="XM220" s="20" t="s">
        <v>2234</v>
      </c>
      <c r="XN220" s="20" t="s">
        <v>1904</v>
      </c>
      <c r="XO220" s="20" t="s">
        <v>1905</v>
      </c>
      <c r="XQ220" s="24">
        <v>44083</v>
      </c>
      <c r="XU220" s="20" t="s">
        <v>1624</v>
      </c>
      <c r="XV220" s="20" t="s">
        <v>1625</v>
      </c>
      <c r="XW220" s="20" t="s">
        <v>1626</v>
      </c>
      <c r="XX220" s="20" t="s">
        <v>1627</v>
      </c>
      <c r="XY220" s="20" t="s">
        <v>2235</v>
      </c>
    </row>
    <row r="221" spans="1:649" ht="13">
      <c r="A221" s="20">
        <v>1505</v>
      </c>
      <c r="B221" s="21">
        <v>44027</v>
      </c>
      <c r="C221" s="20">
        <v>2020</v>
      </c>
      <c r="D221" s="20">
        <v>20200204</v>
      </c>
      <c r="E221" s="20">
        <v>34037</v>
      </c>
      <c r="F221" s="20" t="s">
        <v>885</v>
      </c>
      <c r="G221" s="20">
        <v>39706</v>
      </c>
      <c r="H221" s="20" t="s">
        <v>1943</v>
      </c>
      <c r="I221" s="20" t="s">
        <v>692</v>
      </c>
      <c r="J221" s="20" t="s">
        <v>693</v>
      </c>
      <c r="K221" s="20" t="s">
        <v>694</v>
      </c>
      <c r="L221" s="20">
        <v>77002</v>
      </c>
      <c r="M221" s="22">
        <v>44003.895833333336</v>
      </c>
      <c r="P221" s="20">
        <v>29.99868889</v>
      </c>
      <c r="Q221" s="20">
        <v>-93.985833330000006</v>
      </c>
      <c r="R221" s="20" t="s">
        <v>697</v>
      </c>
      <c r="W221" s="20">
        <v>2</v>
      </c>
      <c r="Y221" s="20">
        <v>2</v>
      </c>
      <c r="Z221" s="20" t="s">
        <v>698</v>
      </c>
      <c r="AF221" s="20">
        <v>0</v>
      </c>
      <c r="AG221" s="20" t="s">
        <v>698</v>
      </c>
      <c r="AM221" s="20">
        <v>0</v>
      </c>
      <c r="AN221" s="20" t="s">
        <v>699</v>
      </c>
      <c r="AP221" s="20" t="s">
        <v>700</v>
      </c>
      <c r="AQ221" s="23">
        <v>44003.895833333336</v>
      </c>
      <c r="AR221" s="20" t="s">
        <v>736</v>
      </c>
      <c r="AS221" s="20" t="s">
        <v>702</v>
      </c>
      <c r="AU221" s="20" t="s">
        <v>698</v>
      </c>
      <c r="AV221" s="20" t="s">
        <v>2236</v>
      </c>
      <c r="BC221" s="23">
        <v>44003.895833333336</v>
      </c>
      <c r="BF221" s="20" t="s">
        <v>754</v>
      </c>
      <c r="BH221" s="20" t="s">
        <v>698</v>
      </c>
      <c r="BM221" s="20" t="s">
        <v>698</v>
      </c>
      <c r="CA221" s="20">
        <v>0</v>
      </c>
      <c r="CB221" s="20" t="s">
        <v>818</v>
      </c>
      <c r="CC221" s="20" t="s">
        <v>2237</v>
      </c>
      <c r="CD221" s="20" t="s">
        <v>694</v>
      </c>
      <c r="CE221" s="20">
        <v>77627</v>
      </c>
      <c r="CF221" s="20" t="s">
        <v>820</v>
      </c>
      <c r="CG221" s="20" t="s">
        <v>821</v>
      </c>
      <c r="CH221" s="20" t="s">
        <v>710</v>
      </c>
      <c r="CI221" s="20" t="s">
        <v>711</v>
      </c>
      <c r="CJ221" s="20" t="s">
        <v>698</v>
      </c>
      <c r="CK221" s="20" t="s">
        <v>712</v>
      </c>
      <c r="CL221" s="20" t="s">
        <v>910</v>
      </c>
      <c r="CP221" s="20" t="s">
        <v>698</v>
      </c>
      <c r="DM221" s="20" t="s">
        <v>743</v>
      </c>
      <c r="DN221" s="20" t="s">
        <v>1951</v>
      </c>
      <c r="FK221" s="20">
        <v>1977</v>
      </c>
      <c r="FM221" s="20" t="s">
        <v>719</v>
      </c>
      <c r="FO221" s="20" t="s">
        <v>720</v>
      </c>
      <c r="FR221" s="20" t="s">
        <v>749</v>
      </c>
      <c r="FY221" s="20" t="s">
        <v>698</v>
      </c>
      <c r="GC221" s="20" t="s">
        <v>696</v>
      </c>
      <c r="GD221" s="20" t="s">
        <v>698</v>
      </c>
      <c r="GE221" s="20" t="s">
        <v>698</v>
      </c>
      <c r="GK221" s="20" t="s">
        <v>698</v>
      </c>
      <c r="GT221" s="20" t="s">
        <v>696</v>
      </c>
      <c r="GU221" s="20" t="s">
        <v>696</v>
      </c>
      <c r="GX221" s="20" t="s">
        <v>696</v>
      </c>
      <c r="GY221" s="20" t="s">
        <v>696</v>
      </c>
      <c r="HB221" s="20" t="s">
        <v>696</v>
      </c>
      <c r="HC221" s="20" t="s">
        <v>696</v>
      </c>
      <c r="HF221" s="20">
        <v>0</v>
      </c>
      <c r="HG221" s="20">
        <v>100</v>
      </c>
      <c r="HH221" s="20">
        <v>6200</v>
      </c>
      <c r="HI221" s="20">
        <v>5000</v>
      </c>
      <c r="HJ221" s="20">
        <v>10000</v>
      </c>
      <c r="HK221" s="20">
        <v>0</v>
      </c>
      <c r="HM221" s="20">
        <v>21300</v>
      </c>
      <c r="HR221" s="20">
        <v>80</v>
      </c>
      <c r="HS221" s="20">
        <v>285</v>
      </c>
      <c r="HY221" s="20" t="s">
        <v>723</v>
      </c>
      <c r="HZ221" s="20" t="s">
        <v>698</v>
      </c>
      <c r="IS221" s="20" t="s">
        <v>724</v>
      </c>
      <c r="IT221" s="20" t="s">
        <v>696</v>
      </c>
      <c r="IU221" s="20" t="s">
        <v>696</v>
      </c>
      <c r="IV221" s="20" t="s">
        <v>696</v>
      </c>
      <c r="IW221" s="20" t="s">
        <v>698</v>
      </c>
      <c r="IX221" s="20" t="s">
        <v>698</v>
      </c>
      <c r="IY221" s="20" t="s">
        <v>698</v>
      </c>
      <c r="JD221" s="20" t="s">
        <v>725</v>
      </c>
      <c r="JE221" s="20" t="s">
        <v>2238</v>
      </c>
      <c r="JR221" s="20" t="s">
        <v>698</v>
      </c>
      <c r="JS221" s="20" t="s">
        <v>698</v>
      </c>
      <c r="JX221" s="20" t="s">
        <v>833</v>
      </c>
      <c r="JY221" s="20" t="s">
        <v>834</v>
      </c>
      <c r="JZ221" s="20" t="s">
        <v>834</v>
      </c>
      <c r="LD221" s="20" t="s">
        <v>835</v>
      </c>
      <c r="LG221" s="20" t="s">
        <v>696</v>
      </c>
      <c r="LL221" s="20" t="s">
        <v>696</v>
      </c>
      <c r="LP221" s="20" t="s">
        <v>696</v>
      </c>
      <c r="LU221" s="20" t="s">
        <v>698</v>
      </c>
      <c r="LV221" s="20" t="s">
        <v>698</v>
      </c>
      <c r="LW221" s="20" t="s">
        <v>838</v>
      </c>
      <c r="LX221" s="20" t="s">
        <v>838</v>
      </c>
      <c r="XL221" s="20" t="s">
        <v>730</v>
      </c>
      <c r="XM221" s="20" t="s">
        <v>1360</v>
      </c>
      <c r="XN221" s="20" t="s">
        <v>732</v>
      </c>
      <c r="XO221" s="20" t="s">
        <v>733</v>
      </c>
      <c r="XP221" s="20" t="s">
        <v>2216</v>
      </c>
      <c r="XQ221" s="24">
        <v>44027</v>
      </c>
      <c r="XU221" s="20" t="s">
        <v>730</v>
      </c>
      <c r="XV221" s="20" t="s">
        <v>733</v>
      </c>
      <c r="XW221" s="20" t="s">
        <v>1360</v>
      </c>
      <c r="XX221" s="20" t="s">
        <v>732</v>
      </c>
      <c r="XY221" s="20" t="s">
        <v>2239</v>
      </c>
    </row>
    <row r="222" spans="1:649" ht="13">
      <c r="A222" s="20">
        <v>1506</v>
      </c>
      <c r="B222" s="21">
        <v>44027</v>
      </c>
      <c r="C222" s="20">
        <v>2020</v>
      </c>
      <c r="D222" s="20">
        <v>20200205</v>
      </c>
      <c r="E222" s="20">
        <v>34038</v>
      </c>
      <c r="F222" s="20" t="s">
        <v>885</v>
      </c>
      <c r="G222" s="20">
        <v>39706</v>
      </c>
      <c r="H222" s="20" t="s">
        <v>1943</v>
      </c>
      <c r="I222" s="20" t="s">
        <v>692</v>
      </c>
      <c r="J222" s="20" t="s">
        <v>693</v>
      </c>
      <c r="K222" s="20" t="s">
        <v>694</v>
      </c>
      <c r="L222" s="20">
        <v>77002</v>
      </c>
      <c r="M222" s="22">
        <v>44003.052083333336</v>
      </c>
      <c r="P222" s="20">
        <v>29.997019999999999</v>
      </c>
      <c r="Q222" s="20">
        <v>-93.99288</v>
      </c>
      <c r="R222" s="20" t="s">
        <v>697</v>
      </c>
      <c r="W222" s="20">
        <v>2</v>
      </c>
      <c r="Y222" s="20">
        <v>2</v>
      </c>
      <c r="Z222" s="20" t="s">
        <v>698</v>
      </c>
      <c r="AF222" s="20">
        <v>0</v>
      </c>
      <c r="AG222" s="20" t="s">
        <v>698</v>
      </c>
      <c r="AM222" s="20">
        <v>0</v>
      </c>
      <c r="AN222" s="20" t="s">
        <v>699</v>
      </c>
      <c r="AP222" s="20" t="s">
        <v>700</v>
      </c>
      <c r="AQ222" s="23">
        <v>44003.052083333336</v>
      </c>
      <c r="AR222" s="20" t="s">
        <v>701</v>
      </c>
      <c r="AS222" s="20" t="s">
        <v>702</v>
      </c>
      <c r="AU222" s="20" t="s">
        <v>698</v>
      </c>
      <c r="AV222" s="20" t="s">
        <v>2240</v>
      </c>
      <c r="BC222" s="23">
        <v>44003.052083333336</v>
      </c>
      <c r="BF222" s="20" t="s">
        <v>754</v>
      </c>
      <c r="BH222" s="20" t="s">
        <v>698</v>
      </c>
      <c r="BM222" s="20" t="s">
        <v>698</v>
      </c>
      <c r="CA222" s="20">
        <v>0</v>
      </c>
      <c r="CB222" s="20" t="s">
        <v>818</v>
      </c>
      <c r="CC222" s="20" t="s">
        <v>1679</v>
      </c>
      <c r="CD222" s="20" t="s">
        <v>694</v>
      </c>
      <c r="CE222" s="20">
        <v>77627</v>
      </c>
      <c r="CF222" s="20" t="s">
        <v>820</v>
      </c>
      <c r="CG222" s="20" t="s">
        <v>821</v>
      </c>
      <c r="CH222" s="20" t="s">
        <v>710</v>
      </c>
      <c r="CI222" s="20" t="s">
        <v>711</v>
      </c>
      <c r="CJ222" s="20" t="s">
        <v>698</v>
      </c>
      <c r="CK222" s="20" t="s">
        <v>712</v>
      </c>
      <c r="CL222" s="20" t="s">
        <v>713</v>
      </c>
      <c r="CM222" s="20" t="s">
        <v>758</v>
      </c>
      <c r="CP222" s="20" t="s">
        <v>698</v>
      </c>
      <c r="DM222" s="20" t="s">
        <v>743</v>
      </c>
      <c r="DN222" s="20" t="s">
        <v>892</v>
      </c>
      <c r="FK222" s="20">
        <v>1983</v>
      </c>
      <c r="FM222" s="20" t="s">
        <v>719</v>
      </c>
      <c r="FO222" s="20" t="s">
        <v>893</v>
      </c>
      <c r="FY222" s="20" t="s">
        <v>698</v>
      </c>
      <c r="GC222" s="20" t="s">
        <v>696</v>
      </c>
      <c r="GD222" s="20" t="s">
        <v>698</v>
      </c>
      <c r="GE222" s="20" t="s">
        <v>698</v>
      </c>
      <c r="GK222" s="20" t="s">
        <v>698</v>
      </c>
      <c r="GT222" s="20" t="s">
        <v>696</v>
      </c>
      <c r="GU222" s="20" t="s">
        <v>698</v>
      </c>
      <c r="HF222" s="20">
        <v>0</v>
      </c>
      <c r="HG222" s="20">
        <v>100</v>
      </c>
      <c r="HH222" s="20">
        <v>1200</v>
      </c>
      <c r="HI222" s="20">
        <v>6000</v>
      </c>
      <c r="HJ222" s="20">
        <v>10000</v>
      </c>
      <c r="HK222" s="20">
        <v>0</v>
      </c>
      <c r="HM222" s="20">
        <v>17300</v>
      </c>
      <c r="HR222" s="20">
        <v>100</v>
      </c>
      <c r="HS222" s="20">
        <v>285</v>
      </c>
      <c r="HY222" s="20" t="s">
        <v>723</v>
      </c>
      <c r="HZ222" s="20" t="s">
        <v>698</v>
      </c>
      <c r="IS222" s="20" t="s">
        <v>724</v>
      </c>
      <c r="IT222" s="20" t="s">
        <v>696</v>
      </c>
      <c r="IU222" s="20" t="s">
        <v>696</v>
      </c>
      <c r="IV222" s="20" t="s">
        <v>696</v>
      </c>
      <c r="IW222" s="20" t="s">
        <v>698</v>
      </c>
      <c r="IX222" s="20" t="s">
        <v>698</v>
      </c>
      <c r="IY222" s="20" t="s">
        <v>698</v>
      </c>
      <c r="JD222" s="20" t="s">
        <v>725</v>
      </c>
      <c r="JE222" s="20" t="s">
        <v>726</v>
      </c>
      <c r="JR222" s="20" t="s">
        <v>698</v>
      </c>
      <c r="JS222" s="20" t="s">
        <v>698</v>
      </c>
      <c r="JX222" s="20" t="s">
        <v>789</v>
      </c>
      <c r="JY222" s="20" t="s">
        <v>790</v>
      </c>
      <c r="QB222" s="20" t="s">
        <v>790</v>
      </c>
      <c r="QD222" s="20" t="s">
        <v>696</v>
      </c>
      <c r="RG222" s="20" t="s">
        <v>696</v>
      </c>
      <c r="XL222" s="20" t="s">
        <v>730</v>
      </c>
      <c r="XM222" s="20" t="s">
        <v>1360</v>
      </c>
      <c r="XN222" s="20" t="s">
        <v>732</v>
      </c>
      <c r="XO222" s="20" t="s">
        <v>733</v>
      </c>
      <c r="XP222" s="20" t="s">
        <v>2216</v>
      </c>
      <c r="XQ222" s="24">
        <v>44027</v>
      </c>
      <c r="XU222" s="20" t="s">
        <v>730</v>
      </c>
      <c r="XV222" s="20" t="s">
        <v>733</v>
      </c>
      <c r="XW222" s="20" t="s">
        <v>1360</v>
      </c>
      <c r="XX222" s="20" t="s">
        <v>732</v>
      </c>
      <c r="XY222" s="20" t="s">
        <v>2241</v>
      </c>
    </row>
    <row r="223" spans="1:649" ht="13">
      <c r="A223" s="20">
        <v>1533</v>
      </c>
      <c r="B223" s="21">
        <v>43999</v>
      </c>
      <c r="C223" s="20">
        <v>2020</v>
      </c>
      <c r="D223" s="20">
        <v>20200179</v>
      </c>
      <c r="E223" s="20">
        <v>33907</v>
      </c>
      <c r="F223" s="20" t="s">
        <v>885</v>
      </c>
      <c r="G223" s="20">
        <v>18718</v>
      </c>
      <c r="H223" s="20" t="s">
        <v>918</v>
      </c>
      <c r="I223" s="20" t="s">
        <v>692</v>
      </c>
      <c r="J223" s="20" t="s">
        <v>693</v>
      </c>
      <c r="K223" s="20" t="s">
        <v>694</v>
      </c>
      <c r="L223" s="20">
        <v>77002</v>
      </c>
      <c r="M223" s="22">
        <v>43970.354166666664</v>
      </c>
      <c r="P223" s="20">
        <v>30.140505999999998</v>
      </c>
      <c r="Q223" s="20">
        <v>-94.398579999999995</v>
      </c>
      <c r="R223" s="20" t="s">
        <v>697</v>
      </c>
      <c r="W223" s="20">
        <v>0.5</v>
      </c>
      <c r="Y223" s="20">
        <v>0.5</v>
      </c>
      <c r="Z223" s="20" t="s">
        <v>698</v>
      </c>
      <c r="AF223" s="20">
        <v>0</v>
      </c>
      <c r="AG223" s="20" t="s">
        <v>698</v>
      </c>
      <c r="AM223" s="20">
        <v>0</v>
      </c>
      <c r="AN223" s="20" t="s">
        <v>699</v>
      </c>
      <c r="AP223" s="20" t="s">
        <v>700</v>
      </c>
      <c r="AQ223" s="23">
        <v>43970.354166666664</v>
      </c>
      <c r="AR223" s="20" t="s">
        <v>701</v>
      </c>
      <c r="AS223" s="20" t="s">
        <v>702</v>
      </c>
      <c r="AU223" s="20" t="s">
        <v>698</v>
      </c>
      <c r="AV223" s="20" t="s">
        <v>2242</v>
      </c>
      <c r="BC223" s="23">
        <v>43970.354166666664</v>
      </c>
      <c r="BF223" s="20" t="s">
        <v>754</v>
      </c>
      <c r="BH223" s="20" t="s">
        <v>698</v>
      </c>
      <c r="BM223" s="20" t="s">
        <v>698</v>
      </c>
      <c r="CA223" s="20">
        <v>0</v>
      </c>
      <c r="CB223" s="20" t="s">
        <v>1036</v>
      </c>
      <c r="CC223" s="20" t="s">
        <v>2243</v>
      </c>
      <c r="CD223" s="20" t="s">
        <v>694</v>
      </c>
      <c r="CE223" s="20">
        <v>77659</v>
      </c>
      <c r="CF223" s="20" t="s">
        <v>1038</v>
      </c>
      <c r="CG223" s="20" t="s">
        <v>1039</v>
      </c>
      <c r="CH223" s="20" t="s">
        <v>710</v>
      </c>
      <c r="CI223" s="20" t="s">
        <v>2244</v>
      </c>
      <c r="CJ223" s="20" t="s">
        <v>698</v>
      </c>
      <c r="CK223" s="20" t="s">
        <v>712</v>
      </c>
      <c r="CL223" s="20" t="s">
        <v>713</v>
      </c>
      <c r="CM223" s="20" t="s">
        <v>758</v>
      </c>
      <c r="CP223" s="20" t="s">
        <v>698</v>
      </c>
      <c r="DM223" s="20" t="s">
        <v>715</v>
      </c>
      <c r="DN223" s="20" t="s">
        <v>829</v>
      </c>
      <c r="EM223" s="20" t="s">
        <v>830</v>
      </c>
      <c r="FK223" s="20">
        <v>1993</v>
      </c>
      <c r="FM223" s="20" t="s">
        <v>719</v>
      </c>
      <c r="FO223" s="20" t="s">
        <v>720</v>
      </c>
      <c r="FR223" s="20" t="s">
        <v>721</v>
      </c>
      <c r="FY223" s="20" t="s">
        <v>698</v>
      </c>
      <c r="GC223" s="20" t="s">
        <v>696</v>
      </c>
      <c r="GD223" s="20" t="s">
        <v>698</v>
      </c>
      <c r="GE223" s="20" t="s">
        <v>696</v>
      </c>
      <c r="GH223" s="20" t="s">
        <v>696</v>
      </c>
      <c r="GK223" s="20" t="s">
        <v>698</v>
      </c>
      <c r="GT223" s="20" t="s">
        <v>696</v>
      </c>
      <c r="GU223" s="20" t="s">
        <v>698</v>
      </c>
      <c r="HF223" s="20">
        <v>0</v>
      </c>
      <c r="HG223" s="20">
        <v>15</v>
      </c>
      <c r="HH223" s="20">
        <v>500</v>
      </c>
      <c r="HI223" s="20">
        <v>2000</v>
      </c>
      <c r="HJ223" s="20">
        <v>2500</v>
      </c>
      <c r="HK223" s="20">
        <v>0</v>
      </c>
      <c r="HM223" s="20">
        <v>5015</v>
      </c>
      <c r="HR223" s="20">
        <v>30</v>
      </c>
      <c r="HS223" s="20">
        <v>150</v>
      </c>
      <c r="HY223" s="20" t="s">
        <v>723</v>
      </c>
      <c r="HZ223" s="20" t="s">
        <v>698</v>
      </c>
      <c r="IS223" s="20" t="s">
        <v>724</v>
      </c>
      <c r="IT223" s="20" t="s">
        <v>696</v>
      </c>
      <c r="IU223" s="20" t="s">
        <v>696</v>
      </c>
      <c r="IV223" s="20" t="s">
        <v>696</v>
      </c>
      <c r="IW223" s="20" t="s">
        <v>698</v>
      </c>
      <c r="IX223" s="20" t="s">
        <v>698</v>
      </c>
      <c r="IY223" s="20" t="s">
        <v>696</v>
      </c>
      <c r="IZ223" s="20" t="s">
        <v>696</v>
      </c>
      <c r="JA223" s="20" t="s">
        <v>696</v>
      </c>
      <c r="JB223" s="20" t="s">
        <v>698</v>
      </c>
      <c r="JC223" s="20" t="s">
        <v>698</v>
      </c>
      <c r="JD223" s="20" t="s">
        <v>725</v>
      </c>
      <c r="JE223" s="20" t="s">
        <v>726</v>
      </c>
      <c r="JR223" s="20" t="s">
        <v>698</v>
      </c>
      <c r="JS223" s="20" t="s">
        <v>698</v>
      </c>
      <c r="JX223" s="20" t="s">
        <v>789</v>
      </c>
      <c r="JY223" s="20" t="s">
        <v>914</v>
      </c>
      <c r="QB223" s="20" t="s">
        <v>914</v>
      </c>
      <c r="QS223" s="20" t="s">
        <v>915</v>
      </c>
      <c r="RK223" s="20" t="s">
        <v>696</v>
      </c>
      <c r="RL223" s="20" t="s">
        <v>2245</v>
      </c>
      <c r="XL223" s="20" t="s">
        <v>730</v>
      </c>
      <c r="XM223" s="20" t="s">
        <v>1360</v>
      </c>
      <c r="XN223" s="20" t="s">
        <v>732</v>
      </c>
      <c r="XO223" s="20" t="s">
        <v>733</v>
      </c>
      <c r="XP223" s="20" t="s">
        <v>2216</v>
      </c>
      <c r="XQ223" s="24">
        <v>43999</v>
      </c>
      <c r="XU223" s="20" t="s">
        <v>730</v>
      </c>
      <c r="XV223" s="20" t="s">
        <v>1625</v>
      </c>
      <c r="XW223" s="20" t="s">
        <v>1360</v>
      </c>
      <c r="XX223" s="20" t="s">
        <v>732</v>
      </c>
      <c r="XY223" s="20" t="s">
        <v>2246</v>
      </c>
    </row>
    <row r="224" spans="1:649" ht="13">
      <c r="A224" s="20">
        <v>1542</v>
      </c>
      <c r="B224" s="21">
        <v>43994</v>
      </c>
      <c r="C224" s="20">
        <v>2020</v>
      </c>
      <c r="D224" s="20">
        <v>20200174</v>
      </c>
      <c r="E224" s="20">
        <v>33920</v>
      </c>
      <c r="F224" s="20" t="s">
        <v>825</v>
      </c>
      <c r="G224" s="20">
        <v>39205</v>
      </c>
      <c r="H224" s="20" t="s">
        <v>957</v>
      </c>
      <c r="I224" s="20" t="s">
        <v>692</v>
      </c>
      <c r="J224" s="20" t="s">
        <v>693</v>
      </c>
      <c r="K224" s="20" t="s">
        <v>694</v>
      </c>
      <c r="L224" s="20">
        <v>77002</v>
      </c>
      <c r="M224" s="22">
        <v>43964.341666666667</v>
      </c>
      <c r="P224" s="20">
        <v>47.799329999999998</v>
      </c>
      <c r="Q224" s="20">
        <v>-102.9238</v>
      </c>
      <c r="R224" s="20" t="s">
        <v>697</v>
      </c>
      <c r="W224" s="20">
        <v>4.5999999999999996</v>
      </c>
      <c r="Y224" s="20">
        <v>4.5999999999999996</v>
      </c>
      <c r="Z224" s="20" t="s">
        <v>698</v>
      </c>
      <c r="AF224" s="20">
        <v>0</v>
      </c>
      <c r="AG224" s="20" t="s">
        <v>698</v>
      </c>
      <c r="AM224" s="20">
        <v>0</v>
      </c>
      <c r="AN224" s="20" t="s">
        <v>2050</v>
      </c>
      <c r="AQ224" s="23">
        <v>43964.341666666667</v>
      </c>
      <c r="AR224" s="20" t="s">
        <v>701</v>
      </c>
      <c r="AS224" s="20" t="s">
        <v>702</v>
      </c>
      <c r="AU224" s="20" t="s">
        <v>696</v>
      </c>
      <c r="AW224" s="23">
        <v>43964.341666666667</v>
      </c>
      <c r="AX224" s="23">
        <v>43964.694444444445</v>
      </c>
      <c r="BC224" s="23">
        <v>43964.341666666667</v>
      </c>
      <c r="BF224" s="20" t="s">
        <v>754</v>
      </c>
      <c r="BH224" s="20" t="s">
        <v>698</v>
      </c>
      <c r="BM224" s="20" t="s">
        <v>698</v>
      </c>
      <c r="CA224" s="20">
        <v>0</v>
      </c>
      <c r="CB224" s="20" t="s">
        <v>2247</v>
      </c>
      <c r="CC224" s="20" t="s">
        <v>2248</v>
      </c>
      <c r="CD224" s="20" t="s">
        <v>707</v>
      </c>
      <c r="CE224" s="20">
        <v>58847</v>
      </c>
      <c r="CF224" s="20" t="s">
        <v>2249</v>
      </c>
      <c r="CG224" s="20" t="s">
        <v>709</v>
      </c>
      <c r="CH224" s="20" t="s">
        <v>710</v>
      </c>
      <c r="CI224" s="20" t="s">
        <v>711</v>
      </c>
      <c r="CJ224" s="20" t="s">
        <v>698</v>
      </c>
      <c r="CK224" s="20" t="s">
        <v>712</v>
      </c>
      <c r="CL224" s="20" t="s">
        <v>713</v>
      </c>
      <c r="CM224" s="20" t="s">
        <v>714</v>
      </c>
      <c r="CP224" s="20" t="s">
        <v>698</v>
      </c>
      <c r="DM224" s="20" t="s">
        <v>743</v>
      </c>
      <c r="DN224" s="20" t="s">
        <v>1170</v>
      </c>
      <c r="FK224" s="20">
        <v>2016</v>
      </c>
      <c r="FM224" s="20" t="s">
        <v>962</v>
      </c>
      <c r="FN224" s="20" t="s">
        <v>2250</v>
      </c>
      <c r="FO224" s="20" t="s">
        <v>720</v>
      </c>
      <c r="FR224" s="20" t="s">
        <v>768</v>
      </c>
      <c r="FY224" s="20" t="s">
        <v>698</v>
      </c>
      <c r="GC224" s="20" t="s">
        <v>698</v>
      </c>
      <c r="GD224" s="20" t="s">
        <v>698</v>
      </c>
      <c r="GE224" s="20" t="s">
        <v>698</v>
      </c>
      <c r="GK224" s="20" t="s">
        <v>698</v>
      </c>
      <c r="GT224" s="20" t="s">
        <v>698</v>
      </c>
      <c r="GU224" s="20" t="s">
        <v>698</v>
      </c>
      <c r="HF224" s="20">
        <v>0</v>
      </c>
      <c r="HG224" s="20">
        <v>12</v>
      </c>
      <c r="HH224" s="20">
        <v>50</v>
      </c>
      <c r="HI224" s="20">
        <v>1470</v>
      </c>
      <c r="HJ224" s="20">
        <v>0</v>
      </c>
      <c r="HK224" s="20">
        <v>0</v>
      </c>
      <c r="HM224" s="20">
        <v>1532</v>
      </c>
      <c r="HR224" s="20">
        <v>509</v>
      </c>
      <c r="HS224" s="20">
        <v>1440</v>
      </c>
      <c r="HY224" s="20" t="s">
        <v>723</v>
      </c>
      <c r="HZ224" s="20" t="s">
        <v>698</v>
      </c>
      <c r="IS224" s="20" t="s">
        <v>724</v>
      </c>
      <c r="IT224" s="20" t="s">
        <v>696</v>
      </c>
      <c r="IU224" s="20" t="s">
        <v>696</v>
      </c>
      <c r="IV224" s="20" t="s">
        <v>696</v>
      </c>
      <c r="IW224" s="20" t="s">
        <v>696</v>
      </c>
      <c r="IX224" s="20" t="s">
        <v>696</v>
      </c>
      <c r="IY224" s="20" t="s">
        <v>696</v>
      </c>
      <c r="IZ224" s="20" t="s">
        <v>696</v>
      </c>
      <c r="JA224" s="20" t="s">
        <v>696</v>
      </c>
      <c r="JB224" s="20" t="s">
        <v>698</v>
      </c>
      <c r="JC224" s="20" t="s">
        <v>698</v>
      </c>
      <c r="JD224" s="20" t="s">
        <v>725</v>
      </c>
      <c r="JE224" s="20" t="s">
        <v>2251</v>
      </c>
      <c r="JR224" s="20" t="s">
        <v>698</v>
      </c>
      <c r="JS224" s="20" t="s">
        <v>698</v>
      </c>
      <c r="JX224" s="20" t="s">
        <v>789</v>
      </c>
      <c r="JY224" s="20" t="s">
        <v>964</v>
      </c>
      <c r="QB224" s="20" t="s">
        <v>964</v>
      </c>
      <c r="QU224" s="20" t="s">
        <v>2252</v>
      </c>
      <c r="RI224" s="20" t="s">
        <v>696</v>
      </c>
      <c r="XL224" s="20" t="s">
        <v>730</v>
      </c>
      <c r="XM224" s="20" t="s">
        <v>1360</v>
      </c>
      <c r="XN224" s="20" t="s">
        <v>732</v>
      </c>
      <c r="XO224" s="20" t="s">
        <v>733</v>
      </c>
      <c r="XP224" s="20" t="s">
        <v>2216</v>
      </c>
      <c r="XQ224" s="24">
        <v>44000</v>
      </c>
      <c r="XU224" s="20" t="s">
        <v>730</v>
      </c>
      <c r="XV224" s="20" t="s">
        <v>733</v>
      </c>
      <c r="XW224" s="20" t="s">
        <v>1360</v>
      </c>
      <c r="XX224" s="20" t="s">
        <v>732</v>
      </c>
      <c r="XY224" s="20" t="s">
        <v>2253</v>
      </c>
    </row>
    <row r="225" spans="1:649" ht="13">
      <c r="A225" s="20">
        <v>1547</v>
      </c>
      <c r="B225" s="21">
        <v>43984</v>
      </c>
      <c r="C225" s="20">
        <v>2020</v>
      </c>
      <c r="D225" s="20">
        <v>20200154</v>
      </c>
      <c r="E225" s="20">
        <v>33842</v>
      </c>
      <c r="F225" s="20" t="s">
        <v>885</v>
      </c>
      <c r="G225" s="20">
        <v>22442</v>
      </c>
      <c r="H225" s="20" t="s">
        <v>886</v>
      </c>
      <c r="I225" s="20" t="s">
        <v>692</v>
      </c>
      <c r="J225" s="20" t="s">
        <v>693</v>
      </c>
      <c r="K225" s="20" t="s">
        <v>694</v>
      </c>
      <c r="L225" s="20">
        <v>77002</v>
      </c>
      <c r="M225" s="22">
        <v>43959.3125</v>
      </c>
      <c r="P225" s="20">
        <v>32.532325</v>
      </c>
      <c r="Q225" s="20">
        <v>-100.830162</v>
      </c>
      <c r="R225" s="20" t="s">
        <v>697</v>
      </c>
      <c r="W225" s="20">
        <v>3.7</v>
      </c>
      <c r="Y225" s="20">
        <v>3.7</v>
      </c>
      <c r="Z225" s="20" t="s">
        <v>698</v>
      </c>
      <c r="AF225" s="20">
        <v>0</v>
      </c>
      <c r="AG225" s="20" t="s">
        <v>698</v>
      </c>
      <c r="AM225" s="20">
        <v>0</v>
      </c>
      <c r="AN225" s="20" t="s">
        <v>699</v>
      </c>
      <c r="AP225" s="20" t="s">
        <v>700</v>
      </c>
      <c r="AQ225" s="23">
        <v>43959.3125</v>
      </c>
      <c r="AR225" s="20" t="s">
        <v>701</v>
      </c>
      <c r="AS225" s="20" t="s">
        <v>702</v>
      </c>
      <c r="AU225" s="20" t="s">
        <v>698</v>
      </c>
      <c r="AV225" s="20" t="s">
        <v>2254</v>
      </c>
      <c r="BC225" s="23">
        <v>43959.3125</v>
      </c>
      <c r="BF225" s="20" t="s">
        <v>754</v>
      </c>
      <c r="BH225" s="20" t="s">
        <v>698</v>
      </c>
      <c r="BM225" s="20" t="s">
        <v>698</v>
      </c>
      <c r="CA225" s="20">
        <v>0</v>
      </c>
      <c r="CB225" s="20" t="s">
        <v>2255</v>
      </c>
      <c r="CC225" s="20" t="s">
        <v>2256</v>
      </c>
      <c r="CD225" s="20" t="s">
        <v>694</v>
      </c>
      <c r="CE225" s="20">
        <v>79526</v>
      </c>
      <c r="CF225" s="20" t="s">
        <v>1203</v>
      </c>
      <c r="CG225" s="20" t="s">
        <v>1204</v>
      </c>
      <c r="CH225" s="20" t="s">
        <v>1931</v>
      </c>
      <c r="CI225" s="20" t="s">
        <v>711</v>
      </c>
      <c r="CJ225" s="20" t="s">
        <v>698</v>
      </c>
      <c r="CK225" s="20" t="s">
        <v>712</v>
      </c>
      <c r="CL225" s="20" t="s">
        <v>741</v>
      </c>
      <c r="CM225" s="20" t="s">
        <v>742</v>
      </c>
      <c r="CO225" s="20">
        <v>36</v>
      </c>
      <c r="CP225" s="20" t="s">
        <v>698</v>
      </c>
      <c r="DM225" s="20" t="s">
        <v>743</v>
      </c>
      <c r="DN225" s="20" t="s">
        <v>1951</v>
      </c>
      <c r="FK225" s="20">
        <v>2012</v>
      </c>
      <c r="FM225" s="20" t="s">
        <v>719</v>
      </c>
      <c r="FO225" s="20" t="s">
        <v>720</v>
      </c>
      <c r="FR225" s="20" t="s">
        <v>749</v>
      </c>
      <c r="FY225" s="20" t="s">
        <v>698</v>
      </c>
      <c r="GC225" s="20" t="s">
        <v>696</v>
      </c>
      <c r="GD225" s="20" t="s">
        <v>698</v>
      </c>
      <c r="GE225" s="20" t="s">
        <v>696</v>
      </c>
      <c r="GH225" s="20" t="s">
        <v>696</v>
      </c>
      <c r="GK225" s="20" t="s">
        <v>698</v>
      </c>
      <c r="GT225" s="20" t="s">
        <v>698</v>
      </c>
      <c r="GU225" s="20" t="s">
        <v>698</v>
      </c>
      <c r="HF225" s="20">
        <v>0</v>
      </c>
      <c r="HG225" s="20">
        <v>90</v>
      </c>
      <c r="HH225" s="20">
        <v>5000</v>
      </c>
      <c r="HI225" s="20">
        <v>500</v>
      </c>
      <c r="HJ225" s="20">
        <v>0</v>
      </c>
      <c r="HK225" s="20">
        <v>0</v>
      </c>
      <c r="HM225" s="20">
        <v>5590</v>
      </c>
      <c r="HR225" s="20">
        <v>5</v>
      </c>
      <c r="HS225" s="20">
        <v>285</v>
      </c>
      <c r="HY225" s="20" t="s">
        <v>723</v>
      </c>
      <c r="HZ225" s="20" t="s">
        <v>698</v>
      </c>
      <c r="IS225" s="20" t="s">
        <v>724</v>
      </c>
      <c r="IT225" s="20" t="s">
        <v>696</v>
      </c>
      <c r="IU225" s="20" t="s">
        <v>696</v>
      </c>
      <c r="IV225" s="20" t="s">
        <v>696</v>
      </c>
      <c r="IW225" s="20" t="s">
        <v>698</v>
      </c>
      <c r="IX225" s="20" t="s">
        <v>698</v>
      </c>
      <c r="IY225" s="20" t="s">
        <v>696</v>
      </c>
      <c r="IZ225" s="20" t="s">
        <v>696</v>
      </c>
      <c r="JA225" s="20" t="s">
        <v>696</v>
      </c>
      <c r="JB225" s="20" t="s">
        <v>698</v>
      </c>
      <c r="JC225" s="20" t="s">
        <v>698</v>
      </c>
      <c r="JD225" s="20" t="s">
        <v>725</v>
      </c>
      <c r="JE225" s="20" t="s">
        <v>726</v>
      </c>
      <c r="JR225" s="20" t="s">
        <v>698</v>
      </c>
      <c r="JS225" s="20" t="s">
        <v>698</v>
      </c>
      <c r="JX225" s="20" t="s">
        <v>833</v>
      </c>
      <c r="JY225" s="20" t="s">
        <v>834</v>
      </c>
      <c r="JZ225" s="20" t="s">
        <v>834</v>
      </c>
      <c r="LD225" s="20" t="s">
        <v>1442</v>
      </c>
      <c r="LG225" s="20" t="s">
        <v>696</v>
      </c>
      <c r="LL225" s="20" t="s">
        <v>696</v>
      </c>
      <c r="LP225" s="20" t="s">
        <v>696</v>
      </c>
      <c r="LU225" s="20" t="s">
        <v>696</v>
      </c>
      <c r="LV225" s="20" t="s">
        <v>698</v>
      </c>
      <c r="LW225" s="20" t="s">
        <v>838</v>
      </c>
      <c r="LX225" s="20" t="s">
        <v>838</v>
      </c>
      <c r="XL225" s="20" t="s">
        <v>730</v>
      </c>
      <c r="XM225" s="20" t="s">
        <v>1360</v>
      </c>
      <c r="XN225" s="20" t="s">
        <v>732</v>
      </c>
      <c r="XO225" s="20" t="s">
        <v>733</v>
      </c>
      <c r="XP225" s="20" t="s">
        <v>2216</v>
      </c>
      <c r="XQ225" s="24">
        <v>43984</v>
      </c>
      <c r="XU225" s="20" t="s">
        <v>730</v>
      </c>
      <c r="XV225" s="20" t="s">
        <v>733</v>
      </c>
      <c r="XW225" s="20" t="s">
        <v>1360</v>
      </c>
      <c r="XX225" s="20" t="s">
        <v>732</v>
      </c>
      <c r="XY225" s="20" t="s">
        <v>2257</v>
      </c>
    </row>
    <row r="226" spans="1:649" ht="13">
      <c r="A226" s="20">
        <v>1555</v>
      </c>
      <c r="B226" s="21">
        <v>43985</v>
      </c>
      <c r="C226" s="20">
        <v>2020</v>
      </c>
      <c r="D226" s="20">
        <v>20200155</v>
      </c>
      <c r="E226" s="20">
        <v>33843</v>
      </c>
      <c r="F226" s="20" t="s">
        <v>885</v>
      </c>
      <c r="G226" s="20">
        <v>32288</v>
      </c>
      <c r="H226" s="20" t="s">
        <v>2258</v>
      </c>
      <c r="I226" s="20" t="s">
        <v>692</v>
      </c>
      <c r="J226" s="20" t="s">
        <v>693</v>
      </c>
      <c r="K226" s="20" t="s">
        <v>694</v>
      </c>
      <c r="L226" s="20">
        <v>77002</v>
      </c>
      <c r="M226" s="22">
        <v>43955.875</v>
      </c>
      <c r="P226" s="20">
        <v>36.811799999999998</v>
      </c>
      <c r="Q226" s="20">
        <v>-97.552977999999996</v>
      </c>
      <c r="R226" s="20" t="s">
        <v>773</v>
      </c>
      <c r="S226" s="20" t="s">
        <v>1098</v>
      </c>
      <c r="W226" s="20">
        <v>7</v>
      </c>
      <c r="X226" s="20">
        <v>31</v>
      </c>
      <c r="Y226" s="20">
        <v>0</v>
      </c>
      <c r="Z226" s="20" t="s">
        <v>698</v>
      </c>
      <c r="AF226" s="20">
        <v>0</v>
      </c>
      <c r="AG226" s="20" t="s">
        <v>698</v>
      </c>
      <c r="AM226" s="20">
        <v>0</v>
      </c>
      <c r="AN226" s="20" t="s">
        <v>2050</v>
      </c>
      <c r="AQ226" s="23">
        <v>43955.875</v>
      </c>
      <c r="AR226" s="20" t="s">
        <v>701</v>
      </c>
      <c r="AS226" s="20" t="s">
        <v>702</v>
      </c>
      <c r="AU226" s="20" t="s">
        <v>696</v>
      </c>
      <c r="AW226" s="23">
        <v>43955.875</v>
      </c>
      <c r="AX226" s="23">
        <v>43957.6875</v>
      </c>
      <c r="BC226" s="23">
        <v>43955.909722222219</v>
      </c>
      <c r="BF226" s="20" t="s">
        <v>754</v>
      </c>
      <c r="BH226" s="20" t="s">
        <v>698</v>
      </c>
      <c r="BM226" s="20" t="s">
        <v>698</v>
      </c>
      <c r="CA226" s="20">
        <v>0</v>
      </c>
      <c r="CB226" s="20" t="s">
        <v>2259</v>
      </c>
      <c r="CC226" s="20" t="s">
        <v>2260</v>
      </c>
      <c r="CD226" s="20" t="s">
        <v>739</v>
      </c>
      <c r="CE226" s="20">
        <v>74636</v>
      </c>
      <c r="CF226" s="20" t="s">
        <v>2261</v>
      </c>
      <c r="CG226" s="20" t="s">
        <v>2262</v>
      </c>
      <c r="CH226" s="20" t="s">
        <v>1931</v>
      </c>
      <c r="CI226" s="20">
        <v>455.53</v>
      </c>
      <c r="CJ226" s="20" t="s">
        <v>698</v>
      </c>
      <c r="CK226" s="20" t="s">
        <v>712</v>
      </c>
      <c r="CL226" s="20" t="s">
        <v>713</v>
      </c>
      <c r="CM226" s="20" t="s">
        <v>758</v>
      </c>
      <c r="CP226" s="20" t="s">
        <v>698</v>
      </c>
      <c r="DM226" s="20" t="s">
        <v>743</v>
      </c>
      <c r="DN226" s="20" t="s">
        <v>829</v>
      </c>
      <c r="EM226" s="20" t="s">
        <v>830</v>
      </c>
      <c r="FK226" s="20">
        <v>2008</v>
      </c>
      <c r="FM226" s="20" t="s">
        <v>962</v>
      </c>
      <c r="FN226" s="20" t="s">
        <v>2263</v>
      </c>
      <c r="FO226" s="20" t="s">
        <v>720</v>
      </c>
      <c r="FR226" s="20" t="s">
        <v>721</v>
      </c>
      <c r="FY226" s="20" t="s">
        <v>698</v>
      </c>
      <c r="GC226" s="20" t="s">
        <v>698</v>
      </c>
      <c r="GD226" s="20" t="s">
        <v>698</v>
      </c>
      <c r="GE226" s="20" t="s">
        <v>698</v>
      </c>
      <c r="GK226" s="20" t="s">
        <v>698</v>
      </c>
      <c r="GT226" s="20" t="s">
        <v>698</v>
      </c>
      <c r="GU226" s="20" t="s">
        <v>698</v>
      </c>
      <c r="HF226" s="20">
        <v>0</v>
      </c>
      <c r="HG226" s="20">
        <v>197</v>
      </c>
      <c r="HH226" s="20">
        <v>18519</v>
      </c>
      <c r="HI226" s="20">
        <v>0</v>
      </c>
      <c r="HJ226" s="20">
        <v>0</v>
      </c>
      <c r="HK226" s="20">
        <v>0</v>
      </c>
      <c r="HM226" s="20">
        <v>18716</v>
      </c>
      <c r="HR226" s="20">
        <v>700</v>
      </c>
      <c r="HS226" s="20">
        <v>1480</v>
      </c>
      <c r="HY226" s="20" t="s">
        <v>723</v>
      </c>
      <c r="HZ226" s="20" t="s">
        <v>698</v>
      </c>
      <c r="IS226" s="20" t="s">
        <v>724</v>
      </c>
      <c r="IT226" s="20" t="s">
        <v>696</v>
      </c>
      <c r="IU226" s="20" t="s">
        <v>696</v>
      </c>
      <c r="IV226" s="20" t="s">
        <v>696</v>
      </c>
      <c r="IW226" s="20" t="s">
        <v>696</v>
      </c>
      <c r="IX226" s="20" t="s">
        <v>698</v>
      </c>
      <c r="IY226" s="20" t="s">
        <v>696</v>
      </c>
      <c r="IZ226" s="20" t="s">
        <v>696</v>
      </c>
      <c r="JA226" s="20" t="s">
        <v>696</v>
      </c>
      <c r="JB226" s="20" t="s">
        <v>698</v>
      </c>
      <c r="JC226" s="20" t="s">
        <v>698</v>
      </c>
      <c r="JD226" s="20" t="s">
        <v>725</v>
      </c>
      <c r="JE226" s="20" t="s">
        <v>2264</v>
      </c>
      <c r="JR226" s="20" t="s">
        <v>698</v>
      </c>
      <c r="JS226" s="20" t="s">
        <v>698</v>
      </c>
      <c r="JX226" s="20" t="s">
        <v>789</v>
      </c>
      <c r="JY226" s="20" t="s">
        <v>914</v>
      </c>
      <c r="QB226" s="20" t="s">
        <v>914</v>
      </c>
      <c r="QS226" s="20" t="s">
        <v>1659</v>
      </c>
      <c r="RA226" s="20" t="s">
        <v>696</v>
      </c>
      <c r="XL226" s="20" t="s">
        <v>730</v>
      </c>
      <c r="XM226" s="20" t="s">
        <v>1360</v>
      </c>
      <c r="XN226" s="20" t="s">
        <v>732</v>
      </c>
      <c r="XO226" s="20" t="s">
        <v>733</v>
      </c>
      <c r="XP226" s="20" t="s">
        <v>2216</v>
      </c>
      <c r="XQ226" s="24">
        <v>43985</v>
      </c>
      <c r="XU226" s="20" t="s">
        <v>730</v>
      </c>
      <c r="XV226" s="20" t="s">
        <v>733</v>
      </c>
      <c r="XW226" s="20" t="s">
        <v>1360</v>
      </c>
      <c r="XX226" s="20" t="s">
        <v>732</v>
      </c>
      <c r="XY226" s="20" t="s">
        <v>2265</v>
      </c>
    </row>
    <row r="227" spans="1:649" ht="13">
      <c r="A227" s="20">
        <v>1571</v>
      </c>
      <c r="B227" s="21">
        <v>43969</v>
      </c>
      <c r="C227" s="20">
        <v>2020</v>
      </c>
      <c r="D227" s="20">
        <v>20200139</v>
      </c>
      <c r="E227" s="20">
        <v>33768</v>
      </c>
      <c r="F227" s="20" t="s">
        <v>825</v>
      </c>
      <c r="G227" s="20">
        <v>39596</v>
      </c>
      <c r="H227" s="20" t="s">
        <v>796</v>
      </c>
      <c r="I227" s="20" t="s">
        <v>692</v>
      </c>
      <c r="J227" s="20" t="s">
        <v>693</v>
      </c>
      <c r="K227" s="20" t="s">
        <v>694</v>
      </c>
      <c r="L227" s="20">
        <v>77002</v>
      </c>
      <c r="M227" s="22">
        <v>43944.416666666664</v>
      </c>
      <c r="P227" s="20">
        <v>32.352919999999997</v>
      </c>
      <c r="Q227" s="20">
        <v>-93.677850000000007</v>
      </c>
      <c r="R227" s="20" t="s">
        <v>697</v>
      </c>
      <c r="W227" s="20">
        <v>0.47</v>
      </c>
      <c r="Y227" s="20">
        <v>0.47</v>
      </c>
      <c r="Z227" s="20" t="s">
        <v>698</v>
      </c>
      <c r="AF227" s="20">
        <v>0</v>
      </c>
      <c r="AG227" s="20" t="s">
        <v>698</v>
      </c>
      <c r="AM227" s="20">
        <v>0</v>
      </c>
      <c r="AN227" s="20" t="s">
        <v>699</v>
      </c>
      <c r="AP227" s="20" t="s">
        <v>700</v>
      </c>
      <c r="AQ227" s="23">
        <v>43944.4375</v>
      </c>
      <c r="AR227" s="20" t="s">
        <v>701</v>
      </c>
      <c r="AS227" s="20" t="s">
        <v>702</v>
      </c>
      <c r="AU227" s="20" t="s">
        <v>696</v>
      </c>
      <c r="AW227" s="23">
        <v>43944.416666666664</v>
      </c>
      <c r="AX227" s="23">
        <v>43944.75</v>
      </c>
      <c r="BC227" s="23">
        <v>43944.4375</v>
      </c>
      <c r="BF227" s="20" t="s">
        <v>754</v>
      </c>
      <c r="BH227" s="20" t="s">
        <v>698</v>
      </c>
      <c r="BM227" s="20" t="s">
        <v>698</v>
      </c>
      <c r="CA227" s="20">
        <v>0</v>
      </c>
      <c r="CB227" s="20" t="s">
        <v>2266</v>
      </c>
      <c r="CC227" s="20" t="s">
        <v>2267</v>
      </c>
      <c r="CD227" s="20" t="s">
        <v>1009</v>
      </c>
      <c r="CE227" s="20">
        <v>71115</v>
      </c>
      <c r="CF227" s="20" t="s">
        <v>2268</v>
      </c>
      <c r="CG227" s="20" t="s">
        <v>1010</v>
      </c>
      <c r="CH227" s="20" t="s">
        <v>1931</v>
      </c>
      <c r="CI227" s="20">
        <v>68</v>
      </c>
      <c r="CJ227" s="20" t="s">
        <v>698</v>
      </c>
      <c r="CK227" s="20" t="s">
        <v>712</v>
      </c>
      <c r="CL227" s="20" t="s">
        <v>741</v>
      </c>
      <c r="CM227" s="20" t="s">
        <v>742</v>
      </c>
      <c r="CO227" s="20">
        <v>24</v>
      </c>
      <c r="CP227" s="20" t="s">
        <v>698</v>
      </c>
      <c r="DM227" s="20" t="s">
        <v>743</v>
      </c>
      <c r="DN227" s="20" t="s">
        <v>822</v>
      </c>
      <c r="FK227" s="20">
        <v>1953</v>
      </c>
      <c r="FM227" s="20" t="s">
        <v>719</v>
      </c>
      <c r="FO227" s="20" t="s">
        <v>720</v>
      </c>
      <c r="FR227" s="20" t="s">
        <v>749</v>
      </c>
      <c r="FY227" s="20" t="s">
        <v>698</v>
      </c>
      <c r="GC227" s="20" t="s">
        <v>696</v>
      </c>
      <c r="GD227" s="20" t="s">
        <v>698</v>
      </c>
      <c r="GE227" s="20" t="s">
        <v>696</v>
      </c>
      <c r="GH227" s="20" t="s">
        <v>696</v>
      </c>
      <c r="GK227" s="20" t="s">
        <v>698</v>
      </c>
      <c r="GT227" s="20" t="s">
        <v>698</v>
      </c>
      <c r="GU227" s="20" t="s">
        <v>698</v>
      </c>
      <c r="HF227" s="20">
        <v>0</v>
      </c>
      <c r="HG227" s="20">
        <v>16</v>
      </c>
      <c r="HH227" s="20">
        <v>20000</v>
      </c>
      <c r="HI227" s="20">
        <v>5000</v>
      </c>
      <c r="HJ227" s="20">
        <v>5000</v>
      </c>
      <c r="HK227" s="20">
        <v>0</v>
      </c>
      <c r="HM227" s="20">
        <v>30016</v>
      </c>
      <c r="HR227" s="20">
        <v>150</v>
      </c>
      <c r="HS227" s="20">
        <v>982</v>
      </c>
      <c r="HY227" s="20" t="s">
        <v>723</v>
      </c>
      <c r="HZ227" s="20" t="s">
        <v>698</v>
      </c>
      <c r="IS227" s="20" t="s">
        <v>724</v>
      </c>
      <c r="IT227" s="20" t="s">
        <v>696</v>
      </c>
      <c r="IU227" s="20" t="s">
        <v>696</v>
      </c>
      <c r="IV227" s="20" t="s">
        <v>696</v>
      </c>
      <c r="IW227" s="20" t="s">
        <v>698</v>
      </c>
      <c r="IX227" s="20" t="s">
        <v>698</v>
      </c>
      <c r="IY227" s="20" t="s">
        <v>696</v>
      </c>
      <c r="IZ227" s="20" t="s">
        <v>696</v>
      </c>
      <c r="JA227" s="20" t="s">
        <v>696</v>
      </c>
      <c r="JB227" s="20" t="s">
        <v>698</v>
      </c>
      <c r="JC227" s="20" t="s">
        <v>698</v>
      </c>
      <c r="JD227" s="20" t="s">
        <v>725</v>
      </c>
      <c r="JE227" s="20" t="s">
        <v>726</v>
      </c>
      <c r="JR227" s="20" t="s">
        <v>698</v>
      </c>
      <c r="JS227" s="20" t="s">
        <v>698</v>
      </c>
      <c r="JX227" s="20" t="s">
        <v>833</v>
      </c>
      <c r="JY227" s="20" t="s">
        <v>834</v>
      </c>
      <c r="JZ227" s="20" t="s">
        <v>834</v>
      </c>
      <c r="LD227" s="20" t="s">
        <v>1442</v>
      </c>
      <c r="LG227" s="20" t="s">
        <v>696</v>
      </c>
      <c r="LL227" s="20" t="s">
        <v>696</v>
      </c>
      <c r="LP227" s="20" t="s">
        <v>696</v>
      </c>
      <c r="LU227" s="20" t="s">
        <v>696</v>
      </c>
      <c r="LV227" s="20" t="s">
        <v>698</v>
      </c>
      <c r="LW227" s="20" t="s">
        <v>838</v>
      </c>
      <c r="LX227" s="20" t="s">
        <v>838</v>
      </c>
      <c r="XL227" s="20" t="s">
        <v>730</v>
      </c>
      <c r="XM227" s="20" t="s">
        <v>2269</v>
      </c>
      <c r="XN227" s="20" t="s">
        <v>732</v>
      </c>
      <c r="XO227" s="20" t="s">
        <v>733</v>
      </c>
      <c r="XP227" s="20" t="s">
        <v>2216</v>
      </c>
      <c r="XQ227" s="24">
        <v>43969</v>
      </c>
      <c r="XU227" s="20" t="s">
        <v>730</v>
      </c>
      <c r="XV227" s="20" t="s">
        <v>1625</v>
      </c>
      <c r="XW227" s="20" t="s">
        <v>2269</v>
      </c>
      <c r="XX227" s="20" t="s">
        <v>732</v>
      </c>
      <c r="XY227" s="20" t="s">
        <v>2270</v>
      </c>
    </row>
    <row r="228" spans="1:649" ht="13">
      <c r="A228" s="20">
        <v>1583</v>
      </c>
      <c r="B228" s="21">
        <v>43952</v>
      </c>
      <c r="C228" s="20">
        <v>2020</v>
      </c>
      <c r="D228" s="20">
        <v>20200124</v>
      </c>
      <c r="E228" s="20">
        <v>34438</v>
      </c>
      <c r="F228" s="20" t="s">
        <v>825</v>
      </c>
      <c r="G228" s="20">
        <v>32099</v>
      </c>
      <c r="H228" s="20" t="s">
        <v>752</v>
      </c>
      <c r="I228" s="20" t="s">
        <v>692</v>
      </c>
      <c r="J228" s="20" t="s">
        <v>693</v>
      </c>
      <c r="K228" s="20" t="s">
        <v>694</v>
      </c>
      <c r="L228" s="20">
        <v>77002</v>
      </c>
      <c r="M228" s="22">
        <v>43924.375</v>
      </c>
      <c r="P228" s="20">
        <v>31.51418</v>
      </c>
      <c r="Q228" s="20">
        <v>-103.45541</v>
      </c>
      <c r="R228" s="20" t="s">
        <v>697</v>
      </c>
      <c r="W228" s="20">
        <v>13.9</v>
      </c>
      <c r="Y228" s="20">
        <v>13.9</v>
      </c>
      <c r="Z228" s="20" t="s">
        <v>698</v>
      </c>
      <c r="AF228" s="20">
        <v>0</v>
      </c>
      <c r="AG228" s="20" t="s">
        <v>698</v>
      </c>
      <c r="AM228" s="20">
        <v>0</v>
      </c>
      <c r="AN228" s="20" t="s">
        <v>766</v>
      </c>
      <c r="AO228" s="20" t="s">
        <v>2271</v>
      </c>
      <c r="AQ228" s="23">
        <v>43924.354166666664</v>
      </c>
      <c r="AR228" s="20" t="s">
        <v>701</v>
      </c>
      <c r="AS228" s="20" t="s">
        <v>702</v>
      </c>
      <c r="AU228" s="20" t="s">
        <v>696</v>
      </c>
      <c r="AW228" s="23">
        <v>43924.354166666664</v>
      </c>
      <c r="AX228" s="23">
        <v>43924.570138888892</v>
      </c>
      <c r="BC228" s="23">
        <v>43924.375</v>
      </c>
      <c r="BF228" s="20" t="s">
        <v>754</v>
      </c>
      <c r="BH228" s="20" t="s">
        <v>698</v>
      </c>
      <c r="BM228" s="20" t="s">
        <v>698</v>
      </c>
      <c r="CA228" s="20">
        <v>0</v>
      </c>
      <c r="CB228" s="20" t="s">
        <v>2272</v>
      </c>
      <c r="CC228" s="20" t="s">
        <v>2273</v>
      </c>
      <c r="CD228" s="20" t="s">
        <v>694</v>
      </c>
      <c r="CE228" s="20">
        <v>79777</v>
      </c>
      <c r="CF228" s="20" t="s">
        <v>708</v>
      </c>
      <c r="CG228" s="20" t="s">
        <v>2274</v>
      </c>
      <c r="CH228" s="20" t="s">
        <v>1931</v>
      </c>
      <c r="CI228" s="20" t="s">
        <v>711</v>
      </c>
      <c r="CJ228" s="20" t="s">
        <v>698</v>
      </c>
      <c r="CK228" s="20" t="s">
        <v>712</v>
      </c>
      <c r="CL228" s="20" t="s">
        <v>713</v>
      </c>
      <c r="CM228" s="20" t="s">
        <v>758</v>
      </c>
      <c r="CP228" s="20" t="s">
        <v>698</v>
      </c>
      <c r="DM228" s="20" t="s">
        <v>715</v>
      </c>
      <c r="DN228" s="20" t="s">
        <v>892</v>
      </c>
      <c r="FK228" s="20">
        <v>2012</v>
      </c>
      <c r="FM228" s="20" t="s">
        <v>719</v>
      </c>
      <c r="FO228" s="20" t="s">
        <v>893</v>
      </c>
      <c r="FY228" s="20" t="s">
        <v>698</v>
      </c>
      <c r="GC228" s="20" t="s">
        <v>696</v>
      </c>
      <c r="GD228" s="20" t="s">
        <v>698</v>
      </c>
      <c r="GE228" s="20" t="s">
        <v>696</v>
      </c>
      <c r="GH228" s="20" t="s">
        <v>696</v>
      </c>
      <c r="GK228" s="20" t="s">
        <v>698</v>
      </c>
      <c r="GT228" s="20" t="s">
        <v>698</v>
      </c>
      <c r="GU228" s="20" t="s">
        <v>698</v>
      </c>
      <c r="HF228" s="20">
        <v>0</v>
      </c>
      <c r="HG228" s="20">
        <v>714</v>
      </c>
      <c r="HH228" s="20">
        <v>100</v>
      </c>
      <c r="HI228" s="20">
        <v>0</v>
      </c>
      <c r="HJ228" s="20">
        <v>45000</v>
      </c>
      <c r="HK228" s="20">
        <v>0</v>
      </c>
      <c r="HM228" s="20">
        <v>45814</v>
      </c>
      <c r="HR228" s="20">
        <v>119</v>
      </c>
      <c r="HS228" s="20">
        <v>740</v>
      </c>
      <c r="HY228" s="20" t="s">
        <v>723</v>
      </c>
      <c r="HZ228" s="20" t="s">
        <v>698</v>
      </c>
      <c r="IS228" s="20" t="s">
        <v>724</v>
      </c>
      <c r="IT228" s="20" t="s">
        <v>696</v>
      </c>
      <c r="IU228" s="20" t="s">
        <v>696</v>
      </c>
      <c r="IV228" s="20" t="s">
        <v>696</v>
      </c>
      <c r="IW228" s="20" t="s">
        <v>698</v>
      </c>
      <c r="IX228" s="20" t="s">
        <v>698</v>
      </c>
      <c r="IY228" s="20" t="s">
        <v>698</v>
      </c>
      <c r="JD228" s="20" t="s">
        <v>725</v>
      </c>
      <c r="JE228" s="20" t="s">
        <v>726</v>
      </c>
      <c r="JR228" s="20" t="s">
        <v>698</v>
      </c>
      <c r="JS228" s="20" t="s">
        <v>698</v>
      </c>
      <c r="JX228" s="20" t="s">
        <v>894</v>
      </c>
      <c r="JY228" s="20" t="s">
        <v>895</v>
      </c>
      <c r="RM228" s="20" t="s">
        <v>895</v>
      </c>
      <c r="RN228" s="20" t="s">
        <v>2014</v>
      </c>
      <c r="RT228" s="20" t="s">
        <v>696</v>
      </c>
      <c r="RU228" s="20" t="s">
        <v>2275</v>
      </c>
      <c r="RV228" s="20" t="s">
        <v>1590</v>
      </c>
      <c r="RW228" s="20" t="s">
        <v>698</v>
      </c>
      <c r="XL228" s="20" t="s">
        <v>730</v>
      </c>
      <c r="XM228" s="20" t="s">
        <v>2269</v>
      </c>
      <c r="XN228" s="20" t="s">
        <v>732</v>
      </c>
      <c r="XO228" s="20" t="s">
        <v>733</v>
      </c>
      <c r="XP228" s="20" t="s">
        <v>2216</v>
      </c>
      <c r="XQ228" s="24">
        <v>44132</v>
      </c>
      <c r="XU228" s="20" t="s">
        <v>730</v>
      </c>
      <c r="XV228" s="20" t="s">
        <v>733</v>
      </c>
      <c r="XW228" s="20" t="s">
        <v>2269</v>
      </c>
      <c r="XX228" s="20" t="s">
        <v>732</v>
      </c>
      <c r="XY228" s="20" t="s">
        <v>2276</v>
      </c>
    </row>
    <row r="229" spans="1:649" ht="13">
      <c r="A229" s="20">
        <v>1586</v>
      </c>
      <c r="B229" s="21">
        <v>43948</v>
      </c>
      <c r="C229" s="20">
        <v>2020</v>
      </c>
      <c r="D229" s="20">
        <v>20200120</v>
      </c>
      <c r="E229" s="20">
        <v>33725</v>
      </c>
      <c r="F229" s="20" t="s">
        <v>825</v>
      </c>
      <c r="G229" s="20">
        <v>18718</v>
      </c>
      <c r="H229" s="20" t="s">
        <v>918</v>
      </c>
      <c r="I229" s="20" t="s">
        <v>692</v>
      </c>
      <c r="J229" s="20" t="s">
        <v>693</v>
      </c>
      <c r="K229" s="20" t="s">
        <v>694</v>
      </c>
      <c r="L229" s="20">
        <v>77002</v>
      </c>
      <c r="M229" s="22">
        <v>43919.874305555553</v>
      </c>
      <c r="P229" s="20">
        <v>32.088700000000003</v>
      </c>
      <c r="Q229" s="20">
        <v>-96.385199999999998</v>
      </c>
      <c r="R229" s="20" t="s">
        <v>697</v>
      </c>
      <c r="W229" s="20">
        <v>50</v>
      </c>
      <c r="Y229" s="20">
        <v>50</v>
      </c>
      <c r="Z229" s="20" t="s">
        <v>698</v>
      </c>
      <c r="AF229" s="20">
        <v>0</v>
      </c>
      <c r="AG229" s="20" t="s">
        <v>698</v>
      </c>
      <c r="AM229" s="20">
        <v>0</v>
      </c>
      <c r="AN229" s="20" t="s">
        <v>775</v>
      </c>
      <c r="AQ229" s="23">
        <v>43919.874305555553</v>
      </c>
      <c r="AR229" s="20" t="s">
        <v>776</v>
      </c>
      <c r="AS229" s="20" t="s">
        <v>702</v>
      </c>
      <c r="AU229" s="20" t="s">
        <v>696</v>
      </c>
      <c r="AW229" s="23">
        <v>43919.874305555553</v>
      </c>
      <c r="AX229" s="23">
        <v>43921.416666666664</v>
      </c>
      <c r="BC229" s="23">
        <v>43919.895833333336</v>
      </c>
      <c r="BE229" s="23">
        <v>43919.989583333336</v>
      </c>
      <c r="BF229" s="20">
        <v>1274469</v>
      </c>
      <c r="BH229" s="20" t="s">
        <v>698</v>
      </c>
      <c r="BM229" s="20" t="s">
        <v>698</v>
      </c>
      <c r="BQ229" s="20" t="s">
        <v>798</v>
      </c>
      <c r="BU229" s="20" t="s">
        <v>779</v>
      </c>
      <c r="CA229" s="20">
        <v>0</v>
      </c>
      <c r="CB229" s="20" t="s">
        <v>2277</v>
      </c>
      <c r="CC229" s="20" t="s">
        <v>2278</v>
      </c>
      <c r="CD229" s="20" t="s">
        <v>694</v>
      </c>
      <c r="CE229" s="20">
        <v>75109</v>
      </c>
      <c r="CF229" s="20" t="s">
        <v>1296</v>
      </c>
      <c r="CG229" s="20" t="s">
        <v>2279</v>
      </c>
      <c r="CH229" s="20" t="s">
        <v>1931</v>
      </c>
      <c r="CI229" s="20">
        <v>99.27</v>
      </c>
      <c r="CJ229" s="20" t="s">
        <v>698</v>
      </c>
      <c r="CK229" s="20" t="s">
        <v>785</v>
      </c>
      <c r="CL229" s="20" t="s">
        <v>741</v>
      </c>
      <c r="CM229" s="20" t="s">
        <v>742</v>
      </c>
      <c r="CO229" s="20">
        <v>24</v>
      </c>
      <c r="CP229" s="20" t="s">
        <v>698</v>
      </c>
      <c r="DM229" s="20" t="s">
        <v>715</v>
      </c>
      <c r="DN229" s="20" t="s">
        <v>744</v>
      </c>
      <c r="DO229" s="20" t="s">
        <v>745</v>
      </c>
      <c r="DQ229" s="20">
        <v>12</v>
      </c>
      <c r="DR229" s="20">
        <v>0.25</v>
      </c>
      <c r="DS229" s="20">
        <v>30000</v>
      </c>
      <c r="DT229" s="20" t="s">
        <v>1103</v>
      </c>
      <c r="DU229" s="20" t="s">
        <v>804</v>
      </c>
      <c r="DW229" s="20" t="s">
        <v>728</v>
      </c>
      <c r="DX229" s="20" t="s">
        <v>805</v>
      </c>
      <c r="FK229" s="20">
        <v>1952</v>
      </c>
      <c r="FL229" s="20">
        <v>1952</v>
      </c>
      <c r="FM229" s="20" t="s">
        <v>719</v>
      </c>
      <c r="FO229" s="20" t="s">
        <v>720</v>
      </c>
      <c r="FR229" s="20" t="s">
        <v>749</v>
      </c>
      <c r="FY229" s="20" t="s">
        <v>698</v>
      </c>
      <c r="GC229" s="20" t="s">
        <v>696</v>
      </c>
      <c r="GD229" s="20" t="s">
        <v>698</v>
      </c>
      <c r="GE229" s="20" t="s">
        <v>696</v>
      </c>
      <c r="GH229" s="20" t="s">
        <v>696</v>
      </c>
      <c r="GK229" s="20" t="s">
        <v>698</v>
      </c>
      <c r="GT229" s="20" t="s">
        <v>698</v>
      </c>
      <c r="GU229" s="20" t="s">
        <v>698</v>
      </c>
      <c r="HF229" s="20">
        <v>0</v>
      </c>
      <c r="HG229" s="20">
        <v>1000</v>
      </c>
      <c r="HH229" s="20">
        <v>4038</v>
      </c>
      <c r="HI229" s="20">
        <v>15000</v>
      </c>
      <c r="HJ229" s="20">
        <v>40000</v>
      </c>
      <c r="HK229" s="20">
        <v>0</v>
      </c>
      <c r="HM229" s="20">
        <v>60038</v>
      </c>
      <c r="HR229" s="20">
        <v>440</v>
      </c>
      <c r="HS229" s="20">
        <v>784</v>
      </c>
      <c r="HY229" s="20" t="s">
        <v>723</v>
      </c>
      <c r="HZ229" s="20" t="s">
        <v>696</v>
      </c>
      <c r="IA229" s="20" t="s">
        <v>698</v>
      </c>
      <c r="IB229" s="20" t="s">
        <v>2280</v>
      </c>
      <c r="IC229" s="20">
        <v>31680</v>
      </c>
      <c r="ID229" s="20" t="s">
        <v>696</v>
      </c>
      <c r="IL229" s="20" t="s">
        <v>698</v>
      </c>
      <c r="IS229" s="20" t="s">
        <v>724</v>
      </c>
      <c r="IT229" s="20" t="s">
        <v>696</v>
      </c>
      <c r="IU229" s="20" t="s">
        <v>696</v>
      </c>
      <c r="IV229" s="20" t="s">
        <v>696</v>
      </c>
      <c r="IW229" s="20" t="s">
        <v>698</v>
      </c>
      <c r="IX229" s="20" t="s">
        <v>698</v>
      </c>
      <c r="IY229" s="20" t="s">
        <v>696</v>
      </c>
      <c r="IZ229" s="20" t="s">
        <v>696</v>
      </c>
      <c r="JA229" s="20" t="s">
        <v>696</v>
      </c>
      <c r="JB229" s="20" t="s">
        <v>698</v>
      </c>
      <c r="JC229" s="20" t="s">
        <v>698</v>
      </c>
      <c r="JD229" s="20" t="s">
        <v>725</v>
      </c>
      <c r="JE229" s="20" t="s">
        <v>726</v>
      </c>
      <c r="JR229" s="20" t="s">
        <v>698</v>
      </c>
      <c r="JS229" s="20" t="s">
        <v>698</v>
      </c>
      <c r="JX229" s="20" t="s">
        <v>833</v>
      </c>
      <c r="JY229" s="20" t="s">
        <v>860</v>
      </c>
      <c r="JZ229" s="20" t="s">
        <v>860</v>
      </c>
      <c r="KA229" s="20" t="s">
        <v>835</v>
      </c>
      <c r="KC229" s="20" t="s">
        <v>696</v>
      </c>
      <c r="KL229" s="20" t="s">
        <v>696</v>
      </c>
      <c r="KP229" s="20" t="s">
        <v>696</v>
      </c>
      <c r="KQ229" s="20" t="s">
        <v>696</v>
      </c>
      <c r="KR229" s="20">
        <v>1952</v>
      </c>
      <c r="KS229" s="20" t="s">
        <v>698</v>
      </c>
      <c r="KT229" s="20" t="s">
        <v>696</v>
      </c>
      <c r="KU229" s="20" t="s">
        <v>696</v>
      </c>
      <c r="KV229" s="20" t="s">
        <v>696</v>
      </c>
      <c r="KX229" s="20">
        <v>2019</v>
      </c>
      <c r="KY229" s="20">
        <v>2019</v>
      </c>
      <c r="LC229" s="20" t="s">
        <v>696</v>
      </c>
      <c r="SC229" s="20" t="s">
        <v>696</v>
      </c>
      <c r="SD229" s="20" t="s">
        <v>696</v>
      </c>
      <c r="SK229" s="20">
        <v>2017</v>
      </c>
      <c r="TQ229" s="20">
        <v>2017</v>
      </c>
      <c r="UO229" s="20" t="s">
        <v>696</v>
      </c>
      <c r="UP229" s="20">
        <v>2013</v>
      </c>
      <c r="UQ229" s="20">
        <v>1054</v>
      </c>
      <c r="UR229" s="20" t="s">
        <v>698</v>
      </c>
      <c r="UZ229" s="20" t="s">
        <v>698</v>
      </c>
      <c r="XL229" s="20" t="s">
        <v>730</v>
      </c>
      <c r="XM229" s="20" t="s">
        <v>2269</v>
      </c>
      <c r="XN229" s="20" t="s">
        <v>732</v>
      </c>
      <c r="XO229" s="20" t="s">
        <v>1715</v>
      </c>
      <c r="XP229" s="20" t="s">
        <v>2216</v>
      </c>
      <c r="XQ229" s="24">
        <v>43962</v>
      </c>
      <c r="XU229" s="20" t="s">
        <v>730</v>
      </c>
      <c r="XV229" s="20" t="s">
        <v>1625</v>
      </c>
      <c r="XW229" s="20" t="s">
        <v>2269</v>
      </c>
      <c r="XX229" s="20" t="s">
        <v>732</v>
      </c>
      <c r="XY229" s="20" t="s">
        <v>2281</v>
      </c>
    </row>
    <row r="230" spans="1:649" ht="13">
      <c r="A230" s="20">
        <v>1589</v>
      </c>
      <c r="B230" s="21">
        <v>43942</v>
      </c>
      <c r="C230" s="20">
        <v>2020</v>
      </c>
      <c r="D230" s="20">
        <v>20200115</v>
      </c>
      <c r="E230" s="20">
        <v>33626</v>
      </c>
      <c r="F230" s="20" t="s">
        <v>885</v>
      </c>
      <c r="G230" s="20">
        <v>18718</v>
      </c>
      <c r="H230" s="20" t="s">
        <v>918</v>
      </c>
      <c r="I230" s="20" t="s">
        <v>692</v>
      </c>
      <c r="J230" s="20" t="s">
        <v>693</v>
      </c>
      <c r="K230" s="20" t="s">
        <v>694</v>
      </c>
      <c r="L230" s="20">
        <v>77002</v>
      </c>
      <c r="M230" s="22">
        <v>43916.520833333336</v>
      </c>
      <c r="P230" s="20">
        <v>39.847479999999997</v>
      </c>
      <c r="Q230" s="20">
        <v>-75.418480000000002</v>
      </c>
      <c r="R230" s="20" t="s">
        <v>844</v>
      </c>
      <c r="S230" s="20" t="s">
        <v>1916</v>
      </c>
      <c r="W230" s="20">
        <v>0.4</v>
      </c>
      <c r="Y230" s="20">
        <v>0.4</v>
      </c>
      <c r="Z230" s="20" t="s">
        <v>698</v>
      </c>
      <c r="AF230" s="20">
        <v>0</v>
      </c>
      <c r="AG230" s="20" t="s">
        <v>698</v>
      </c>
      <c r="AM230" s="20">
        <v>0</v>
      </c>
      <c r="AN230" s="20" t="s">
        <v>699</v>
      </c>
      <c r="AP230" s="20" t="s">
        <v>700</v>
      </c>
      <c r="AQ230" s="23">
        <v>43916.520833333336</v>
      </c>
      <c r="AR230" s="20" t="s">
        <v>701</v>
      </c>
      <c r="AS230" s="20" t="s">
        <v>702</v>
      </c>
      <c r="AU230" s="20" t="s">
        <v>698</v>
      </c>
      <c r="AV230" s="20" t="s">
        <v>2282</v>
      </c>
      <c r="BC230" s="23">
        <v>43916.520833333336</v>
      </c>
      <c r="BF230" s="20" t="s">
        <v>754</v>
      </c>
      <c r="BH230" s="20" t="s">
        <v>698</v>
      </c>
      <c r="BM230" s="20" t="s">
        <v>698</v>
      </c>
      <c r="CA230" s="20">
        <v>0</v>
      </c>
      <c r="CB230" s="20" t="s">
        <v>2283</v>
      </c>
      <c r="CC230" s="20" t="s">
        <v>2284</v>
      </c>
      <c r="CD230" s="20" t="s">
        <v>921</v>
      </c>
      <c r="CE230" s="20">
        <v>19014</v>
      </c>
      <c r="CF230" s="20" t="s">
        <v>1179</v>
      </c>
      <c r="CG230" s="20" t="s">
        <v>1180</v>
      </c>
      <c r="CH230" s="20" t="s">
        <v>1931</v>
      </c>
      <c r="CI230" s="20" t="s">
        <v>711</v>
      </c>
      <c r="CJ230" s="20" t="s">
        <v>698</v>
      </c>
      <c r="CK230" s="20" t="s">
        <v>712</v>
      </c>
      <c r="CL230" s="20" t="s">
        <v>713</v>
      </c>
      <c r="CM230" s="20" t="s">
        <v>758</v>
      </c>
      <c r="CP230" s="20" t="s">
        <v>698</v>
      </c>
      <c r="DM230" s="20" t="s">
        <v>743</v>
      </c>
      <c r="DN230" s="20" t="s">
        <v>822</v>
      </c>
      <c r="FK230" s="20">
        <v>2017</v>
      </c>
      <c r="FM230" s="20" t="s">
        <v>719</v>
      </c>
      <c r="FO230" s="20" t="s">
        <v>720</v>
      </c>
      <c r="FR230" s="20" t="s">
        <v>823</v>
      </c>
      <c r="FY230" s="20" t="s">
        <v>698</v>
      </c>
      <c r="GC230" s="20" t="s">
        <v>698</v>
      </c>
      <c r="GD230" s="20" t="s">
        <v>698</v>
      </c>
      <c r="GE230" s="20" t="s">
        <v>698</v>
      </c>
      <c r="GK230" s="20" t="s">
        <v>698</v>
      </c>
      <c r="GT230" s="20" t="s">
        <v>696</v>
      </c>
      <c r="GU230" s="20" t="s">
        <v>696</v>
      </c>
      <c r="GX230" s="20" t="s">
        <v>696</v>
      </c>
      <c r="GY230" s="20" t="s">
        <v>696</v>
      </c>
      <c r="HD230" s="20" t="s">
        <v>696</v>
      </c>
      <c r="HE230" s="20" t="s">
        <v>696</v>
      </c>
      <c r="HF230" s="20">
        <v>0</v>
      </c>
      <c r="HG230" s="20">
        <v>20</v>
      </c>
      <c r="HH230" s="20">
        <v>1100</v>
      </c>
      <c r="HI230" s="20">
        <v>5500</v>
      </c>
      <c r="HJ230" s="20">
        <v>0</v>
      </c>
      <c r="HK230" s="20">
        <v>0</v>
      </c>
      <c r="HM230" s="20">
        <v>6620</v>
      </c>
      <c r="HR230" s="20">
        <v>100</v>
      </c>
      <c r="HS230" s="20">
        <v>285</v>
      </c>
      <c r="HY230" s="20" t="s">
        <v>723</v>
      </c>
      <c r="HZ230" s="20" t="s">
        <v>698</v>
      </c>
      <c r="IS230" s="20" t="s">
        <v>724</v>
      </c>
      <c r="IT230" s="20" t="s">
        <v>696</v>
      </c>
      <c r="IU230" s="20" t="s">
        <v>696</v>
      </c>
      <c r="IV230" s="20" t="s">
        <v>696</v>
      </c>
      <c r="IW230" s="20" t="s">
        <v>698</v>
      </c>
      <c r="IX230" s="20" t="s">
        <v>698</v>
      </c>
      <c r="IY230" s="20" t="s">
        <v>696</v>
      </c>
      <c r="IZ230" s="20" t="s">
        <v>696</v>
      </c>
      <c r="JA230" s="20" t="s">
        <v>696</v>
      </c>
      <c r="JB230" s="20" t="s">
        <v>698</v>
      </c>
      <c r="JC230" s="20" t="s">
        <v>698</v>
      </c>
      <c r="JD230" s="20" t="s">
        <v>725</v>
      </c>
      <c r="JE230" s="20" t="s">
        <v>2285</v>
      </c>
      <c r="JR230" s="20" t="s">
        <v>698</v>
      </c>
      <c r="JS230" s="20" t="s">
        <v>698</v>
      </c>
      <c r="JX230" s="20" t="s">
        <v>789</v>
      </c>
      <c r="JY230" s="20" t="s">
        <v>953</v>
      </c>
      <c r="QB230" s="20" t="s">
        <v>953</v>
      </c>
      <c r="QQ230" s="20" t="s">
        <v>1847</v>
      </c>
      <c r="QV230" s="20" t="s">
        <v>696</v>
      </c>
      <c r="XL230" s="20" t="s">
        <v>730</v>
      </c>
      <c r="XM230" s="20" t="s">
        <v>2269</v>
      </c>
      <c r="XN230" s="20" t="s">
        <v>732</v>
      </c>
      <c r="XO230" s="20" t="s">
        <v>1715</v>
      </c>
      <c r="XP230" s="20" t="s">
        <v>2216</v>
      </c>
      <c r="XQ230" s="24">
        <v>43942</v>
      </c>
      <c r="XU230" s="20" t="s">
        <v>730</v>
      </c>
      <c r="XV230" s="20" t="s">
        <v>1625</v>
      </c>
      <c r="XW230" s="20" t="s">
        <v>2269</v>
      </c>
      <c r="XX230" s="20" t="s">
        <v>732</v>
      </c>
      <c r="XY230" s="20" t="s">
        <v>2286</v>
      </c>
    </row>
    <row r="231" spans="1:649" ht="13">
      <c r="A231" s="20">
        <v>1592</v>
      </c>
      <c r="B231" s="21">
        <v>43944</v>
      </c>
      <c r="C231" s="20">
        <v>2020</v>
      </c>
      <c r="D231" s="20">
        <v>20200117</v>
      </c>
      <c r="E231" s="20">
        <v>33769</v>
      </c>
      <c r="F231" s="20" t="s">
        <v>825</v>
      </c>
      <c r="G231" s="20">
        <v>18718</v>
      </c>
      <c r="H231" s="20" t="s">
        <v>918</v>
      </c>
      <c r="I231" s="20" t="s">
        <v>692</v>
      </c>
      <c r="J231" s="20" t="s">
        <v>693</v>
      </c>
      <c r="K231" s="20" t="s">
        <v>694</v>
      </c>
      <c r="L231" s="20">
        <v>77002</v>
      </c>
      <c r="M231" s="22">
        <v>43915.614583333336</v>
      </c>
      <c r="P231" s="20">
        <v>35.404167000000001</v>
      </c>
      <c r="Q231" s="20">
        <v>-100.936944</v>
      </c>
      <c r="R231" s="20" t="s">
        <v>697</v>
      </c>
      <c r="W231" s="20">
        <v>10</v>
      </c>
      <c r="Y231" s="20">
        <v>10</v>
      </c>
      <c r="Z231" s="20" t="s">
        <v>698</v>
      </c>
      <c r="AF231" s="20">
        <v>0</v>
      </c>
      <c r="AG231" s="20" t="s">
        <v>698</v>
      </c>
      <c r="AM231" s="20">
        <v>0</v>
      </c>
      <c r="AN231" s="20" t="s">
        <v>775</v>
      </c>
      <c r="AQ231" s="23">
        <v>43915.6</v>
      </c>
      <c r="AR231" s="20" t="s">
        <v>776</v>
      </c>
      <c r="AS231" s="20" t="s">
        <v>702</v>
      </c>
      <c r="AU231" s="20" t="s">
        <v>696</v>
      </c>
      <c r="AW231" s="23">
        <v>43915.614583333336</v>
      </c>
      <c r="AX231" s="23">
        <v>43916.419444444444</v>
      </c>
      <c r="BC231" s="23">
        <v>43915.614583333336</v>
      </c>
      <c r="BF231" s="20" t="s">
        <v>754</v>
      </c>
      <c r="BH231" s="20" t="s">
        <v>698</v>
      </c>
      <c r="BM231" s="20" t="s">
        <v>698</v>
      </c>
      <c r="BQ231" s="20" t="s">
        <v>798</v>
      </c>
      <c r="BU231" s="20" t="s">
        <v>798</v>
      </c>
      <c r="CA231" s="20">
        <v>0</v>
      </c>
      <c r="CB231" s="20" t="s">
        <v>2287</v>
      </c>
      <c r="CC231" s="20">
        <v>23002.09</v>
      </c>
      <c r="CD231" s="20" t="s">
        <v>694</v>
      </c>
      <c r="CE231" s="20">
        <v>79065</v>
      </c>
      <c r="CF231" s="20" t="s">
        <v>1186</v>
      </c>
      <c r="CG231" s="20" t="s">
        <v>2288</v>
      </c>
      <c r="CH231" s="20" t="s">
        <v>1931</v>
      </c>
      <c r="CI231" s="20" t="s">
        <v>2289</v>
      </c>
      <c r="CJ231" s="20" t="s">
        <v>698</v>
      </c>
      <c r="CK231" s="20" t="s">
        <v>785</v>
      </c>
      <c r="CL231" s="20" t="s">
        <v>741</v>
      </c>
      <c r="CM231" s="20" t="s">
        <v>742</v>
      </c>
      <c r="CO231" s="20">
        <v>16</v>
      </c>
      <c r="CP231" s="20" t="s">
        <v>698</v>
      </c>
      <c r="DM231" s="20" t="s">
        <v>715</v>
      </c>
      <c r="DN231" s="20" t="s">
        <v>744</v>
      </c>
      <c r="DO231" s="20" t="s">
        <v>745</v>
      </c>
      <c r="DQ231" s="20">
        <v>8</v>
      </c>
      <c r="DR231" s="20">
        <v>0.32200000000000001</v>
      </c>
      <c r="DS231" s="20">
        <v>30000</v>
      </c>
      <c r="DT231" s="20" t="s">
        <v>728</v>
      </c>
      <c r="DU231" s="20" t="s">
        <v>926</v>
      </c>
      <c r="DW231" s="20" t="s">
        <v>728</v>
      </c>
      <c r="DX231" s="20" t="s">
        <v>1542</v>
      </c>
      <c r="FK231" s="20">
        <v>1942</v>
      </c>
      <c r="FL231" s="20" t="s">
        <v>728</v>
      </c>
      <c r="FM231" s="20" t="s">
        <v>719</v>
      </c>
      <c r="FO231" s="20" t="s">
        <v>720</v>
      </c>
      <c r="FR231" s="20" t="s">
        <v>749</v>
      </c>
      <c r="FY231" s="20" t="s">
        <v>698</v>
      </c>
      <c r="GC231" s="20" t="s">
        <v>696</v>
      </c>
      <c r="GD231" s="20" t="s">
        <v>698</v>
      </c>
      <c r="GE231" s="20" t="s">
        <v>696</v>
      </c>
      <c r="GH231" s="20" t="s">
        <v>696</v>
      </c>
      <c r="GK231" s="20" t="s">
        <v>698</v>
      </c>
      <c r="GT231" s="20" t="s">
        <v>698</v>
      </c>
      <c r="GU231" s="20" t="s">
        <v>698</v>
      </c>
      <c r="HF231" s="20">
        <v>0</v>
      </c>
      <c r="HG231" s="20">
        <v>300</v>
      </c>
      <c r="HH231" s="20">
        <v>20000</v>
      </c>
      <c r="HI231" s="20">
        <v>8000</v>
      </c>
      <c r="HJ231" s="20">
        <v>12000</v>
      </c>
      <c r="HK231" s="20">
        <v>0</v>
      </c>
      <c r="HM231" s="20">
        <v>40300</v>
      </c>
      <c r="HR231" s="20">
        <v>234</v>
      </c>
      <c r="HS231" s="20">
        <v>580</v>
      </c>
      <c r="HY231" s="20" t="s">
        <v>723</v>
      </c>
      <c r="HZ231" s="20" t="s">
        <v>698</v>
      </c>
      <c r="IC231" s="20">
        <v>54675</v>
      </c>
      <c r="ID231" s="20" t="s">
        <v>696</v>
      </c>
      <c r="IL231" s="20" t="s">
        <v>698</v>
      </c>
      <c r="IS231" s="20" t="s">
        <v>724</v>
      </c>
      <c r="IT231" s="20" t="s">
        <v>696</v>
      </c>
      <c r="IU231" s="20" t="s">
        <v>696</v>
      </c>
      <c r="IV231" s="20" t="s">
        <v>696</v>
      </c>
      <c r="IW231" s="20" t="s">
        <v>698</v>
      </c>
      <c r="IX231" s="20" t="s">
        <v>698</v>
      </c>
      <c r="IY231" s="20" t="s">
        <v>696</v>
      </c>
      <c r="IZ231" s="20" t="s">
        <v>696</v>
      </c>
      <c r="JA231" s="20" t="s">
        <v>696</v>
      </c>
      <c r="JB231" s="20" t="s">
        <v>698</v>
      </c>
      <c r="JC231" s="20" t="s">
        <v>698</v>
      </c>
      <c r="JD231" s="20" t="s">
        <v>725</v>
      </c>
      <c r="JE231" s="20" t="s">
        <v>726</v>
      </c>
      <c r="JR231" s="20" t="s">
        <v>698</v>
      </c>
      <c r="JS231" s="20" t="s">
        <v>698</v>
      </c>
      <c r="JX231" s="20" t="s">
        <v>833</v>
      </c>
      <c r="JY231" s="20" t="s">
        <v>860</v>
      </c>
      <c r="JZ231" s="20" t="s">
        <v>860</v>
      </c>
      <c r="KA231" s="20" t="s">
        <v>835</v>
      </c>
      <c r="KC231" s="20" t="s">
        <v>696</v>
      </c>
      <c r="KL231" s="20" t="s">
        <v>696</v>
      </c>
      <c r="KP231" s="20" t="s">
        <v>696</v>
      </c>
      <c r="KQ231" s="20" t="s">
        <v>696</v>
      </c>
      <c r="KR231" s="20">
        <v>1968</v>
      </c>
      <c r="KS231" s="20" t="s">
        <v>698</v>
      </c>
      <c r="KT231" s="20" t="s">
        <v>696</v>
      </c>
      <c r="KU231" s="20" t="s">
        <v>696</v>
      </c>
      <c r="KV231" s="20" t="s">
        <v>696</v>
      </c>
      <c r="KX231" s="20">
        <v>2019</v>
      </c>
      <c r="KY231" s="20">
        <v>2020</v>
      </c>
      <c r="LC231" s="20" t="s">
        <v>698</v>
      </c>
      <c r="SC231" s="20" t="s">
        <v>696</v>
      </c>
      <c r="SD231" s="20" t="s">
        <v>696</v>
      </c>
      <c r="SK231" s="20">
        <v>2016</v>
      </c>
      <c r="TQ231" s="20">
        <v>2016</v>
      </c>
      <c r="UO231" s="20" t="s">
        <v>696</v>
      </c>
      <c r="UP231" s="20">
        <v>2017</v>
      </c>
      <c r="UQ231" s="20">
        <v>580</v>
      </c>
      <c r="UR231" s="20" t="s">
        <v>698</v>
      </c>
      <c r="UZ231" s="20" t="s">
        <v>698</v>
      </c>
      <c r="XL231" s="20" t="s">
        <v>2290</v>
      </c>
      <c r="XM231" s="20" t="s">
        <v>2291</v>
      </c>
      <c r="XN231" s="20" t="s">
        <v>1714</v>
      </c>
      <c r="XO231" s="20" t="s">
        <v>1715</v>
      </c>
      <c r="XQ231" s="24">
        <v>43969</v>
      </c>
      <c r="XU231" s="20" t="s">
        <v>1624</v>
      </c>
      <c r="XV231" s="20" t="s">
        <v>1625</v>
      </c>
      <c r="XW231" s="20" t="s">
        <v>2292</v>
      </c>
      <c r="XX231" s="20" t="s">
        <v>1627</v>
      </c>
      <c r="XY231" s="20" t="s">
        <v>2293</v>
      </c>
    </row>
    <row r="232" spans="1:649" ht="13">
      <c r="A232" s="20">
        <v>1594</v>
      </c>
      <c r="B232" s="21">
        <v>43942</v>
      </c>
      <c r="C232" s="20">
        <v>2020</v>
      </c>
      <c r="D232" s="20">
        <v>20200114</v>
      </c>
      <c r="E232" s="20">
        <v>33623</v>
      </c>
      <c r="F232" s="20" t="s">
        <v>885</v>
      </c>
      <c r="G232" s="20">
        <v>32099</v>
      </c>
      <c r="H232" s="20" t="s">
        <v>752</v>
      </c>
      <c r="I232" s="20" t="s">
        <v>692</v>
      </c>
      <c r="J232" s="20" t="s">
        <v>693</v>
      </c>
      <c r="K232" s="20" t="s">
        <v>694</v>
      </c>
      <c r="L232" s="20">
        <v>77002</v>
      </c>
      <c r="M232" s="22">
        <v>43912.583333333336</v>
      </c>
      <c r="P232" s="20">
        <v>31.944617999999998</v>
      </c>
      <c r="Q232" s="20">
        <v>-101.922482</v>
      </c>
      <c r="R232" s="20" t="s">
        <v>697</v>
      </c>
      <c r="W232" s="20">
        <v>13</v>
      </c>
      <c r="Y232" s="20">
        <v>13</v>
      </c>
      <c r="Z232" s="20" t="s">
        <v>698</v>
      </c>
      <c r="AF232" s="20">
        <v>0</v>
      </c>
      <c r="AG232" s="20" t="s">
        <v>698</v>
      </c>
      <c r="AM232" s="20">
        <v>0</v>
      </c>
      <c r="AN232" s="20" t="s">
        <v>699</v>
      </c>
      <c r="AP232" s="20" t="s">
        <v>1013</v>
      </c>
      <c r="AQ232" s="23">
        <v>43912.520833333336</v>
      </c>
      <c r="AR232" s="20" t="s">
        <v>736</v>
      </c>
      <c r="AS232" s="20" t="s">
        <v>702</v>
      </c>
      <c r="AU232" s="20" t="s">
        <v>698</v>
      </c>
      <c r="AV232" s="20" t="s">
        <v>2294</v>
      </c>
      <c r="BC232" s="23">
        <v>43912.5625</v>
      </c>
      <c r="BF232" s="20" t="s">
        <v>754</v>
      </c>
      <c r="BH232" s="20" t="s">
        <v>698</v>
      </c>
      <c r="BM232" s="20" t="s">
        <v>698</v>
      </c>
      <c r="CA232" s="20">
        <v>0</v>
      </c>
      <c r="CB232" s="20" t="s">
        <v>2295</v>
      </c>
      <c r="CC232" s="20" t="s">
        <v>2295</v>
      </c>
      <c r="CD232" s="20" t="s">
        <v>694</v>
      </c>
      <c r="CE232" s="20">
        <v>79706</v>
      </c>
      <c r="CF232" s="20" t="s">
        <v>708</v>
      </c>
      <c r="CG232" s="20" t="s">
        <v>757</v>
      </c>
      <c r="CH232" s="20" t="s">
        <v>1931</v>
      </c>
      <c r="CI232" s="20" t="s">
        <v>2296</v>
      </c>
      <c r="CJ232" s="20" t="s">
        <v>698</v>
      </c>
      <c r="CK232" s="20" t="s">
        <v>712</v>
      </c>
      <c r="CL232" s="20" t="s">
        <v>741</v>
      </c>
      <c r="CM232" s="20" t="s">
        <v>742</v>
      </c>
      <c r="CO232" s="20">
        <v>54</v>
      </c>
      <c r="CP232" s="20" t="s">
        <v>698</v>
      </c>
      <c r="DM232" s="20" t="s">
        <v>715</v>
      </c>
      <c r="DN232" s="20" t="s">
        <v>1951</v>
      </c>
      <c r="FK232" s="20">
        <v>2013</v>
      </c>
      <c r="FM232" s="20" t="s">
        <v>719</v>
      </c>
      <c r="FO232" s="20" t="s">
        <v>720</v>
      </c>
      <c r="FR232" s="20" t="s">
        <v>749</v>
      </c>
      <c r="FY232" s="20" t="s">
        <v>698</v>
      </c>
      <c r="GC232" s="20" t="s">
        <v>696</v>
      </c>
      <c r="GD232" s="20" t="s">
        <v>698</v>
      </c>
      <c r="GE232" s="20" t="s">
        <v>696</v>
      </c>
      <c r="GH232" s="20" t="s">
        <v>696</v>
      </c>
      <c r="GK232" s="20" t="s">
        <v>698</v>
      </c>
      <c r="GT232" s="20" t="s">
        <v>698</v>
      </c>
      <c r="GU232" s="20" t="s">
        <v>698</v>
      </c>
      <c r="HF232" s="20">
        <v>0</v>
      </c>
      <c r="HG232" s="20">
        <v>312</v>
      </c>
      <c r="HH232" s="20">
        <v>0</v>
      </c>
      <c r="HI232" s="20">
        <v>6500</v>
      </c>
      <c r="HJ232" s="20">
        <v>25000</v>
      </c>
      <c r="HK232" s="20">
        <v>0</v>
      </c>
      <c r="HM232" s="20">
        <v>31812</v>
      </c>
      <c r="HR232" s="20">
        <v>165</v>
      </c>
      <c r="HS232" s="20">
        <v>720</v>
      </c>
      <c r="HY232" s="20" t="s">
        <v>723</v>
      </c>
      <c r="HZ232" s="20" t="s">
        <v>698</v>
      </c>
      <c r="IS232" s="20" t="s">
        <v>724</v>
      </c>
      <c r="IT232" s="20" t="s">
        <v>696</v>
      </c>
      <c r="IU232" s="20" t="s">
        <v>696</v>
      </c>
      <c r="IV232" s="20" t="s">
        <v>696</v>
      </c>
      <c r="IW232" s="20" t="s">
        <v>698</v>
      </c>
      <c r="IX232" s="20" t="s">
        <v>698</v>
      </c>
      <c r="IY232" s="20" t="s">
        <v>698</v>
      </c>
      <c r="JD232" s="20" t="s">
        <v>725</v>
      </c>
      <c r="JE232" s="20" t="s">
        <v>726</v>
      </c>
      <c r="JR232" s="20" t="s">
        <v>698</v>
      </c>
      <c r="JS232" s="20" t="s">
        <v>698</v>
      </c>
      <c r="JX232" s="20" t="s">
        <v>833</v>
      </c>
      <c r="JY232" s="20" t="s">
        <v>834</v>
      </c>
      <c r="JZ232" s="20" t="s">
        <v>834</v>
      </c>
      <c r="LD232" s="20" t="s">
        <v>835</v>
      </c>
      <c r="LG232" s="20" t="s">
        <v>696</v>
      </c>
      <c r="LH232" s="20" t="s">
        <v>696</v>
      </c>
      <c r="LL232" s="20" t="s">
        <v>696</v>
      </c>
      <c r="LP232" s="20" t="s">
        <v>696</v>
      </c>
      <c r="LU232" s="20" t="s">
        <v>696</v>
      </c>
      <c r="LV232" s="20" t="s">
        <v>698</v>
      </c>
      <c r="LW232" s="20" t="s">
        <v>838</v>
      </c>
      <c r="LX232" s="20" t="s">
        <v>838</v>
      </c>
      <c r="XL232" s="20" t="s">
        <v>1712</v>
      </c>
      <c r="XM232" s="20" t="s">
        <v>1713</v>
      </c>
      <c r="XN232" s="20" t="s">
        <v>1714</v>
      </c>
      <c r="XO232" s="20" t="s">
        <v>1715</v>
      </c>
      <c r="XQ232" s="24">
        <v>43942</v>
      </c>
      <c r="XU232" s="20" t="s">
        <v>730</v>
      </c>
      <c r="XV232" s="20" t="s">
        <v>1625</v>
      </c>
      <c r="XW232" s="20" t="s">
        <v>2269</v>
      </c>
      <c r="XX232" s="20" t="s">
        <v>732</v>
      </c>
      <c r="XY232" s="20" t="s">
        <v>2297</v>
      </c>
    </row>
    <row r="233" spans="1:649" ht="13">
      <c r="A233" s="20">
        <v>1603</v>
      </c>
      <c r="B233" s="21">
        <v>43921</v>
      </c>
      <c r="C233" s="20">
        <v>2020</v>
      </c>
      <c r="D233" s="20">
        <v>20200102</v>
      </c>
      <c r="E233" s="20">
        <v>33543</v>
      </c>
      <c r="F233" s="20" t="s">
        <v>885</v>
      </c>
      <c r="G233" s="20">
        <v>31476</v>
      </c>
      <c r="H233" s="20" t="s">
        <v>1859</v>
      </c>
      <c r="I233" s="20" t="s">
        <v>692</v>
      </c>
      <c r="J233" s="20" t="s">
        <v>693</v>
      </c>
      <c r="K233" s="20" t="s">
        <v>694</v>
      </c>
      <c r="L233" s="20">
        <v>77002</v>
      </c>
      <c r="M233" s="22">
        <v>43896.520833333336</v>
      </c>
      <c r="P233" s="20">
        <v>38.310200000000002</v>
      </c>
      <c r="Q233" s="20">
        <v>-99.806020000000004</v>
      </c>
      <c r="R233" s="20" t="s">
        <v>697</v>
      </c>
      <c r="W233" s="20">
        <v>4</v>
      </c>
      <c r="Y233" s="20">
        <v>4</v>
      </c>
      <c r="Z233" s="20" t="s">
        <v>698</v>
      </c>
      <c r="AF233" s="20">
        <v>0</v>
      </c>
      <c r="AG233" s="20" t="s">
        <v>698</v>
      </c>
      <c r="AM233" s="20">
        <v>0</v>
      </c>
      <c r="AN233" s="20" t="s">
        <v>887</v>
      </c>
      <c r="AP233" s="20" t="s">
        <v>700</v>
      </c>
      <c r="AQ233" s="23">
        <v>43896.554861111108</v>
      </c>
      <c r="AR233" s="20" t="s">
        <v>701</v>
      </c>
      <c r="AS233" s="20" t="s">
        <v>702</v>
      </c>
      <c r="AU233" s="20" t="s">
        <v>696</v>
      </c>
      <c r="AW233" s="23">
        <v>43896.520833333336</v>
      </c>
      <c r="AX233" s="23">
        <v>43898.46875</v>
      </c>
      <c r="BC233" s="23">
        <v>43896.597222222219</v>
      </c>
      <c r="BF233" s="20" t="s">
        <v>754</v>
      </c>
      <c r="BH233" s="20" t="s">
        <v>698</v>
      </c>
      <c r="BM233" s="20" t="s">
        <v>698</v>
      </c>
      <c r="CA233" s="20">
        <v>0</v>
      </c>
      <c r="CB233" s="20" t="s">
        <v>2298</v>
      </c>
      <c r="CC233" s="20" t="s">
        <v>2299</v>
      </c>
      <c r="CD233" s="20" t="s">
        <v>1513</v>
      </c>
      <c r="CE233" s="20">
        <v>67560</v>
      </c>
      <c r="CF233" s="20" t="s">
        <v>2300</v>
      </c>
      <c r="CG233" s="20" t="s">
        <v>2301</v>
      </c>
      <c r="CH233" s="20" t="s">
        <v>710</v>
      </c>
      <c r="CI233" s="20" t="s">
        <v>711</v>
      </c>
      <c r="CJ233" s="20" t="s">
        <v>698</v>
      </c>
      <c r="CK233" s="20" t="s">
        <v>712</v>
      </c>
      <c r="CL233" s="20" t="s">
        <v>713</v>
      </c>
      <c r="CM233" s="20" t="s">
        <v>758</v>
      </c>
      <c r="CP233" s="20" t="s">
        <v>698</v>
      </c>
      <c r="DM233" s="20" t="s">
        <v>743</v>
      </c>
      <c r="DN233" s="20" t="s">
        <v>716</v>
      </c>
      <c r="FK233" s="20">
        <v>1995</v>
      </c>
      <c r="FM233" s="20" t="s">
        <v>719</v>
      </c>
      <c r="FO233" s="20" t="s">
        <v>720</v>
      </c>
      <c r="FR233" s="20" t="s">
        <v>768</v>
      </c>
      <c r="FY233" s="20" t="s">
        <v>698</v>
      </c>
      <c r="GC233" s="20" t="s">
        <v>696</v>
      </c>
      <c r="GD233" s="20" t="s">
        <v>698</v>
      </c>
      <c r="GE233" s="20" t="s">
        <v>696</v>
      </c>
      <c r="GH233" s="20" t="s">
        <v>696</v>
      </c>
      <c r="GK233" s="20" t="s">
        <v>698</v>
      </c>
      <c r="GT233" s="20" t="s">
        <v>698</v>
      </c>
      <c r="GU233" s="20" t="s">
        <v>698</v>
      </c>
      <c r="HF233" s="20">
        <v>0</v>
      </c>
      <c r="HG233" s="20">
        <v>152</v>
      </c>
      <c r="HH233" s="20">
        <v>2500</v>
      </c>
      <c r="HI233" s="20">
        <v>270</v>
      </c>
      <c r="HJ233" s="20">
        <v>15000</v>
      </c>
      <c r="HK233" s="20">
        <v>0</v>
      </c>
      <c r="HM233" s="20">
        <v>17922</v>
      </c>
      <c r="HR233" s="20">
        <v>220</v>
      </c>
      <c r="HS233" s="20">
        <v>398</v>
      </c>
      <c r="HY233" s="20" t="s">
        <v>723</v>
      </c>
      <c r="HZ233" s="20" t="s">
        <v>698</v>
      </c>
      <c r="IS233" s="20" t="s">
        <v>724</v>
      </c>
      <c r="IT233" s="20" t="s">
        <v>696</v>
      </c>
      <c r="IU233" s="20" t="s">
        <v>696</v>
      </c>
      <c r="IV233" s="20" t="s">
        <v>696</v>
      </c>
      <c r="IW233" s="20" t="s">
        <v>696</v>
      </c>
      <c r="IX233" s="20" t="s">
        <v>696</v>
      </c>
      <c r="IY233" s="20" t="s">
        <v>696</v>
      </c>
      <c r="IZ233" s="20" t="s">
        <v>696</v>
      </c>
      <c r="JA233" s="20" t="s">
        <v>696</v>
      </c>
      <c r="JB233" s="20" t="s">
        <v>698</v>
      </c>
      <c r="JC233" s="20" t="s">
        <v>698</v>
      </c>
      <c r="JD233" s="20" t="s">
        <v>725</v>
      </c>
      <c r="JE233" s="20" t="s">
        <v>726</v>
      </c>
      <c r="JR233" s="20" t="s">
        <v>698</v>
      </c>
      <c r="JS233" s="20" t="s">
        <v>698</v>
      </c>
      <c r="JX233" s="20" t="s">
        <v>789</v>
      </c>
      <c r="JY233" s="20" t="s">
        <v>1251</v>
      </c>
      <c r="QB233" s="20" t="s">
        <v>1251</v>
      </c>
      <c r="QO233" s="20" t="s">
        <v>2302</v>
      </c>
      <c r="RH233" s="20" t="s">
        <v>696</v>
      </c>
      <c r="XL233" s="20" t="s">
        <v>730</v>
      </c>
      <c r="XM233" s="20" t="s">
        <v>2269</v>
      </c>
      <c r="XN233" s="20" t="s">
        <v>732</v>
      </c>
      <c r="XO233" s="20" t="s">
        <v>733</v>
      </c>
      <c r="XP233" s="20" t="s">
        <v>2216</v>
      </c>
      <c r="XQ233" s="24">
        <v>43921</v>
      </c>
      <c r="XU233" s="20" t="s">
        <v>730</v>
      </c>
      <c r="XV233" s="20" t="s">
        <v>733</v>
      </c>
      <c r="XW233" s="20" t="s">
        <v>2269</v>
      </c>
      <c r="XX233" s="20" t="s">
        <v>732</v>
      </c>
      <c r="XY233" s="20" t="s">
        <v>2303</v>
      </c>
    </row>
    <row r="234" spans="1:649" ht="13">
      <c r="A234" s="20">
        <v>1614</v>
      </c>
      <c r="B234" s="21">
        <v>43916</v>
      </c>
      <c r="C234" s="20">
        <v>2020</v>
      </c>
      <c r="D234" s="20">
        <v>20200093</v>
      </c>
      <c r="E234" s="20">
        <v>33519</v>
      </c>
      <c r="F234" s="20" t="s">
        <v>825</v>
      </c>
      <c r="G234" s="20">
        <v>31476</v>
      </c>
      <c r="H234" s="20" t="s">
        <v>1859</v>
      </c>
      <c r="I234" s="20" t="s">
        <v>692</v>
      </c>
      <c r="J234" s="20" t="s">
        <v>693</v>
      </c>
      <c r="K234" s="20" t="s">
        <v>694</v>
      </c>
      <c r="L234" s="20">
        <v>77002</v>
      </c>
      <c r="M234" s="22">
        <v>43887.527083333334</v>
      </c>
      <c r="P234" s="20">
        <v>36.020051000000002</v>
      </c>
      <c r="Q234" s="20">
        <v>-96.753782999999999</v>
      </c>
      <c r="R234" s="20" t="s">
        <v>697</v>
      </c>
      <c r="W234" s="20">
        <v>3.5</v>
      </c>
      <c r="Y234" s="20">
        <v>3.5</v>
      </c>
      <c r="Z234" s="20" t="s">
        <v>698</v>
      </c>
      <c r="AF234" s="20">
        <v>0</v>
      </c>
      <c r="AG234" s="20" t="s">
        <v>698</v>
      </c>
      <c r="AM234" s="20">
        <v>0</v>
      </c>
      <c r="AN234" s="20" t="s">
        <v>699</v>
      </c>
      <c r="AP234" s="20" t="s">
        <v>1013</v>
      </c>
      <c r="AQ234" s="23">
        <v>43887.527083333334</v>
      </c>
      <c r="AR234" s="20" t="s">
        <v>736</v>
      </c>
      <c r="AS234" s="20" t="s">
        <v>702</v>
      </c>
      <c r="AU234" s="20" t="s">
        <v>696</v>
      </c>
      <c r="AW234" s="23">
        <v>43887.529166666667</v>
      </c>
      <c r="AX234" s="23">
        <v>43887.685416666667</v>
      </c>
      <c r="BC234" s="23">
        <v>43887.527083333334</v>
      </c>
      <c r="BF234" s="20" t="s">
        <v>754</v>
      </c>
      <c r="BH234" s="20" t="s">
        <v>698</v>
      </c>
      <c r="BM234" s="20" t="s">
        <v>698</v>
      </c>
      <c r="CA234" s="20">
        <v>0</v>
      </c>
      <c r="CB234" s="20" t="s">
        <v>2304</v>
      </c>
      <c r="CC234" s="20" t="s">
        <v>2305</v>
      </c>
      <c r="CD234" s="20" t="s">
        <v>739</v>
      </c>
      <c r="CE234" s="20">
        <v>74023</v>
      </c>
      <c r="CF234" s="20" t="s">
        <v>1675</v>
      </c>
      <c r="CG234" s="20" t="s">
        <v>740</v>
      </c>
      <c r="CH234" s="20" t="s">
        <v>710</v>
      </c>
      <c r="CI234" s="20" t="s">
        <v>711</v>
      </c>
      <c r="CJ234" s="20" t="s">
        <v>698</v>
      </c>
      <c r="CK234" s="20" t="s">
        <v>712</v>
      </c>
      <c r="CL234" s="20" t="s">
        <v>713</v>
      </c>
      <c r="CM234" s="20" t="s">
        <v>758</v>
      </c>
      <c r="CP234" s="20" t="s">
        <v>698</v>
      </c>
      <c r="DM234" s="20" t="s">
        <v>743</v>
      </c>
      <c r="DN234" s="20" t="s">
        <v>766</v>
      </c>
      <c r="FJ234" s="20" t="s">
        <v>2306</v>
      </c>
      <c r="FK234" s="20">
        <v>2018</v>
      </c>
      <c r="FM234" s="20" t="s">
        <v>719</v>
      </c>
      <c r="FO234" s="20" t="s">
        <v>720</v>
      </c>
      <c r="FR234" s="20" t="s">
        <v>823</v>
      </c>
      <c r="FY234" s="20" t="s">
        <v>698</v>
      </c>
      <c r="GC234" s="20" t="s">
        <v>698</v>
      </c>
      <c r="GD234" s="20" t="s">
        <v>698</v>
      </c>
      <c r="GE234" s="20" t="s">
        <v>698</v>
      </c>
      <c r="GK234" s="20" t="s">
        <v>698</v>
      </c>
      <c r="GT234" s="20" t="s">
        <v>698</v>
      </c>
      <c r="GU234" s="20" t="s">
        <v>698</v>
      </c>
      <c r="HF234" s="20">
        <v>0</v>
      </c>
      <c r="HG234" s="20">
        <v>196</v>
      </c>
      <c r="HH234" s="20">
        <v>25</v>
      </c>
      <c r="HI234" s="20">
        <v>60</v>
      </c>
      <c r="HJ234" s="20">
        <v>0</v>
      </c>
      <c r="HK234" s="20">
        <v>0</v>
      </c>
      <c r="HM234" s="20">
        <v>281</v>
      </c>
      <c r="HR234" s="20">
        <v>35</v>
      </c>
      <c r="HS234" s="20">
        <v>285</v>
      </c>
      <c r="HY234" s="20" t="s">
        <v>723</v>
      </c>
      <c r="HZ234" s="20" t="s">
        <v>698</v>
      </c>
      <c r="IS234" s="20" t="s">
        <v>724</v>
      </c>
      <c r="IT234" s="20" t="s">
        <v>696</v>
      </c>
      <c r="IU234" s="20" t="s">
        <v>696</v>
      </c>
      <c r="IV234" s="20" t="s">
        <v>696</v>
      </c>
      <c r="IW234" s="20" t="s">
        <v>698</v>
      </c>
      <c r="IX234" s="20" t="s">
        <v>698</v>
      </c>
      <c r="IY234" s="20" t="s">
        <v>696</v>
      </c>
      <c r="IZ234" s="20" t="s">
        <v>696</v>
      </c>
      <c r="JA234" s="20" t="s">
        <v>696</v>
      </c>
      <c r="JB234" s="20" t="s">
        <v>698</v>
      </c>
      <c r="JC234" s="20" t="s">
        <v>698</v>
      </c>
      <c r="JD234" s="20" t="s">
        <v>725</v>
      </c>
      <c r="JE234" s="20" t="s">
        <v>726</v>
      </c>
      <c r="JR234" s="20" t="s">
        <v>698</v>
      </c>
      <c r="JS234" s="20" t="s">
        <v>698</v>
      </c>
      <c r="JX234" s="20" t="s">
        <v>1062</v>
      </c>
      <c r="JY234" s="20" t="s">
        <v>1063</v>
      </c>
      <c r="NY234" s="20" t="s">
        <v>1063</v>
      </c>
      <c r="NZ234" s="20" t="s">
        <v>1064</v>
      </c>
      <c r="XL234" s="20" t="s">
        <v>730</v>
      </c>
      <c r="XM234" s="20" t="s">
        <v>2269</v>
      </c>
      <c r="XN234" s="20" t="s">
        <v>732</v>
      </c>
      <c r="XO234" s="20" t="s">
        <v>733</v>
      </c>
      <c r="XP234" s="20" t="s">
        <v>2216</v>
      </c>
      <c r="XQ234" s="24">
        <v>43916</v>
      </c>
      <c r="XU234" s="20" t="s">
        <v>730</v>
      </c>
      <c r="XV234" s="20" t="s">
        <v>733</v>
      </c>
      <c r="XW234" s="20" t="s">
        <v>2269</v>
      </c>
      <c r="XX234" s="20" t="s">
        <v>732</v>
      </c>
      <c r="XY234" s="20" t="s">
        <v>2307</v>
      </c>
    </row>
    <row r="235" spans="1:649" ht="13">
      <c r="A235" s="20">
        <v>1630</v>
      </c>
      <c r="B235" s="21">
        <v>43908</v>
      </c>
      <c r="C235" s="20">
        <v>2020</v>
      </c>
      <c r="D235" s="20">
        <v>20200080</v>
      </c>
      <c r="E235" s="20">
        <v>33477</v>
      </c>
      <c r="F235" s="20" t="s">
        <v>885</v>
      </c>
      <c r="G235" s="20">
        <v>39596</v>
      </c>
      <c r="H235" s="20" t="s">
        <v>796</v>
      </c>
      <c r="I235" s="20" t="s">
        <v>692</v>
      </c>
      <c r="J235" s="20" t="s">
        <v>693</v>
      </c>
      <c r="K235" s="20" t="s">
        <v>694</v>
      </c>
      <c r="L235" s="20">
        <v>77002</v>
      </c>
      <c r="M235" s="22">
        <v>43878.320833333331</v>
      </c>
      <c r="P235" s="20">
        <v>30.476379999999999</v>
      </c>
      <c r="Q235" s="20">
        <v>-91.219740000000002</v>
      </c>
      <c r="R235" s="20" t="s">
        <v>697</v>
      </c>
      <c r="W235" s="20">
        <v>3.5</v>
      </c>
      <c r="Y235" s="20">
        <v>3.5</v>
      </c>
      <c r="Z235" s="20" t="s">
        <v>698</v>
      </c>
      <c r="AF235" s="20">
        <v>0</v>
      </c>
      <c r="AG235" s="20" t="s">
        <v>698</v>
      </c>
      <c r="AM235" s="20">
        <v>0</v>
      </c>
      <c r="AN235" s="20" t="s">
        <v>699</v>
      </c>
      <c r="AP235" s="20" t="s">
        <v>700</v>
      </c>
      <c r="AQ235" s="23">
        <v>43878.333333333336</v>
      </c>
      <c r="AR235" s="20" t="s">
        <v>736</v>
      </c>
      <c r="AS235" s="20" t="s">
        <v>702</v>
      </c>
      <c r="AU235" s="20" t="s">
        <v>698</v>
      </c>
      <c r="AV235" s="20" t="s">
        <v>2308</v>
      </c>
      <c r="BC235" s="23">
        <v>43878.333333333336</v>
      </c>
      <c r="BF235" s="20" t="s">
        <v>754</v>
      </c>
      <c r="BH235" s="20" t="s">
        <v>698</v>
      </c>
      <c r="BM235" s="20" t="s">
        <v>698</v>
      </c>
      <c r="CA235" s="20">
        <v>0</v>
      </c>
      <c r="CB235" s="20" t="s">
        <v>2309</v>
      </c>
      <c r="CC235" s="20" t="s">
        <v>2310</v>
      </c>
      <c r="CD235" s="20" t="s">
        <v>1009</v>
      </c>
      <c r="CE235" s="20">
        <v>70767</v>
      </c>
      <c r="CF235" s="20" t="s">
        <v>2311</v>
      </c>
      <c r="CG235" s="20" t="s">
        <v>2312</v>
      </c>
      <c r="CH235" s="20" t="s">
        <v>710</v>
      </c>
      <c r="CI235" s="20" t="s">
        <v>2313</v>
      </c>
      <c r="CJ235" s="20" t="s">
        <v>698</v>
      </c>
      <c r="CK235" s="20" t="s">
        <v>712</v>
      </c>
      <c r="CL235" s="20" t="s">
        <v>713</v>
      </c>
      <c r="CM235" s="20" t="s">
        <v>758</v>
      </c>
      <c r="CP235" s="20" t="s">
        <v>698</v>
      </c>
      <c r="DM235" s="20" t="s">
        <v>743</v>
      </c>
      <c r="DN235" s="20" t="s">
        <v>1278</v>
      </c>
      <c r="FK235" s="20">
        <v>2019</v>
      </c>
      <c r="FM235" s="20" t="s">
        <v>962</v>
      </c>
      <c r="FN235" s="20" t="s">
        <v>2314</v>
      </c>
      <c r="FO235" s="20" t="s">
        <v>720</v>
      </c>
      <c r="FR235" s="20" t="s">
        <v>721</v>
      </c>
      <c r="FY235" s="20" t="s">
        <v>698</v>
      </c>
      <c r="GC235" s="20" t="s">
        <v>696</v>
      </c>
      <c r="GD235" s="20" t="s">
        <v>698</v>
      </c>
      <c r="GE235" s="20" t="s">
        <v>696</v>
      </c>
      <c r="GH235" s="20" t="s">
        <v>696</v>
      </c>
      <c r="GK235" s="20" t="s">
        <v>698</v>
      </c>
      <c r="GT235" s="20" t="s">
        <v>696</v>
      </c>
      <c r="GU235" s="20" t="s">
        <v>696</v>
      </c>
      <c r="GX235" s="20" t="s">
        <v>696</v>
      </c>
      <c r="GY235" s="20" t="s">
        <v>696</v>
      </c>
      <c r="HF235" s="20">
        <v>2000</v>
      </c>
      <c r="HG235" s="20">
        <v>0</v>
      </c>
      <c r="HH235" s="20">
        <v>0</v>
      </c>
      <c r="HI235" s="20">
        <v>12400</v>
      </c>
      <c r="HJ235" s="20">
        <v>0</v>
      </c>
      <c r="HK235" s="20">
        <v>0</v>
      </c>
      <c r="HM235" s="20">
        <v>14400</v>
      </c>
      <c r="HR235" s="20">
        <v>100</v>
      </c>
      <c r="HS235" s="20">
        <v>1061</v>
      </c>
      <c r="HY235" s="20" t="s">
        <v>723</v>
      </c>
      <c r="HZ235" s="20" t="s">
        <v>696</v>
      </c>
      <c r="IA235" s="20" t="s">
        <v>698</v>
      </c>
      <c r="IB235" s="20" t="s">
        <v>2315</v>
      </c>
      <c r="IS235" s="20" t="s">
        <v>724</v>
      </c>
      <c r="IT235" s="20" t="s">
        <v>696</v>
      </c>
      <c r="IU235" s="20" t="s">
        <v>696</v>
      </c>
      <c r="IV235" s="20" t="s">
        <v>696</v>
      </c>
      <c r="IW235" s="20" t="s">
        <v>698</v>
      </c>
      <c r="IX235" s="20" t="s">
        <v>698</v>
      </c>
      <c r="IY235" s="20" t="s">
        <v>696</v>
      </c>
      <c r="IZ235" s="20" t="s">
        <v>696</v>
      </c>
      <c r="JA235" s="20" t="s">
        <v>696</v>
      </c>
      <c r="JB235" s="20" t="s">
        <v>698</v>
      </c>
      <c r="JC235" s="20" t="s">
        <v>698</v>
      </c>
      <c r="JD235" s="20" t="s">
        <v>725</v>
      </c>
      <c r="JE235" s="20" t="s">
        <v>726</v>
      </c>
      <c r="JR235" s="20" t="s">
        <v>698</v>
      </c>
      <c r="JS235" s="20" t="s">
        <v>698</v>
      </c>
      <c r="JX235" s="20" t="s">
        <v>789</v>
      </c>
      <c r="JY235" s="20" t="s">
        <v>914</v>
      </c>
      <c r="QB235" s="20" t="s">
        <v>914</v>
      </c>
      <c r="QS235" s="20" t="s">
        <v>1017</v>
      </c>
      <c r="RH235" s="20" t="s">
        <v>696</v>
      </c>
      <c r="XL235" s="20" t="s">
        <v>730</v>
      </c>
      <c r="XM235" s="20" t="s">
        <v>2269</v>
      </c>
      <c r="XN235" s="20" t="s">
        <v>732</v>
      </c>
      <c r="XO235" s="20" t="s">
        <v>733</v>
      </c>
      <c r="XP235" s="20" t="s">
        <v>2216</v>
      </c>
      <c r="XQ235" s="24">
        <v>43908</v>
      </c>
      <c r="XU235" s="20" t="s">
        <v>730</v>
      </c>
      <c r="XV235" s="20" t="s">
        <v>733</v>
      </c>
      <c r="XW235" s="20" t="s">
        <v>2269</v>
      </c>
      <c r="XX235" s="20" t="s">
        <v>732</v>
      </c>
      <c r="XY235" s="20" t="s">
        <v>2316</v>
      </c>
    </row>
    <row r="236" spans="1:649" ht="13">
      <c r="A236" s="20">
        <v>1639</v>
      </c>
      <c r="B236" s="21">
        <v>43894</v>
      </c>
      <c r="C236" s="20">
        <v>2020</v>
      </c>
      <c r="D236" s="20">
        <v>20200065</v>
      </c>
      <c r="E236" s="20">
        <v>33411</v>
      </c>
      <c r="F236" s="20" t="s">
        <v>885</v>
      </c>
      <c r="G236" s="20">
        <v>18718</v>
      </c>
      <c r="H236" s="20" t="s">
        <v>918</v>
      </c>
      <c r="I236" s="20" t="s">
        <v>692</v>
      </c>
      <c r="J236" s="20" t="s">
        <v>693</v>
      </c>
      <c r="K236" s="20" t="s">
        <v>694</v>
      </c>
      <c r="L236" s="20">
        <v>77002</v>
      </c>
      <c r="M236" s="22">
        <v>43868.364583333336</v>
      </c>
      <c r="P236" s="20">
        <v>36.114199999999997</v>
      </c>
      <c r="Q236" s="20">
        <v>-96.0047</v>
      </c>
      <c r="R236" s="20" t="s">
        <v>697</v>
      </c>
      <c r="W236" s="20">
        <v>5</v>
      </c>
      <c r="Y236" s="20">
        <v>5</v>
      </c>
      <c r="Z236" s="20" t="s">
        <v>698</v>
      </c>
      <c r="AF236" s="20">
        <v>0</v>
      </c>
      <c r="AG236" s="20" t="s">
        <v>698</v>
      </c>
      <c r="AM236" s="20">
        <v>0</v>
      </c>
      <c r="AN236" s="20" t="s">
        <v>699</v>
      </c>
      <c r="AP236" s="20" t="s">
        <v>700</v>
      </c>
      <c r="AQ236" s="23">
        <v>43868.364583333336</v>
      </c>
      <c r="AR236" s="20" t="s">
        <v>701</v>
      </c>
      <c r="AS236" s="20" t="s">
        <v>702</v>
      </c>
      <c r="AU236" s="20" t="s">
        <v>696</v>
      </c>
      <c r="AW236" s="23">
        <v>43868.368055555555</v>
      </c>
      <c r="AX236" s="23">
        <v>43868.5</v>
      </c>
      <c r="BC236" s="23">
        <v>43868.364583333336</v>
      </c>
      <c r="BF236" s="20" t="s">
        <v>754</v>
      </c>
      <c r="BH236" s="20" t="s">
        <v>698</v>
      </c>
      <c r="BM236" s="20" t="s">
        <v>698</v>
      </c>
      <c r="CA236" s="20">
        <v>0</v>
      </c>
      <c r="CB236" s="20" t="s">
        <v>2317</v>
      </c>
      <c r="CC236" s="20" t="s">
        <v>2318</v>
      </c>
      <c r="CD236" s="20" t="s">
        <v>739</v>
      </c>
      <c r="CE236" s="20">
        <v>74107</v>
      </c>
      <c r="CF236" s="20" t="s">
        <v>2319</v>
      </c>
      <c r="CG236" s="20" t="s">
        <v>2319</v>
      </c>
      <c r="CH236" s="20" t="s">
        <v>1931</v>
      </c>
      <c r="CI236" s="20" t="s">
        <v>711</v>
      </c>
      <c r="CJ236" s="20" t="s">
        <v>698</v>
      </c>
      <c r="CK236" s="20" t="s">
        <v>712</v>
      </c>
      <c r="CL236" s="20" t="s">
        <v>713</v>
      </c>
      <c r="CM236" s="20" t="s">
        <v>758</v>
      </c>
      <c r="CP236" s="20" t="s">
        <v>698</v>
      </c>
      <c r="DM236" s="20" t="s">
        <v>715</v>
      </c>
      <c r="DN236" s="20" t="s">
        <v>1011</v>
      </c>
      <c r="FK236" s="20">
        <v>2019</v>
      </c>
      <c r="FM236" s="20" t="s">
        <v>962</v>
      </c>
      <c r="FN236" s="20" t="s">
        <v>2320</v>
      </c>
      <c r="FO236" s="20" t="s">
        <v>720</v>
      </c>
      <c r="FR236" s="20" t="s">
        <v>823</v>
      </c>
      <c r="FY236" s="20" t="s">
        <v>698</v>
      </c>
      <c r="GC236" s="20" t="s">
        <v>696</v>
      </c>
      <c r="GD236" s="20" t="s">
        <v>698</v>
      </c>
      <c r="GE236" s="20" t="s">
        <v>696</v>
      </c>
      <c r="GH236" s="20" t="s">
        <v>696</v>
      </c>
      <c r="GK236" s="20" t="s">
        <v>698</v>
      </c>
      <c r="GT236" s="20" t="s">
        <v>696</v>
      </c>
      <c r="GU236" s="20" t="s">
        <v>696</v>
      </c>
      <c r="GX236" s="20" t="s">
        <v>696</v>
      </c>
      <c r="GY236" s="20" t="s">
        <v>696</v>
      </c>
      <c r="HD236" s="20" t="s">
        <v>696</v>
      </c>
      <c r="HE236" s="20" t="s">
        <v>696</v>
      </c>
      <c r="HF236" s="20">
        <v>0</v>
      </c>
      <c r="HG236" s="20">
        <v>25</v>
      </c>
      <c r="HH236" s="20">
        <v>0</v>
      </c>
      <c r="HI236" s="20">
        <v>5400</v>
      </c>
      <c r="HJ236" s="20">
        <v>12600</v>
      </c>
      <c r="HK236" s="20">
        <v>0</v>
      </c>
      <c r="HM236" s="20">
        <v>18025</v>
      </c>
      <c r="HR236" s="20">
        <v>110</v>
      </c>
      <c r="HS236" s="20">
        <v>275</v>
      </c>
      <c r="HY236" s="20" t="s">
        <v>723</v>
      </c>
      <c r="HZ236" s="20" t="s">
        <v>698</v>
      </c>
      <c r="IS236" s="20" t="s">
        <v>724</v>
      </c>
      <c r="IT236" s="20" t="s">
        <v>696</v>
      </c>
      <c r="IU236" s="20" t="s">
        <v>696</v>
      </c>
      <c r="IV236" s="20" t="s">
        <v>696</v>
      </c>
      <c r="IW236" s="20" t="s">
        <v>698</v>
      </c>
      <c r="IX236" s="20" t="s">
        <v>698</v>
      </c>
      <c r="IY236" s="20" t="s">
        <v>696</v>
      </c>
      <c r="IZ236" s="20" t="s">
        <v>696</v>
      </c>
      <c r="JA236" s="20" t="s">
        <v>696</v>
      </c>
      <c r="JB236" s="20" t="s">
        <v>698</v>
      </c>
      <c r="JC236" s="20" t="s">
        <v>698</v>
      </c>
      <c r="JD236" s="20" t="s">
        <v>725</v>
      </c>
      <c r="JE236" s="20" t="s">
        <v>726</v>
      </c>
      <c r="JR236" s="20" t="s">
        <v>698</v>
      </c>
      <c r="JS236" s="20" t="s">
        <v>698</v>
      </c>
      <c r="JX236" s="20" t="s">
        <v>789</v>
      </c>
      <c r="JY236" s="20" t="s">
        <v>1230</v>
      </c>
      <c r="QB236" s="20" t="s">
        <v>1230</v>
      </c>
      <c r="QY236" s="20" t="s">
        <v>696</v>
      </c>
      <c r="RA236" s="20" t="s">
        <v>696</v>
      </c>
      <c r="XL236" s="20" t="s">
        <v>730</v>
      </c>
      <c r="XM236" s="20" t="s">
        <v>2269</v>
      </c>
      <c r="XN236" s="20" t="s">
        <v>732</v>
      </c>
      <c r="XO236" s="20" t="s">
        <v>733</v>
      </c>
      <c r="XP236" s="20" t="s">
        <v>2216</v>
      </c>
      <c r="XQ236" s="24">
        <v>43894</v>
      </c>
      <c r="XU236" s="20" t="s">
        <v>730</v>
      </c>
      <c r="XV236" s="20" t="s">
        <v>733</v>
      </c>
      <c r="XW236" s="20" t="s">
        <v>2269</v>
      </c>
      <c r="XX236" s="20" t="s">
        <v>732</v>
      </c>
      <c r="XY236" s="20" t="s">
        <v>2321</v>
      </c>
    </row>
    <row r="237" spans="1:649" ht="13">
      <c r="A237" s="20">
        <v>1643</v>
      </c>
      <c r="B237" s="21">
        <v>43894</v>
      </c>
      <c r="C237" s="20">
        <v>2020</v>
      </c>
      <c r="D237" s="20">
        <v>20200064</v>
      </c>
      <c r="E237" s="20">
        <v>33409</v>
      </c>
      <c r="F237" s="20" t="s">
        <v>885</v>
      </c>
      <c r="G237" s="20">
        <v>39596</v>
      </c>
      <c r="H237" s="20" t="s">
        <v>796</v>
      </c>
      <c r="I237" s="20" t="s">
        <v>692</v>
      </c>
      <c r="J237" s="20" t="s">
        <v>693</v>
      </c>
      <c r="K237" s="20" t="s">
        <v>694</v>
      </c>
      <c r="L237" s="20">
        <v>77002</v>
      </c>
      <c r="M237" s="22">
        <v>43866.8125</v>
      </c>
      <c r="P237" s="20">
        <v>32.070630000000001</v>
      </c>
      <c r="Q237" s="20">
        <v>-96.464460000000003</v>
      </c>
      <c r="R237" s="20" t="s">
        <v>697</v>
      </c>
      <c r="W237" s="20">
        <v>2</v>
      </c>
      <c r="Y237" s="20">
        <v>2</v>
      </c>
      <c r="Z237" s="20" t="s">
        <v>698</v>
      </c>
      <c r="AF237" s="20">
        <v>0</v>
      </c>
      <c r="AG237" s="20" t="s">
        <v>698</v>
      </c>
      <c r="AM237" s="20">
        <v>0</v>
      </c>
      <c r="AN237" s="20" t="s">
        <v>699</v>
      </c>
      <c r="AP237" s="20" t="s">
        <v>700</v>
      </c>
      <c r="AQ237" s="23">
        <v>43866.8125</v>
      </c>
      <c r="AR237" s="20" t="s">
        <v>701</v>
      </c>
      <c r="AS237" s="20" t="s">
        <v>702</v>
      </c>
      <c r="AU237" s="20" t="s">
        <v>698</v>
      </c>
      <c r="AV237" s="20" t="s">
        <v>2322</v>
      </c>
      <c r="BC237" s="23">
        <v>43866.8125</v>
      </c>
      <c r="BF237" s="20" t="s">
        <v>754</v>
      </c>
      <c r="BH237" s="20" t="s">
        <v>698</v>
      </c>
      <c r="BM237" s="20" t="s">
        <v>698</v>
      </c>
      <c r="CA237" s="20">
        <v>0</v>
      </c>
      <c r="CB237" s="20" t="s">
        <v>1420</v>
      </c>
      <c r="CC237" s="20" t="s">
        <v>2323</v>
      </c>
      <c r="CD237" s="20" t="s">
        <v>694</v>
      </c>
      <c r="CE237" s="20">
        <v>75110</v>
      </c>
      <c r="CF237" s="20" t="s">
        <v>1296</v>
      </c>
      <c r="CG237" s="20" t="s">
        <v>1283</v>
      </c>
      <c r="CH237" s="20" t="s">
        <v>1931</v>
      </c>
      <c r="CI237" s="20" t="s">
        <v>711</v>
      </c>
      <c r="CJ237" s="20" t="s">
        <v>698</v>
      </c>
      <c r="CK237" s="20" t="s">
        <v>712</v>
      </c>
      <c r="CL237" s="20" t="s">
        <v>713</v>
      </c>
      <c r="CM237" s="20" t="s">
        <v>758</v>
      </c>
      <c r="CP237" s="20" t="s">
        <v>698</v>
      </c>
      <c r="DM237" s="20" t="s">
        <v>743</v>
      </c>
      <c r="DN237" s="20" t="s">
        <v>892</v>
      </c>
      <c r="FK237" s="20">
        <v>2007</v>
      </c>
      <c r="FM237" s="20" t="s">
        <v>719</v>
      </c>
      <c r="FO237" s="20" t="s">
        <v>893</v>
      </c>
      <c r="FY237" s="20" t="s">
        <v>698</v>
      </c>
      <c r="GC237" s="20" t="s">
        <v>696</v>
      </c>
      <c r="GD237" s="20" t="s">
        <v>698</v>
      </c>
      <c r="GE237" s="20" t="s">
        <v>696</v>
      </c>
      <c r="GH237" s="20" t="s">
        <v>696</v>
      </c>
      <c r="GK237" s="20" t="s">
        <v>698</v>
      </c>
      <c r="GT237" s="20" t="s">
        <v>696</v>
      </c>
      <c r="GU237" s="20" t="s">
        <v>696</v>
      </c>
      <c r="GZ237" s="20" t="s">
        <v>696</v>
      </c>
      <c r="HA237" s="20" t="s">
        <v>696</v>
      </c>
      <c r="HF237" s="20">
        <v>0</v>
      </c>
      <c r="HG237" s="20">
        <v>80</v>
      </c>
      <c r="HH237" s="20">
        <v>1500</v>
      </c>
      <c r="HI237" s="20">
        <v>500</v>
      </c>
      <c r="HJ237" s="20">
        <v>500</v>
      </c>
      <c r="HK237" s="20">
        <v>0</v>
      </c>
      <c r="HM237" s="20">
        <v>2580</v>
      </c>
      <c r="HR237" s="20">
        <v>120</v>
      </c>
      <c r="HS237" s="20">
        <v>150</v>
      </c>
      <c r="HY237" s="20" t="s">
        <v>723</v>
      </c>
      <c r="HZ237" s="20" t="s">
        <v>698</v>
      </c>
      <c r="IS237" s="20" t="s">
        <v>724</v>
      </c>
      <c r="IT237" s="20" t="s">
        <v>696</v>
      </c>
      <c r="IU237" s="20" t="s">
        <v>696</v>
      </c>
      <c r="IV237" s="20" t="s">
        <v>696</v>
      </c>
      <c r="IW237" s="20" t="s">
        <v>698</v>
      </c>
      <c r="IX237" s="20" t="s">
        <v>698</v>
      </c>
      <c r="IY237" s="20" t="s">
        <v>696</v>
      </c>
      <c r="IZ237" s="20" t="s">
        <v>696</v>
      </c>
      <c r="JA237" s="20" t="s">
        <v>696</v>
      </c>
      <c r="JB237" s="20" t="s">
        <v>698</v>
      </c>
      <c r="JC237" s="20" t="s">
        <v>698</v>
      </c>
      <c r="JD237" s="20" t="s">
        <v>725</v>
      </c>
      <c r="JE237" s="20" t="s">
        <v>2324</v>
      </c>
      <c r="JR237" s="20" t="s">
        <v>698</v>
      </c>
      <c r="JS237" s="20" t="s">
        <v>698</v>
      </c>
      <c r="JX237" s="20" t="s">
        <v>894</v>
      </c>
      <c r="JY237" s="20" t="s">
        <v>895</v>
      </c>
      <c r="RM237" s="20" t="s">
        <v>895</v>
      </c>
      <c r="RN237" s="20" t="s">
        <v>2014</v>
      </c>
      <c r="RS237" s="20" t="s">
        <v>696</v>
      </c>
      <c r="RV237" s="20" t="s">
        <v>1590</v>
      </c>
      <c r="RW237" s="20" t="s">
        <v>696</v>
      </c>
      <c r="RX237" s="20" t="s">
        <v>898</v>
      </c>
      <c r="XL237" s="20" t="s">
        <v>730</v>
      </c>
      <c r="XM237" s="20" t="s">
        <v>2269</v>
      </c>
      <c r="XN237" s="20" t="s">
        <v>732</v>
      </c>
      <c r="XO237" s="20" t="s">
        <v>733</v>
      </c>
      <c r="XP237" s="20" t="s">
        <v>2216</v>
      </c>
      <c r="XQ237" s="24">
        <v>43894</v>
      </c>
      <c r="XU237" s="20" t="s">
        <v>730</v>
      </c>
      <c r="XV237" s="20" t="s">
        <v>733</v>
      </c>
      <c r="XW237" s="20" t="s">
        <v>2269</v>
      </c>
      <c r="XX237" s="20" t="s">
        <v>732</v>
      </c>
      <c r="XY237" s="20" t="s">
        <v>2325</v>
      </c>
    </row>
    <row r="238" spans="1:649" ht="13">
      <c r="A238" s="20">
        <v>1673</v>
      </c>
      <c r="B238" s="21">
        <v>43867</v>
      </c>
      <c r="C238" s="20">
        <v>2020</v>
      </c>
      <c r="D238" s="20">
        <v>20200038</v>
      </c>
      <c r="E238" s="20">
        <v>33426</v>
      </c>
      <c r="F238" s="20" t="s">
        <v>825</v>
      </c>
      <c r="G238" s="20">
        <v>39596</v>
      </c>
      <c r="H238" s="20" t="s">
        <v>796</v>
      </c>
      <c r="I238" s="20" t="s">
        <v>692</v>
      </c>
      <c r="J238" s="20" t="s">
        <v>693</v>
      </c>
      <c r="K238" s="20" t="s">
        <v>694</v>
      </c>
      <c r="L238" s="20">
        <v>77002</v>
      </c>
      <c r="M238" s="22">
        <v>43841.805555555555</v>
      </c>
      <c r="P238" s="20">
        <v>38.783639999999998</v>
      </c>
      <c r="Q238" s="20">
        <v>-89.082459999999998</v>
      </c>
      <c r="R238" s="20" t="s">
        <v>697</v>
      </c>
      <c r="W238" s="20">
        <v>6031</v>
      </c>
      <c r="Y238" s="20">
        <v>6021</v>
      </c>
      <c r="Z238" s="20" t="s">
        <v>698</v>
      </c>
      <c r="AF238" s="20">
        <v>0</v>
      </c>
      <c r="AG238" s="20" t="s">
        <v>698</v>
      </c>
      <c r="AM238" s="20">
        <v>0</v>
      </c>
      <c r="AN238" s="20" t="s">
        <v>699</v>
      </c>
      <c r="AP238" s="20" t="s">
        <v>700</v>
      </c>
      <c r="AQ238" s="23">
        <v>43841.805555555555</v>
      </c>
      <c r="AR238" s="20" t="s">
        <v>907</v>
      </c>
      <c r="AS238" s="20" t="s">
        <v>702</v>
      </c>
      <c r="AU238" s="20" t="s">
        <v>698</v>
      </c>
      <c r="AV238" s="20" t="s">
        <v>2326</v>
      </c>
      <c r="BC238" s="23">
        <v>43841.8125</v>
      </c>
      <c r="BE238" s="23">
        <v>43841.886111111111</v>
      </c>
      <c r="BF238" s="20">
        <v>1268473</v>
      </c>
      <c r="BH238" s="20" t="s">
        <v>698</v>
      </c>
      <c r="BM238" s="20" t="s">
        <v>698</v>
      </c>
      <c r="CA238" s="20">
        <v>0</v>
      </c>
      <c r="CB238" s="20" t="s">
        <v>1364</v>
      </c>
      <c r="CC238" s="20" t="s">
        <v>2327</v>
      </c>
      <c r="CD238" s="20" t="s">
        <v>1366</v>
      </c>
      <c r="CE238" s="20">
        <v>62875</v>
      </c>
      <c r="CF238" s="20" t="s">
        <v>1367</v>
      </c>
      <c r="CG238" s="20" t="s">
        <v>1368</v>
      </c>
      <c r="CH238" s="20" t="s">
        <v>710</v>
      </c>
      <c r="CI238" s="20" t="s">
        <v>711</v>
      </c>
      <c r="CJ238" s="20" t="s">
        <v>698</v>
      </c>
      <c r="CK238" s="20" t="s">
        <v>712</v>
      </c>
      <c r="CL238" s="20" t="s">
        <v>910</v>
      </c>
      <c r="CP238" s="20" t="s">
        <v>698</v>
      </c>
      <c r="DM238" s="20" t="s">
        <v>743</v>
      </c>
      <c r="DN238" s="20" t="s">
        <v>911</v>
      </c>
      <c r="EW238" s="20" t="s">
        <v>912</v>
      </c>
      <c r="EY238" s="20" t="s">
        <v>913</v>
      </c>
      <c r="FK238" s="20">
        <v>2006</v>
      </c>
      <c r="FM238" s="20" t="s">
        <v>719</v>
      </c>
      <c r="FO238" s="20" t="s">
        <v>720</v>
      </c>
      <c r="FR238" s="20" t="s">
        <v>823</v>
      </c>
      <c r="FY238" s="20" t="s">
        <v>698</v>
      </c>
      <c r="GC238" s="20" t="s">
        <v>696</v>
      </c>
      <c r="GD238" s="20" t="s">
        <v>698</v>
      </c>
      <c r="GE238" s="20" t="s">
        <v>696</v>
      </c>
      <c r="GF238" s="20" t="s">
        <v>696</v>
      </c>
      <c r="GH238" s="20" t="s">
        <v>696</v>
      </c>
      <c r="GI238" s="20" t="s">
        <v>696</v>
      </c>
      <c r="GK238" s="20" t="s">
        <v>696</v>
      </c>
      <c r="GM238" s="20" t="s">
        <v>696</v>
      </c>
      <c r="GR238" s="20">
        <v>6031</v>
      </c>
      <c r="GS238" s="20" t="s">
        <v>2328</v>
      </c>
      <c r="GT238" s="20" t="s">
        <v>696</v>
      </c>
      <c r="GU238" s="20" t="s">
        <v>696</v>
      </c>
      <c r="HB238" s="20" t="s">
        <v>696</v>
      </c>
      <c r="HC238" s="20" t="s">
        <v>696</v>
      </c>
      <c r="HF238" s="20">
        <v>0</v>
      </c>
      <c r="HG238" s="20">
        <v>670</v>
      </c>
      <c r="HH238" s="20">
        <v>50000</v>
      </c>
      <c r="HI238" s="20">
        <v>150000</v>
      </c>
      <c r="HJ238" s="20">
        <v>250000</v>
      </c>
      <c r="HK238" s="20">
        <v>0</v>
      </c>
      <c r="HM238" s="20">
        <v>450670</v>
      </c>
      <c r="HR238" s="20">
        <v>27.5</v>
      </c>
      <c r="HS238" s="20">
        <v>285</v>
      </c>
      <c r="HY238" s="20" t="s">
        <v>723</v>
      </c>
      <c r="HZ238" s="20" t="s">
        <v>698</v>
      </c>
      <c r="IS238" s="20" t="s">
        <v>724</v>
      </c>
      <c r="IT238" s="20" t="s">
        <v>696</v>
      </c>
      <c r="IU238" s="20" t="s">
        <v>696</v>
      </c>
      <c r="IV238" s="20" t="s">
        <v>696</v>
      </c>
      <c r="IW238" s="20" t="s">
        <v>696</v>
      </c>
      <c r="IX238" s="20" t="s">
        <v>696</v>
      </c>
      <c r="IY238" s="20" t="s">
        <v>698</v>
      </c>
      <c r="JD238" s="20" t="s">
        <v>725</v>
      </c>
      <c r="JR238" s="20" t="s">
        <v>698</v>
      </c>
      <c r="JS238" s="20" t="s">
        <v>698</v>
      </c>
      <c r="JX238" s="20" t="s">
        <v>789</v>
      </c>
      <c r="JY238" s="20" t="s">
        <v>964</v>
      </c>
      <c r="QB238" s="20" t="s">
        <v>964</v>
      </c>
      <c r="QU238" s="20" t="s">
        <v>2329</v>
      </c>
      <c r="QX238" s="20" t="s">
        <v>696</v>
      </c>
      <c r="QY238" s="20" t="s">
        <v>696</v>
      </c>
      <c r="XL238" s="20" t="s">
        <v>2330</v>
      </c>
      <c r="XM238" s="20" t="s">
        <v>2331</v>
      </c>
      <c r="XN238" s="20" t="s">
        <v>2332</v>
      </c>
      <c r="XO238" s="20" t="s">
        <v>2333</v>
      </c>
      <c r="XQ238" s="24">
        <v>43896</v>
      </c>
      <c r="XU238" s="20" t="s">
        <v>2330</v>
      </c>
      <c r="XV238" s="20" t="s">
        <v>2333</v>
      </c>
      <c r="XW238" s="20" t="s">
        <v>2331</v>
      </c>
      <c r="XX238" s="20" t="s">
        <v>2332</v>
      </c>
      <c r="XY238" s="20" t="s">
        <v>2334</v>
      </c>
    </row>
    <row r="239" spans="1:649" ht="13">
      <c r="A239" s="20">
        <v>1681</v>
      </c>
      <c r="B239" s="21">
        <v>43864</v>
      </c>
      <c r="C239" s="20">
        <v>2020</v>
      </c>
      <c r="D239" s="20">
        <v>20200030</v>
      </c>
      <c r="E239" s="20">
        <v>33268</v>
      </c>
      <c r="F239" s="20" t="s">
        <v>885</v>
      </c>
      <c r="G239" s="20">
        <v>32099</v>
      </c>
      <c r="H239" s="20" t="s">
        <v>752</v>
      </c>
      <c r="I239" s="20" t="s">
        <v>692</v>
      </c>
      <c r="J239" s="20" t="s">
        <v>693</v>
      </c>
      <c r="K239" s="20" t="s">
        <v>694</v>
      </c>
      <c r="L239" s="20">
        <v>77002</v>
      </c>
      <c r="M239" s="22">
        <v>43833.854166666664</v>
      </c>
      <c r="P239" s="20">
        <v>29.855270000000001</v>
      </c>
      <c r="Q239" s="20">
        <v>-94.902600000000007</v>
      </c>
      <c r="R239" s="20" t="s">
        <v>773</v>
      </c>
      <c r="S239" s="20" t="s">
        <v>1700</v>
      </c>
      <c r="T239" s="20" t="s">
        <v>1865</v>
      </c>
      <c r="W239" s="20">
        <v>8</v>
      </c>
      <c r="X239" s="20">
        <v>0</v>
      </c>
      <c r="Y239" s="20">
        <v>0</v>
      </c>
      <c r="Z239" s="20" t="s">
        <v>698</v>
      </c>
      <c r="AF239" s="20">
        <v>0</v>
      </c>
      <c r="AG239" s="20" t="s">
        <v>698</v>
      </c>
      <c r="AM239" s="20">
        <v>0</v>
      </c>
      <c r="AN239" s="20" t="s">
        <v>699</v>
      </c>
      <c r="AP239" s="20" t="s">
        <v>700</v>
      </c>
      <c r="AQ239" s="23">
        <v>43834.229166666664</v>
      </c>
      <c r="AR239" s="20" t="s">
        <v>701</v>
      </c>
      <c r="AS239" s="20" t="s">
        <v>702</v>
      </c>
      <c r="AU239" s="20" t="s">
        <v>696</v>
      </c>
      <c r="AW239" s="23">
        <v>43833.854166666664</v>
      </c>
      <c r="AX239" s="23">
        <v>43834.541666666664</v>
      </c>
      <c r="BC239" s="23">
        <v>43865.229861111111</v>
      </c>
      <c r="BE239" s="23">
        <v>43834.550694444442</v>
      </c>
      <c r="BF239" s="20">
        <v>1267942</v>
      </c>
      <c r="BH239" s="20" t="s">
        <v>696</v>
      </c>
      <c r="BM239" s="20" t="s">
        <v>696</v>
      </c>
      <c r="CA239" s="20">
        <v>0</v>
      </c>
      <c r="CB239" s="20" t="s">
        <v>2335</v>
      </c>
      <c r="CC239" s="20" t="s">
        <v>2336</v>
      </c>
      <c r="CD239" s="20" t="s">
        <v>694</v>
      </c>
      <c r="CE239" s="20">
        <v>77580</v>
      </c>
      <c r="CF239" s="20" t="s">
        <v>2337</v>
      </c>
      <c r="CG239" s="20" t="s">
        <v>2159</v>
      </c>
      <c r="CH239" s="20" t="s">
        <v>1931</v>
      </c>
      <c r="CI239" s="20" t="s">
        <v>2338</v>
      </c>
      <c r="CJ239" s="20" t="s">
        <v>698</v>
      </c>
      <c r="CK239" s="20" t="s">
        <v>712</v>
      </c>
      <c r="CL239" s="20" t="s">
        <v>713</v>
      </c>
      <c r="CM239" s="20" t="s">
        <v>766</v>
      </c>
      <c r="CN239" s="20" t="s">
        <v>2339</v>
      </c>
      <c r="CP239" s="20" t="s">
        <v>698</v>
      </c>
      <c r="DM239" s="20" t="s">
        <v>715</v>
      </c>
      <c r="DN239" s="20" t="s">
        <v>716</v>
      </c>
      <c r="FK239" s="20">
        <v>1980</v>
      </c>
      <c r="FM239" s="20" t="s">
        <v>719</v>
      </c>
      <c r="FO239" s="20" t="s">
        <v>720</v>
      </c>
      <c r="FR239" s="20" t="s">
        <v>768</v>
      </c>
      <c r="FY239" s="20" t="s">
        <v>698</v>
      </c>
      <c r="GC239" s="20" t="s">
        <v>698</v>
      </c>
      <c r="GD239" s="20" t="s">
        <v>696</v>
      </c>
      <c r="GE239" s="20" t="s">
        <v>698</v>
      </c>
      <c r="GK239" s="20" t="s">
        <v>698</v>
      </c>
      <c r="GT239" s="20" t="s">
        <v>696</v>
      </c>
      <c r="GU239" s="20" t="s">
        <v>698</v>
      </c>
      <c r="HF239" s="20">
        <v>0</v>
      </c>
      <c r="HG239" s="20">
        <v>154</v>
      </c>
      <c r="HH239" s="20">
        <v>1000000</v>
      </c>
      <c r="HI239" s="20">
        <v>0</v>
      </c>
      <c r="HJ239" s="20">
        <v>0</v>
      </c>
      <c r="HK239" s="20">
        <v>0</v>
      </c>
      <c r="HM239" s="20">
        <v>1000154</v>
      </c>
      <c r="HR239" s="20">
        <v>800</v>
      </c>
      <c r="HS239" s="20">
        <v>1440</v>
      </c>
      <c r="HY239" s="20" t="s">
        <v>723</v>
      </c>
      <c r="HZ239" s="20" t="s">
        <v>698</v>
      </c>
      <c r="IS239" s="20" t="s">
        <v>724</v>
      </c>
      <c r="IT239" s="20" t="s">
        <v>696</v>
      </c>
      <c r="IU239" s="20" t="s">
        <v>696</v>
      </c>
      <c r="IV239" s="20" t="s">
        <v>696</v>
      </c>
      <c r="IW239" s="20" t="s">
        <v>698</v>
      </c>
      <c r="IX239" s="20" t="s">
        <v>696</v>
      </c>
      <c r="IY239" s="20" t="s">
        <v>698</v>
      </c>
      <c r="JD239" s="20" t="s">
        <v>725</v>
      </c>
      <c r="JE239" s="20" t="s">
        <v>2340</v>
      </c>
      <c r="JR239" s="20" t="s">
        <v>698</v>
      </c>
      <c r="JS239" s="20" t="s">
        <v>698</v>
      </c>
      <c r="JX239" s="20" t="s">
        <v>789</v>
      </c>
      <c r="JY239" s="20" t="s">
        <v>1251</v>
      </c>
      <c r="QB239" s="20" t="s">
        <v>1251</v>
      </c>
      <c r="QO239" s="20" t="s">
        <v>766</v>
      </c>
      <c r="QP239" s="20" t="s">
        <v>2341</v>
      </c>
      <c r="QV239" s="20" t="s">
        <v>696</v>
      </c>
      <c r="XL239" s="20" t="s">
        <v>2342</v>
      </c>
      <c r="XM239" s="20" t="s">
        <v>2343</v>
      </c>
      <c r="XN239" s="20" t="s">
        <v>2344</v>
      </c>
      <c r="XO239" s="20" t="s">
        <v>2345</v>
      </c>
      <c r="XQ239" s="24">
        <v>43864</v>
      </c>
      <c r="XU239" s="20" t="s">
        <v>1624</v>
      </c>
      <c r="XV239" s="20" t="s">
        <v>1625</v>
      </c>
      <c r="XW239" s="20" t="s">
        <v>2292</v>
      </c>
      <c r="XX239" s="20" t="s">
        <v>1627</v>
      </c>
      <c r="XY239" s="20" t="s">
        <v>2346</v>
      </c>
    </row>
    <row r="240" spans="1:649" ht="13">
      <c r="A240" s="20">
        <v>1719</v>
      </c>
      <c r="B240" s="21">
        <v>43817</v>
      </c>
      <c r="C240" s="20">
        <v>2019</v>
      </c>
      <c r="D240" s="20">
        <v>20190386</v>
      </c>
      <c r="E240" s="20">
        <v>33098</v>
      </c>
      <c r="F240" s="20" t="s">
        <v>885</v>
      </c>
      <c r="G240" s="20">
        <v>39706</v>
      </c>
      <c r="H240" s="20" t="s">
        <v>1943</v>
      </c>
      <c r="I240" s="20" t="s">
        <v>692</v>
      </c>
      <c r="J240" s="20" t="s">
        <v>693</v>
      </c>
      <c r="K240" s="20" t="s">
        <v>694</v>
      </c>
      <c r="L240" s="20">
        <v>77002</v>
      </c>
      <c r="M240" s="22">
        <v>43792.895833333336</v>
      </c>
      <c r="P240" s="20">
        <v>29.997983999999999</v>
      </c>
      <c r="Q240" s="20">
        <v>-93.990190999999996</v>
      </c>
      <c r="R240" s="20" t="s">
        <v>697</v>
      </c>
      <c r="W240" s="20">
        <v>15</v>
      </c>
      <c r="Y240" s="20">
        <v>15</v>
      </c>
      <c r="Z240" s="20" t="s">
        <v>698</v>
      </c>
      <c r="AF240" s="20">
        <v>0</v>
      </c>
      <c r="AG240" s="20" t="s">
        <v>698</v>
      </c>
      <c r="AM240" s="20">
        <v>0</v>
      </c>
      <c r="AN240" s="20" t="s">
        <v>699</v>
      </c>
      <c r="AP240" s="20" t="s">
        <v>700</v>
      </c>
      <c r="AQ240" s="23">
        <v>43792.895833333336</v>
      </c>
      <c r="AR240" s="20" t="s">
        <v>701</v>
      </c>
      <c r="AS240" s="20" t="s">
        <v>702</v>
      </c>
      <c r="AU240" s="20" t="s">
        <v>698</v>
      </c>
      <c r="AV240" s="20" t="s">
        <v>2347</v>
      </c>
      <c r="BC240" s="23">
        <v>43792.895833333336</v>
      </c>
      <c r="BF240" s="20" t="s">
        <v>754</v>
      </c>
      <c r="BH240" s="20" t="s">
        <v>698</v>
      </c>
      <c r="BM240" s="20" t="s">
        <v>698</v>
      </c>
      <c r="CA240" s="20">
        <v>0</v>
      </c>
      <c r="CB240" s="20" t="s">
        <v>818</v>
      </c>
      <c r="CC240" s="20" t="s">
        <v>1440</v>
      </c>
      <c r="CD240" s="20" t="s">
        <v>694</v>
      </c>
      <c r="CE240" s="20">
        <v>77627</v>
      </c>
      <c r="CF240" s="20" t="s">
        <v>820</v>
      </c>
      <c r="CG240" s="20" t="s">
        <v>821</v>
      </c>
      <c r="CH240" s="20" t="s">
        <v>710</v>
      </c>
      <c r="CI240" s="20" t="s">
        <v>711</v>
      </c>
      <c r="CJ240" s="20" t="s">
        <v>698</v>
      </c>
      <c r="CK240" s="20" t="s">
        <v>712</v>
      </c>
      <c r="CL240" s="20" t="s">
        <v>713</v>
      </c>
      <c r="CM240" s="20" t="s">
        <v>766</v>
      </c>
      <c r="CN240" s="20" t="s">
        <v>2348</v>
      </c>
      <c r="CP240" s="20" t="s">
        <v>698</v>
      </c>
      <c r="DM240" s="20" t="s">
        <v>743</v>
      </c>
      <c r="DN240" s="20" t="s">
        <v>829</v>
      </c>
      <c r="EM240" s="20" t="s">
        <v>830</v>
      </c>
      <c r="FK240" s="20">
        <v>2017</v>
      </c>
      <c r="FM240" s="20" t="s">
        <v>719</v>
      </c>
      <c r="FO240" s="20" t="s">
        <v>720</v>
      </c>
      <c r="FR240" s="20" t="s">
        <v>721</v>
      </c>
      <c r="FY240" s="20" t="s">
        <v>698</v>
      </c>
      <c r="GC240" s="20" t="s">
        <v>696</v>
      </c>
      <c r="GD240" s="20" t="s">
        <v>698</v>
      </c>
      <c r="GE240" s="20" t="s">
        <v>698</v>
      </c>
      <c r="GK240" s="20" t="s">
        <v>698</v>
      </c>
      <c r="GT240" s="20" t="s">
        <v>696</v>
      </c>
      <c r="GU240" s="20" t="s">
        <v>696</v>
      </c>
      <c r="GX240" s="20" t="s">
        <v>696</v>
      </c>
      <c r="GY240" s="20" t="s">
        <v>696</v>
      </c>
      <c r="HF240" s="20">
        <v>0</v>
      </c>
      <c r="HG240" s="20">
        <v>1000</v>
      </c>
      <c r="HH240" s="20">
        <v>0</v>
      </c>
      <c r="HI240" s="20">
        <v>10000</v>
      </c>
      <c r="HJ240" s="20">
        <v>13500</v>
      </c>
      <c r="HK240" s="20">
        <v>0</v>
      </c>
      <c r="HM240" s="20">
        <v>24500</v>
      </c>
      <c r="HR240" s="20">
        <v>500</v>
      </c>
      <c r="HS240" s="20">
        <v>150</v>
      </c>
      <c r="HY240" s="20" t="s">
        <v>760</v>
      </c>
      <c r="HZ240" s="20" t="s">
        <v>698</v>
      </c>
      <c r="IS240" s="20" t="s">
        <v>808</v>
      </c>
      <c r="IT240" s="20" t="s">
        <v>696</v>
      </c>
      <c r="IU240" s="20" t="s">
        <v>696</v>
      </c>
      <c r="IV240" s="20" t="s">
        <v>696</v>
      </c>
      <c r="IW240" s="20" t="s">
        <v>696</v>
      </c>
      <c r="IX240" s="20" t="s">
        <v>698</v>
      </c>
      <c r="IY240" s="20" t="s">
        <v>698</v>
      </c>
      <c r="JD240" s="20" t="s">
        <v>859</v>
      </c>
      <c r="JK240" s="20" t="s">
        <v>696</v>
      </c>
      <c r="JR240" s="20" t="s">
        <v>696</v>
      </c>
      <c r="JS240" s="20" t="s">
        <v>698</v>
      </c>
      <c r="JT240" s="20">
        <v>1</v>
      </c>
      <c r="JU240" s="20">
        <v>0</v>
      </c>
      <c r="JX240" s="20" t="s">
        <v>894</v>
      </c>
      <c r="JY240" s="20" t="s">
        <v>1215</v>
      </c>
      <c r="RM240" s="20" t="s">
        <v>1215</v>
      </c>
      <c r="RS240" s="20" t="s">
        <v>696</v>
      </c>
      <c r="RV240" s="20" t="s">
        <v>897</v>
      </c>
      <c r="RW240" s="20" t="s">
        <v>696</v>
      </c>
      <c r="RX240" s="20" t="s">
        <v>898</v>
      </c>
      <c r="XL240" s="20" t="s">
        <v>730</v>
      </c>
      <c r="XM240" s="20" t="s">
        <v>2269</v>
      </c>
      <c r="XN240" s="20" t="s">
        <v>732</v>
      </c>
      <c r="XO240" s="20" t="s">
        <v>733</v>
      </c>
      <c r="XP240" s="20" t="s">
        <v>2216</v>
      </c>
      <c r="XQ240" s="24">
        <v>43817</v>
      </c>
      <c r="XU240" s="20" t="s">
        <v>730</v>
      </c>
      <c r="XV240" s="20" t="s">
        <v>733</v>
      </c>
      <c r="XW240" s="20" t="s">
        <v>2269</v>
      </c>
      <c r="XX240" s="20" t="s">
        <v>732</v>
      </c>
      <c r="XY240" s="20" t="s">
        <v>2349</v>
      </c>
    </row>
    <row r="241" spans="1:649" ht="13">
      <c r="A241" s="20">
        <v>1735</v>
      </c>
      <c r="B241" s="21">
        <v>43810</v>
      </c>
      <c r="C241" s="20">
        <v>2019</v>
      </c>
      <c r="D241" s="20">
        <v>20190376</v>
      </c>
      <c r="E241" s="20">
        <v>33478</v>
      </c>
      <c r="F241" s="20" t="s">
        <v>825</v>
      </c>
      <c r="G241" s="20">
        <v>18718</v>
      </c>
      <c r="H241" s="20" t="s">
        <v>918</v>
      </c>
      <c r="I241" s="20" t="s">
        <v>692</v>
      </c>
      <c r="J241" s="20" t="s">
        <v>693</v>
      </c>
      <c r="K241" s="20" t="s">
        <v>694</v>
      </c>
      <c r="L241" s="20">
        <v>77002</v>
      </c>
      <c r="M241" s="22">
        <v>43780.71597222222</v>
      </c>
      <c r="P241" s="20">
        <v>39.893990000000002</v>
      </c>
      <c r="Q241" s="20">
        <v>-75.431510000000003</v>
      </c>
      <c r="R241" s="20" t="s">
        <v>844</v>
      </c>
      <c r="S241" s="20" t="s">
        <v>936</v>
      </c>
      <c r="W241" s="20">
        <v>4.0999999999999996</v>
      </c>
      <c r="Y241" s="20">
        <v>4.0999999999999996</v>
      </c>
      <c r="Z241" s="20" t="s">
        <v>698</v>
      </c>
      <c r="AF241" s="20">
        <v>0</v>
      </c>
      <c r="AG241" s="20" t="s">
        <v>698</v>
      </c>
      <c r="AM241" s="20">
        <v>0</v>
      </c>
      <c r="AN241" s="20" t="s">
        <v>2050</v>
      </c>
      <c r="AQ241" s="23">
        <v>43780.71597222222</v>
      </c>
      <c r="AR241" s="20" t="s">
        <v>776</v>
      </c>
      <c r="AS241" s="20" t="s">
        <v>702</v>
      </c>
      <c r="AU241" s="20" t="s">
        <v>696</v>
      </c>
      <c r="AW241" s="23">
        <v>43780.734722222223</v>
      </c>
      <c r="AX241" s="23">
        <v>43780.990277777775</v>
      </c>
      <c r="BC241" s="23">
        <v>43780.73333333333</v>
      </c>
      <c r="BE241" s="23">
        <v>43780.864583333336</v>
      </c>
      <c r="BF241" s="20">
        <v>1263699</v>
      </c>
      <c r="BH241" s="20" t="s">
        <v>698</v>
      </c>
      <c r="BM241" s="20" t="s">
        <v>698</v>
      </c>
      <c r="BQ241" s="20" t="s">
        <v>798</v>
      </c>
      <c r="BU241" s="20" t="s">
        <v>798</v>
      </c>
      <c r="CA241" s="20">
        <v>0</v>
      </c>
      <c r="CB241" s="20" t="s">
        <v>2350</v>
      </c>
      <c r="CC241" s="20" t="s">
        <v>2351</v>
      </c>
      <c r="CD241" s="20" t="s">
        <v>921</v>
      </c>
      <c r="CE241" s="20">
        <v>19063</v>
      </c>
      <c r="CF241" s="20" t="s">
        <v>2352</v>
      </c>
      <c r="CG241" s="20" t="s">
        <v>1180</v>
      </c>
      <c r="CH241" s="20" t="s">
        <v>1931</v>
      </c>
      <c r="CI241" s="20" t="s">
        <v>2353</v>
      </c>
      <c r="CJ241" s="20" t="s">
        <v>698</v>
      </c>
      <c r="CK241" s="20" t="s">
        <v>712</v>
      </c>
      <c r="CL241" s="20" t="s">
        <v>713</v>
      </c>
      <c r="CM241" s="20" t="s">
        <v>758</v>
      </c>
      <c r="CP241" s="20" t="s">
        <v>698</v>
      </c>
      <c r="DM241" s="20" t="s">
        <v>743</v>
      </c>
      <c r="DN241" s="20" t="s">
        <v>1170</v>
      </c>
      <c r="FK241" s="20">
        <v>2014</v>
      </c>
      <c r="FM241" s="20" t="s">
        <v>962</v>
      </c>
      <c r="FN241" s="20" t="s">
        <v>2354</v>
      </c>
      <c r="FO241" s="20" t="s">
        <v>720</v>
      </c>
      <c r="FR241" s="20" t="s">
        <v>823</v>
      </c>
      <c r="FY241" s="20" t="s">
        <v>698</v>
      </c>
      <c r="GC241" s="20" t="s">
        <v>696</v>
      </c>
      <c r="GD241" s="20" t="s">
        <v>698</v>
      </c>
      <c r="GE241" s="20" t="s">
        <v>696</v>
      </c>
      <c r="GH241" s="20" t="s">
        <v>696</v>
      </c>
      <c r="GK241" s="20" t="s">
        <v>698</v>
      </c>
      <c r="GT241" s="20" t="s">
        <v>696</v>
      </c>
      <c r="GU241" s="20" t="s">
        <v>696</v>
      </c>
      <c r="GX241" s="20" t="s">
        <v>696</v>
      </c>
      <c r="GY241" s="20" t="s">
        <v>696</v>
      </c>
      <c r="HD241" s="20" t="s">
        <v>696</v>
      </c>
      <c r="HE241" s="20" t="s">
        <v>696</v>
      </c>
      <c r="HF241" s="20">
        <v>0</v>
      </c>
      <c r="HG241" s="20">
        <v>450</v>
      </c>
      <c r="HH241" s="20">
        <v>500</v>
      </c>
      <c r="HI241" s="20">
        <v>58000</v>
      </c>
      <c r="HJ241" s="20">
        <v>100000</v>
      </c>
      <c r="HK241" s="20">
        <v>0</v>
      </c>
      <c r="HM241" s="20">
        <v>158950</v>
      </c>
      <c r="HR241" s="20">
        <v>682</v>
      </c>
      <c r="HS241" s="20">
        <v>1100</v>
      </c>
      <c r="HY241" s="20" t="s">
        <v>723</v>
      </c>
      <c r="HZ241" s="20" t="s">
        <v>698</v>
      </c>
      <c r="IC241" s="20">
        <v>57</v>
      </c>
      <c r="ID241" s="20" t="s">
        <v>696</v>
      </c>
      <c r="IL241" s="20" t="s">
        <v>698</v>
      </c>
      <c r="IS241" s="20" t="s">
        <v>724</v>
      </c>
      <c r="IT241" s="20" t="s">
        <v>696</v>
      </c>
      <c r="IU241" s="20" t="s">
        <v>696</v>
      </c>
      <c r="IV241" s="20" t="s">
        <v>696</v>
      </c>
      <c r="IW241" s="20" t="s">
        <v>696</v>
      </c>
      <c r="IX241" s="20" t="s">
        <v>696</v>
      </c>
      <c r="IY241" s="20" t="s">
        <v>696</v>
      </c>
      <c r="IZ241" s="20" t="s">
        <v>696</v>
      </c>
      <c r="JA241" s="20" t="s">
        <v>696</v>
      </c>
      <c r="JB241" s="20" t="s">
        <v>698</v>
      </c>
      <c r="JC241" s="20" t="s">
        <v>698</v>
      </c>
      <c r="JD241" s="20" t="s">
        <v>725</v>
      </c>
      <c r="JE241" s="20" t="s">
        <v>2355</v>
      </c>
      <c r="JR241" s="20" t="s">
        <v>698</v>
      </c>
      <c r="JS241" s="20" t="s">
        <v>698</v>
      </c>
      <c r="JX241" s="20" t="s">
        <v>789</v>
      </c>
      <c r="JY241" s="20" t="s">
        <v>1230</v>
      </c>
      <c r="QB241" s="20" t="s">
        <v>1230</v>
      </c>
      <c r="QY241" s="20" t="s">
        <v>696</v>
      </c>
      <c r="RA241" s="20" t="s">
        <v>696</v>
      </c>
      <c r="XL241" s="20" t="s">
        <v>1872</v>
      </c>
      <c r="XM241" s="20" t="s">
        <v>2356</v>
      </c>
      <c r="XN241" s="20" t="s">
        <v>1874</v>
      </c>
      <c r="XO241" s="20" t="s">
        <v>1875</v>
      </c>
      <c r="XQ241" s="24">
        <v>43908</v>
      </c>
      <c r="XU241" s="20" t="s">
        <v>730</v>
      </c>
      <c r="XV241" s="20" t="s">
        <v>733</v>
      </c>
      <c r="XW241" s="20" t="s">
        <v>2269</v>
      </c>
      <c r="XX241" s="20" t="s">
        <v>732</v>
      </c>
      <c r="XY241" s="20" t="s">
        <v>2357</v>
      </c>
    </row>
    <row r="242" spans="1:649" ht="13">
      <c r="A242" s="20">
        <v>1736</v>
      </c>
      <c r="B242" s="21">
        <v>43810</v>
      </c>
      <c r="C242" s="20">
        <v>2019</v>
      </c>
      <c r="D242" s="20">
        <v>20190374</v>
      </c>
      <c r="E242" s="20">
        <v>33057</v>
      </c>
      <c r="F242" s="20" t="s">
        <v>885</v>
      </c>
      <c r="G242" s="20">
        <v>39462</v>
      </c>
      <c r="H242" s="20" t="s">
        <v>949</v>
      </c>
      <c r="I242" s="20" t="s">
        <v>692</v>
      </c>
      <c r="J242" s="20" t="s">
        <v>693</v>
      </c>
      <c r="K242" s="20" t="s">
        <v>694</v>
      </c>
      <c r="L242" s="20">
        <v>77002</v>
      </c>
      <c r="M242" s="22">
        <v>43780.309027777781</v>
      </c>
      <c r="P242" s="20">
        <v>30.10774</v>
      </c>
      <c r="Q242" s="20">
        <v>-91.796310000000005</v>
      </c>
      <c r="R242" s="20" t="s">
        <v>697</v>
      </c>
      <c r="W242" s="20">
        <v>1</v>
      </c>
      <c r="Y242" s="20">
        <v>1</v>
      </c>
      <c r="Z242" s="20" t="s">
        <v>698</v>
      </c>
      <c r="AF242" s="20">
        <v>0</v>
      </c>
      <c r="AG242" s="20" t="s">
        <v>698</v>
      </c>
      <c r="AM242" s="20">
        <v>0</v>
      </c>
      <c r="AN242" s="20" t="s">
        <v>699</v>
      </c>
      <c r="AP242" s="20" t="s">
        <v>700</v>
      </c>
      <c r="AQ242" s="23">
        <v>43780.309027777781</v>
      </c>
      <c r="AR242" s="20" t="s">
        <v>701</v>
      </c>
      <c r="AS242" s="20" t="s">
        <v>702</v>
      </c>
      <c r="AU242" s="20" t="s">
        <v>698</v>
      </c>
      <c r="AV242" s="20" t="s">
        <v>2358</v>
      </c>
      <c r="BC242" s="23">
        <v>43780.309027777781</v>
      </c>
      <c r="BF242" s="20" t="s">
        <v>754</v>
      </c>
      <c r="BH242" s="20" t="s">
        <v>698</v>
      </c>
      <c r="BM242" s="20" t="s">
        <v>698</v>
      </c>
      <c r="CA242" s="20">
        <v>0</v>
      </c>
      <c r="CB242" s="20" t="s">
        <v>2359</v>
      </c>
      <c r="CC242" s="20" t="s">
        <v>2360</v>
      </c>
      <c r="CD242" s="20" t="s">
        <v>1009</v>
      </c>
      <c r="CE242" s="20">
        <v>70582</v>
      </c>
      <c r="CF242" s="20" t="s">
        <v>1559</v>
      </c>
      <c r="CG242" s="20" t="s">
        <v>1560</v>
      </c>
      <c r="CH242" s="20" t="s">
        <v>1931</v>
      </c>
      <c r="CI242" s="20">
        <v>29</v>
      </c>
      <c r="CJ242" s="20" t="s">
        <v>698</v>
      </c>
      <c r="CK242" s="20" t="s">
        <v>712</v>
      </c>
      <c r="CL242" s="20" t="s">
        <v>713</v>
      </c>
      <c r="CM242" s="20" t="s">
        <v>758</v>
      </c>
      <c r="CP242" s="20" t="s">
        <v>698</v>
      </c>
      <c r="DM242" s="20" t="s">
        <v>743</v>
      </c>
      <c r="DN242" s="20" t="s">
        <v>1170</v>
      </c>
      <c r="FK242" s="20">
        <v>2019</v>
      </c>
      <c r="FM242" s="20" t="s">
        <v>719</v>
      </c>
      <c r="FO242" s="20" t="s">
        <v>720</v>
      </c>
      <c r="FR242" s="20" t="s">
        <v>721</v>
      </c>
      <c r="FY242" s="20" t="s">
        <v>698</v>
      </c>
      <c r="GC242" s="20" t="s">
        <v>696</v>
      </c>
      <c r="GD242" s="20" t="s">
        <v>698</v>
      </c>
      <c r="GE242" s="20" t="s">
        <v>696</v>
      </c>
      <c r="GH242" s="20" t="s">
        <v>696</v>
      </c>
      <c r="GK242" s="20" t="s">
        <v>698</v>
      </c>
      <c r="GT242" s="20" t="s">
        <v>698</v>
      </c>
      <c r="GU242" s="20" t="s">
        <v>698</v>
      </c>
      <c r="HF242" s="20">
        <v>0</v>
      </c>
      <c r="HG242" s="20">
        <v>60</v>
      </c>
      <c r="HH242" s="20">
        <v>0</v>
      </c>
      <c r="HI242" s="20">
        <v>500</v>
      </c>
      <c r="HJ242" s="20">
        <v>18295</v>
      </c>
      <c r="HK242" s="20">
        <v>0</v>
      </c>
      <c r="HM242" s="20">
        <v>18855</v>
      </c>
      <c r="HR242" s="20">
        <v>460</v>
      </c>
      <c r="HS242" s="20">
        <v>1440</v>
      </c>
      <c r="HY242" s="20" t="s">
        <v>723</v>
      </c>
      <c r="HZ242" s="20" t="s">
        <v>698</v>
      </c>
      <c r="IS242" s="20" t="s">
        <v>724</v>
      </c>
      <c r="IT242" s="20" t="s">
        <v>696</v>
      </c>
      <c r="IU242" s="20" t="s">
        <v>696</v>
      </c>
      <c r="IV242" s="20" t="s">
        <v>696</v>
      </c>
      <c r="IW242" s="20" t="s">
        <v>698</v>
      </c>
      <c r="IX242" s="20" t="s">
        <v>698</v>
      </c>
      <c r="IY242" s="20" t="s">
        <v>696</v>
      </c>
      <c r="IZ242" s="20" t="s">
        <v>696</v>
      </c>
      <c r="JA242" s="20" t="s">
        <v>696</v>
      </c>
      <c r="JB242" s="20" t="s">
        <v>698</v>
      </c>
      <c r="JC242" s="20" t="s">
        <v>698</v>
      </c>
      <c r="JD242" s="20" t="s">
        <v>725</v>
      </c>
      <c r="JE242" s="20" t="s">
        <v>2238</v>
      </c>
      <c r="JR242" s="20" t="s">
        <v>698</v>
      </c>
      <c r="JS242" s="20" t="s">
        <v>698</v>
      </c>
      <c r="JX242" s="20" t="s">
        <v>894</v>
      </c>
      <c r="JY242" s="20" t="s">
        <v>1080</v>
      </c>
      <c r="RM242" s="20" t="s">
        <v>1080</v>
      </c>
      <c r="RS242" s="20" t="s">
        <v>696</v>
      </c>
      <c r="RV242" s="20" t="s">
        <v>1436</v>
      </c>
      <c r="RW242" s="20" t="s">
        <v>698</v>
      </c>
      <c r="XL242" s="20" t="s">
        <v>730</v>
      </c>
      <c r="XM242" s="20" t="s">
        <v>2269</v>
      </c>
      <c r="XN242" s="20" t="s">
        <v>732</v>
      </c>
      <c r="XO242" s="20" t="s">
        <v>733</v>
      </c>
      <c r="XP242" s="20" t="s">
        <v>2216</v>
      </c>
      <c r="XQ242" s="24">
        <v>43810</v>
      </c>
      <c r="XU242" s="20" t="s">
        <v>730</v>
      </c>
      <c r="XV242" s="20" t="s">
        <v>733</v>
      </c>
      <c r="XW242" s="20" t="s">
        <v>2269</v>
      </c>
      <c r="XX242" s="20" t="s">
        <v>732</v>
      </c>
      <c r="XY242" s="20" t="s">
        <v>2361</v>
      </c>
    </row>
    <row r="243" spans="1:649" ht="13">
      <c r="A243" s="20">
        <v>1739</v>
      </c>
      <c r="B243" s="21">
        <v>43805</v>
      </c>
      <c r="C243" s="20">
        <v>2019</v>
      </c>
      <c r="D243" s="20">
        <v>20190368</v>
      </c>
      <c r="E243" s="20">
        <v>33578</v>
      </c>
      <c r="F243" s="20" t="s">
        <v>825</v>
      </c>
      <c r="G243" s="20">
        <v>32099</v>
      </c>
      <c r="H243" s="20" t="s">
        <v>752</v>
      </c>
      <c r="I243" s="20" t="s">
        <v>692</v>
      </c>
      <c r="J243" s="20" t="s">
        <v>693</v>
      </c>
      <c r="K243" s="20" t="s">
        <v>694</v>
      </c>
      <c r="L243" s="20">
        <v>77002</v>
      </c>
      <c r="M243" s="22">
        <v>43775.885416666664</v>
      </c>
      <c r="P243" s="20">
        <v>27.793365999999999</v>
      </c>
      <c r="Q243" s="20">
        <v>-97.554355000000001</v>
      </c>
      <c r="R243" s="20" t="s">
        <v>773</v>
      </c>
      <c r="S243" s="20" t="s">
        <v>1700</v>
      </c>
      <c r="T243" s="20" t="s">
        <v>1981</v>
      </c>
      <c r="W243" s="20">
        <v>2618</v>
      </c>
      <c r="X243" s="20">
        <v>0</v>
      </c>
      <c r="Y243" s="20">
        <v>0</v>
      </c>
      <c r="Z243" s="20" t="s">
        <v>698</v>
      </c>
      <c r="AF243" s="20">
        <v>0</v>
      </c>
      <c r="AG243" s="20" t="s">
        <v>698</v>
      </c>
      <c r="AM243" s="20">
        <v>0</v>
      </c>
      <c r="AN243" s="20" t="s">
        <v>2050</v>
      </c>
      <c r="AQ243" s="23">
        <v>43775.885416666664</v>
      </c>
      <c r="AR243" s="20" t="s">
        <v>776</v>
      </c>
      <c r="AS243" s="20" t="s">
        <v>702</v>
      </c>
      <c r="AU243" s="20" t="s">
        <v>696</v>
      </c>
      <c r="AW243" s="23">
        <v>43776.583333333336</v>
      </c>
      <c r="AX243" s="23">
        <v>43790.5</v>
      </c>
      <c r="BC243" s="23">
        <v>43776.583333333336</v>
      </c>
      <c r="BE243" s="23">
        <v>43776.603472222225</v>
      </c>
      <c r="BF243" s="20">
        <v>1263380</v>
      </c>
      <c r="BH243" s="20" t="s">
        <v>698</v>
      </c>
      <c r="BM243" s="20" t="s">
        <v>698</v>
      </c>
      <c r="BQ243" s="20" t="s">
        <v>779</v>
      </c>
      <c r="BU243" s="20" t="s">
        <v>798</v>
      </c>
      <c r="CA243" s="20">
        <v>0</v>
      </c>
      <c r="CB243" s="20" t="s">
        <v>2362</v>
      </c>
      <c r="CC243" s="20" t="s">
        <v>2363</v>
      </c>
      <c r="CD243" s="20" t="s">
        <v>694</v>
      </c>
      <c r="CE243" s="20">
        <v>78410</v>
      </c>
      <c r="CF243" s="20" t="s">
        <v>2364</v>
      </c>
      <c r="CG243" s="20" t="s">
        <v>1478</v>
      </c>
      <c r="CH243" s="20" t="s">
        <v>1931</v>
      </c>
      <c r="CI243" s="20" t="s">
        <v>2365</v>
      </c>
      <c r="CJ243" s="20" t="s">
        <v>698</v>
      </c>
      <c r="CK243" s="20" t="s">
        <v>785</v>
      </c>
      <c r="CL243" s="20" t="s">
        <v>741</v>
      </c>
      <c r="CM243" s="20" t="s">
        <v>742</v>
      </c>
      <c r="CO243" s="20">
        <v>24</v>
      </c>
      <c r="CP243" s="20" t="s">
        <v>698</v>
      </c>
      <c r="DM243" s="20" t="s">
        <v>715</v>
      </c>
      <c r="DN243" s="20" t="s">
        <v>744</v>
      </c>
      <c r="DO243" s="20" t="s">
        <v>745</v>
      </c>
      <c r="DQ243" s="20">
        <v>8</v>
      </c>
      <c r="DR243" s="20">
        <v>0.20300000000000001</v>
      </c>
      <c r="DS243" s="20">
        <v>42000</v>
      </c>
      <c r="DT243" s="20" t="s">
        <v>1103</v>
      </c>
      <c r="DU243" s="20" t="s">
        <v>804</v>
      </c>
      <c r="DW243" s="20" t="s">
        <v>728</v>
      </c>
      <c r="DX243" s="20" t="s">
        <v>805</v>
      </c>
      <c r="FK243" s="20">
        <v>1959</v>
      </c>
      <c r="FL243" s="20">
        <v>1959</v>
      </c>
      <c r="FM243" s="20" t="s">
        <v>719</v>
      </c>
      <c r="FO243" s="20" t="s">
        <v>720</v>
      </c>
      <c r="FR243" s="20" t="s">
        <v>749</v>
      </c>
      <c r="FY243" s="20" t="s">
        <v>698</v>
      </c>
      <c r="GC243" s="20" t="s">
        <v>696</v>
      </c>
      <c r="GD243" s="20" t="s">
        <v>698</v>
      </c>
      <c r="GE243" s="20" t="s">
        <v>696</v>
      </c>
      <c r="GH243" s="20" t="s">
        <v>696</v>
      </c>
      <c r="GK243" s="20" t="s">
        <v>698</v>
      </c>
      <c r="GT243" s="20" t="s">
        <v>698</v>
      </c>
      <c r="GU243" s="20" t="s">
        <v>698</v>
      </c>
      <c r="HF243" s="20">
        <v>15000</v>
      </c>
      <c r="HG243" s="20">
        <v>74770</v>
      </c>
      <c r="HH243" s="20">
        <v>420000</v>
      </c>
      <c r="HI243" s="20">
        <v>5000</v>
      </c>
      <c r="HJ243" s="20">
        <v>60000</v>
      </c>
      <c r="HK243" s="20">
        <v>0</v>
      </c>
      <c r="HM243" s="20">
        <v>574770</v>
      </c>
      <c r="HR243" s="20">
        <v>250</v>
      </c>
      <c r="HS243" s="20">
        <v>650</v>
      </c>
      <c r="HY243" s="20" t="s">
        <v>723</v>
      </c>
      <c r="HZ243" s="20" t="s">
        <v>698</v>
      </c>
      <c r="IC243" s="20">
        <v>46200</v>
      </c>
      <c r="ID243" s="20" t="s">
        <v>696</v>
      </c>
      <c r="IL243" s="20" t="s">
        <v>698</v>
      </c>
      <c r="IS243" s="20" t="s">
        <v>724</v>
      </c>
      <c r="IT243" s="20" t="s">
        <v>696</v>
      </c>
      <c r="IU243" s="20" t="s">
        <v>696</v>
      </c>
      <c r="IV243" s="20" t="s">
        <v>696</v>
      </c>
      <c r="IW243" s="20" t="s">
        <v>696</v>
      </c>
      <c r="IX243" s="20" t="s">
        <v>696</v>
      </c>
      <c r="IY243" s="20" t="s">
        <v>696</v>
      </c>
      <c r="IZ243" s="20" t="s">
        <v>696</v>
      </c>
      <c r="JA243" s="20" t="s">
        <v>696</v>
      </c>
      <c r="JB243" s="20" t="s">
        <v>696</v>
      </c>
      <c r="JC243" s="20" t="s">
        <v>696</v>
      </c>
      <c r="JD243" s="20" t="s">
        <v>859</v>
      </c>
      <c r="JG243" s="20" t="s">
        <v>696</v>
      </c>
      <c r="JH243" s="20" t="s">
        <v>2366</v>
      </c>
      <c r="JI243" s="20" t="s">
        <v>696</v>
      </c>
      <c r="JJ243" s="20" t="s">
        <v>696</v>
      </c>
      <c r="JR243" s="20" t="s">
        <v>698</v>
      </c>
      <c r="JS243" s="20" t="s">
        <v>698</v>
      </c>
      <c r="JX243" s="20" t="s">
        <v>833</v>
      </c>
      <c r="JY243" s="20" t="s">
        <v>860</v>
      </c>
      <c r="JZ243" s="20" t="s">
        <v>860</v>
      </c>
      <c r="KA243" s="20" t="s">
        <v>835</v>
      </c>
      <c r="KE243" s="20" t="s">
        <v>696</v>
      </c>
      <c r="KL243" s="20" t="s">
        <v>696</v>
      </c>
      <c r="KP243" s="20" t="s">
        <v>696</v>
      </c>
      <c r="KQ243" s="20" t="s">
        <v>696</v>
      </c>
      <c r="KR243" s="20">
        <v>1959</v>
      </c>
      <c r="KS243" s="20" t="s">
        <v>698</v>
      </c>
      <c r="KT243" s="20" t="s">
        <v>696</v>
      </c>
      <c r="KU243" s="20" t="s">
        <v>696</v>
      </c>
      <c r="KV243" s="20" t="s">
        <v>696</v>
      </c>
      <c r="KX243" s="20">
        <v>2019</v>
      </c>
      <c r="KY243" s="20">
        <v>2019</v>
      </c>
      <c r="LC243" s="20" t="s">
        <v>698</v>
      </c>
      <c r="SC243" s="20" t="s">
        <v>696</v>
      </c>
      <c r="SD243" s="20" t="s">
        <v>696</v>
      </c>
      <c r="SG243" s="20" t="s">
        <v>696</v>
      </c>
      <c r="SK243" s="20">
        <v>2019</v>
      </c>
      <c r="TQ243" s="20">
        <v>2019</v>
      </c>
      <c r="UO243" s="20" t="s">
        <v>698</v>
      </c>
      <c r="UR243" s="20" t="s">
        <v>698</v>
      </c>
      <c r="UZ243" s="20" t="s">
        <v>698</v>
      </c>
      <c r="XL243" s="20" t="s">
        <v>1712</v>
      </c>
      <c r="XM243" s="20" t="s">
        <v>2291</v>
      </c>
      <c r="XN243" s="20" t="s">
        <v>1714</v>
      </c>
      <c r="XO243" s="20" t="s">
        <v>1715</v>
      </c>
      <c r="XQ243" s="24">
        <v>43930</v>
      </c>
      <c r="XU243" s="20" t="s">
        <v>1624</v>
      </c>
      <c r="XV243" s="20" t="s">
        <v>1625</v>
      </c>
      <c r="XW243" s="20" t="s">
        <v>2292</v>
      </c>
      <c r="XX243" s="20" t="s">
        <v>1627</v>
      </c>
      <c r="XY243" s="20" t="s">
        <v>2367</v>
      </c>
    </row>
    <row r="244" spans="1:649" ht="13">
      <c r="A244" s="20">
        <v>1741</v>
      </c>
      <c r="B244" s="21">
        <v>43795</v>
      </c>
      <c r="C244" s="20">
        <v>2019</v>
      </c>
      <c r="D244" s="20">
        <v>20190357</v>
      </c>
      <c r="E244" s="20">
        <v>36219</v>
      </c>
      <c r="F244" s="20" t="s">
        <v>825</v>
      </c>
      <c r="G244" s="20">
        <v>32099</v>
      </c>
      <c r="H244" s="20" t="s">
        <v>752</v>
      </c>
      <c r="I244" s="20" t="s">
        <v>692</v>
      </c>
      <c r="J244" s="20" t="s">
        <v>693</v>
      </c>
      <c r="K244" s="20" t="s">
        <v>694</v>
      </c>
      <c r="L244" s="20">
        <v>77002</v>
      </c>
      <c r="M244" s="22">
        <v>43775.552083333336</v>
      </c>
      <c r="P244" s="20">
        <v>32.752409999999998</v>
      </c>
      <c r="Q244" s="20">
        <v>-100.97514</v>
      </c>
      <c r="R244" s="20" t="s">
        <v>773</v>
      </c>
      <c r="S244" s="20" t="s">
        <v>1098</v>
      </c>
      <c r="W244" s="20">
        <v>0.1</v>
      </c>
      <c r="X244" s="20">
        <v>0</v>
      </c>
      <c r="Y244" s="20">
        <v>0</v>
      </c>
      <c r="Z244" s="20" t="s">
        <v>698</v>
      </c>
      <c r="AF244" s="20">
        <v>0</v>
      </c>
      <c r="AG244" s="20" t="s">
        <v>698</v>
      </c>
      <c r="AM244" s="20">
        <v>0</v>
      </c>
      <c r="AN244" s="20" t="s">
        <v>699</v>
      </c>
      <c r="AP244" s="20" t="s">
        <v>1013</v>
      </c>
      <c r="AQ244" s="23">
        <v>43775.634027777778</v>
      </c>
      <c r="AR244" s="20" t="s">
        <v>776</v>
      </c>
      <c r="AS244" s="20" t="s">
        <v>702</v>
      </c>
      <c r="AU244" s="20" t="s">
        <v>698</v>
      </c>
      <c r="AV244" s="20" t="s">
        <v>2368</v>
      </c>
      <c r="BC244" s="23">
        <v>43775.634027777778</v>
      </c>
      <c r="BE244" s="23">
        <v>43781.634027777778</v>
      </c>
      <c r="BF244" s="20">
        <v>1263760</v>
      </c>
      <c r="BH244" s="20" t="s">
        <v>696</v>
      </c>
      <c r="BM244" s="20" t="s">
        <v>698</v>
      </c>
      <c r="BQ244" s="20" t="s">
        <v>779</v>
      </c>
      <c r="BU244" s="20" t="s">
        <v>779</v>
      </c>
      <c r="CA244" s="20">
        <v>0</v>
      </c>
      <c r="CB244" s="20" t="s">
        <v>2369</v>
      </c>
      <c r="CC244" s="20" t="s">
        <v>2370</v>
      </c>
      <c r="CD244" s="20" t="s">
        <v>694</v>
      </c>
      <c r="CE244" s="20">
        <v>79549</v>
      </c>
      <c r="CF244" s="20" t="s">
        <v>2371</v>
      </c>
      <c r="CG244" s="20" t="s">
        <v>1204</v>
      </c>
      <c r="CH244" s="20" t="s">
        <v>1931</v>
      </c>
      <c r="CI244" s="20" t="s">
        <v>2372</v>
      </c>
      <c r="CJ244" s="20" t="s">
        <v>698</v>
      </c>
      <c r="CK244" s="20" t="s">
        <v>785</v>
      </c>
      <c r="CL244" s="20" t="s">
        <v>741</v>
      </c>
      <c r="CM244" s="20" t="s">
        <v>1541</v>
      </c>
      <c r="CO244" s="20">
        <v>25</v>
      </c>
      <c r="CP244" s="20" t="s">
        <v>698</v>
      </c>
      <c r="DM244" s="20" t="s">
        <v>715</v>
      </c>
      <c r="DN244" s="20" t="s">
        <v>759</v>
      </c>
      <c r="FK244" s="20">
        <v>1956</v>
      </c>
      <c r="FM244" s="20" t="s">
        <v>719</v>
      </c>
      <c r="FO244" s="20" t="s">
        <v>766</v>
      </c>
      <c r="FX244" s="20" t="s">
        <v>2373</v>
      </c>
      <c r="FY244" s="20" t="s">
        <v>698</v>
      </c>
      <c r="GC244" s="20" t="s">
        <v>698</v>
      </c>
      <c r="GD244" s="20" t="s">
        <v>698</v>
      </c>
      <c r="GE244" s="20" t="s">
        <v>698</v>
      </c>
      <c r="GK244" s="20" t="s">
        <v>698</v>
      </c>
      <c r="GT244" s="20" t="s">
        <v>698</v>
      </c>
      <c r="GU244" s="20" t="s">
        <v>698</v>
      </c>
      <c r="HF244" s="20">
        <v>0</v>
      </c>
      <c r="HG244" s="20">
        <v>2</v>
      </c>
      <c r="HH244" s="20">
        <v>0</v>
      </c>
      <c r="HI244" s="20">
        <v>150</v>
      </c>
      <c r="HJ244" s="20">
        <v>0</v>
      </c>
      <c r="HK244" s="20">
        <v>0</v>
      </c>
      <c r="HM244" s="20">
        <v>152</v>
      </c>
      <c r="HR244" s="20">
        <v>0</v>
      </c>
      <c r="HS244" s="20">
        <v>1004</v>
      </c>
      <c r="HY244" s="20" t="s">
        <v>723</v>
      </c>
      <c r="HZ244" s="20" t="s">
        <v>698</v>
      </c>
      <c r="IC244" s="20">
        <v>10</v>
      </c>
      <c r="ID244" s="20" t="s">
        <v>696</v>
      </c>
      <c r="IL244" s="20" t="s">
        <v>698</v>
      </c>
      <c r="IS244" s="20" t="s">
        <v>724</v>
      </c>
      <c r="IT244" s="20" t="s">
        <v>698</v>
      </c>
      <c r="IY244" s="20" t="s">
        <v>698</v>
      </c>
      <c r="JD244" s="20" t="s">
        <v>832</v>
      </c>
      <c r="JR244" s="20" t="s">
        <v>698</v>
      </c>
      <c r="JS244" s="20" t="s">
        <v>698</v>
      </c>
      <c r="JX244" s="20" t="s">
        <v>894</v>
      </c>
      <c r="JY244" s="20" t="s">
        <v>1032</v>
      </c>
      <c r="RM244" s="20" t="s">
        <v>1032</v>
      </c>
      <c r="RP244" s="20" t="s">
        <v>2374</v>
      </c>
      <c r="RT244" s="20" t="s">
        <v>696</v>
      </c>
      <c r="RU244" s="20" t="s">
        <v>2375</v>
      </c>
      <c r="RV244" s="20" t="s">
        <v>1590</v>
      </c>
      <c r="RW244" s="20" t="s">
        <v>696</v>
      </c>
      <c r="RX244" s="20" t="s">
        <v>898</v>
      </c>
      <c r="XL244" s="20" t="s">
        <v>2290</v>
      </c>
      <c r="XM244" s="20" t="s">
        <v>1903</v>
      </c>
      <c r="XN244" s="20" t="s">
        <v>2376</v>
      </c>
      <c r="XO244" s="20" t="s">
        <v>1715</v>
      </c>
      <c r="XQ244" s="24">
        <v>44571</v>
      </c>
      <c r="XU244" s="20" t="s">
        <v>1624</v>
      </c>
      <c r="XV244" s="20">
        <v>9795319036</v>
      </c>
      <c r="XW244" s="20" t="s">
        <v>1626</v>
      </c>
      <c r="XX244" s="20" t="s">
        <v>1627</v>
      </c>
      <c r="XY244" s="20" t="s">
        <v>2377</v>
      </c>
    </row>
    <row r="245" spans="1:649" ht="13">
      <c r="A245" s="20">
        <v>1755</v>
      </c>
      <c r="B245" s="21">
        <v>43796</v>
      </c>
      <c r="C245" s="20">
        <v>2019</v>
      </c>
      <c r="D245" s="20">
        <v>20190361</v>
      </c>
      <c r="E245" s="20">
        <v>33000</v>
      </c>
      <c r="F245" s="20" t="s">
        <v>885</v>
      </c>
      <c r="G245" s="20">
        <v>18718</v>
      </c>
      <c r="H245" s="20" t="s">
        <v>918</v>
      </c>
      <c r="I245" s="20" t="s">
        <v>692</v>
      </c>
      <c r="J245" s="20" t="s">
        <v>693</v>
      </c>
      <c r="K245" s="20" t="s">
        <v>694</v>
      </c>
      <c r="L245" s="20">
        <v>77002</v>
      </c>
      <c r="M245" s="22">
        <v>43766.416666666664</v>
      </c>
      <c r="P245" s="20">
        <v>32.481999999999999</v>
      </c>
      <c r="Q245" s="20">
        <v>-94.839429999999993</v>
      </c>
      <c r="R245" s="20" t="s">
        <v>697</v>
      </c>
      <c r="W245" s="20">
        <v>2</v>
      </c>
      <c r="Y245" s="20">
        <v>2</v>
      </c>
      <c r="Z245" s="20" t="s">
        <v>698</v>
      </c>
      <c r="AF245" s="20">
        <v>0</v>
      </c>
      <c r="AG245" s="20" t="s">
        <v>698</v>
      </c>
      <c r="AM245" s="20">
        <v>0</v>
      </c>
      <c r="AN245" s="20" t="s">
        <v>699</v>
      </c>
      <c r="AP245" s="20" t="s">
        <v>700</v>
      </c>
      <c r="AQ245" s="23">
        <v>43766.416666666664</v>
      </c>
      <c r="AR245" s="20" t="s">
        <v>701</v>
      </c>
      <c r="AS245" s="20" t="s">
        <v>702</v>
      </c>
      <c r="AU245" s="20" t="s">
        <v>698</v>
      </c>
      <c r="AV245" s="20" t="s">
        <v>2378</v>
      </c>
      <c r="BC245" s="23">
        <v>43766.416666666664</v>
      </c>
      <c r="BF245" s="20" t="s">
        <v>754</v>
      </c>
      <c r="BH245" s="20" t="s">
        <v>698</v>
      </c>
      <c r="BM245" s="20" t="s">
        <v>698</v>
      </c>
      <c r="CA245" s="20">
        <v>0</v>
      </c>
      <c r="CB245" s="20" t="s">
        <v>1120</v>
      </c>
      <c r="CC245" s="20" t="s">
        <v>1120</v>
      </c>
      <c r="CD245" s="20" t="s">
        <v>694</v>
      </c>
      <c r="CE245" s="20">
        <v>75604</v>
      </c>
      <c r="CF245" s="20" t="s">
        <v>1122</v>
      </c>
      <c r="CG245" s="20" t="s">
        <v>1123</v>
      </c>
      <c r="CH245" s="20" t="s">
        <v>1931</v>
      </c>
      <c r="CI245" s="20" t="s">
        <v>711</v>
      </c>
      <c r="CJ245" s="20" t="s">
        <v>698</v>
      </c>
      <c r="CK245" s="20" t="s">
        <v>712</v>
      </c>
      <c r="CL245" s="20" t="s">
        <v>741</v>
      </c>
      <c r="CM245" s="20" t="s">
        <v>742</v>
      </c>
      <c r="CO245" s="20">
        <v>108</v>
      </c>
      <c r="CP245" s="20" t="s">
        <v>698</v>
      </c>
      <c r="DM245" s="20" t="s">
        <v>743</v>
      </c>
      <c r="DN245" s="20" t="s">
        <v>744</v>
      </c>
      <c r="DO245" s="20" t="s">
        <v>745</v>
      </c>
      <c r="DQ245" s="20">
        <v>10</v>
      </c>
      <c r="DR245" s="20">
        <v>0.25</v>
      </c>
      <c r="DS245" s="20">
        <v>42000</v>
      </c>
      <c r="DT245" s="20" t="s">
        <v>1641</v>
      </c>
      <c r="DU245" s="20" t="s">
        <v>857</v>
      </c>
      <c r="DW245" s="20" t="s">
        <v>728</v>
      </c>
      <c r="DX245" s="20" t="s">
        <v>748</v>
      </c>
      <c r="FK245" s="20">
        <v>1981</v>
      </c>
      <c r="FL245" s="20">
        <v>1981</v>
      </c>
      <c r="FM245" s="20" t="s">
        <v>719</v>
      </c>
      <c r="FO245" s="20" t="s">
        <v>720</v>
      </c>
      <c r="FR245" s="20" t="s">
        <v>749</v>
      </c>
      <c r="FY245" s="20" t="s">
        <v>698</v>
      </c>
      <c r="GC245" s="20" t="s">
        <v>696</v>
      </c>
      <c r="GD245" s="20" t="s">
        <v>698</v>
      </c>
      <c r="GE245" s="20" t="s">
        <v>696</v>
      </c>
      <c r="GH245" s="20" t="s">
        <v>696</v>
      </c>
      <c r="GK245" s="20" t="s">
        <v>698</v>
      </c>
      <c r="GT245" s="20" t="s">
        <v>698</v>
      </c>
      <c r="GU245" s="20" t="s">
        <v>698</v>
      </c>
      <c r="HF245" s="20">
        <v>0</v>
      </c>
      <c r="HG245" s="20">
        <v>104</v>
      </c>
      <c r="HH245" s="20">
        <v>10000</v>
      </c>
      <c r="HI245" s="20">
        <v>5000</v>
      </c>
      <c r="HJ245" s="20">
        <v>5000</v>
      </c>
      <c r="HK245" s="20">
        <v>0</v>
      </c>
      <c r="HM245" s="20">
        <v>20104</v>
      </c>
      <c r="HR245" s="20">
        <v>15</v>
      </c>
      <c r="HS245" s="20">
        <v>285</v>
      </c>
      <c r="HY245" s="20" t="s">
        <v>723</v>
      </c>
      <c r="HZ245" s="20" t="s">
        <v>698</v>
      </c>
      <c r="IS245" s="20" t="s">
        <v>724</v>
      </c>
      <c r="IT245" s="20" t="s">
        <v>698</v>
      </c>
      <c r="IY245" s="20" t="s">
        <v>698</v>
      </c>
      <c r="JD245" s="20" t="s">
        <v>725</v>
      </c>
      <c r="JE245" s="20" t="s">
        <v>726</v>
      </c>
      <c r="JR245" s="20" t="s">
        <v>698</v>
      </c>
      <c r="JS245" s="20" t="s">
        <v>698</v>
      </c>
      <c r="JX245" s="20" t="s">
        <v>833</v>
      </c>
      <c r="JY245" s="20" t="s">
        <v>860</v>
      </c>
      <c r="JZ245" s="20" t="s">
        <v>860</v>
      </c>
      <c r="KA245" s="20" t="s">
        <v>835</v>
      </c>
      <c r="KC245" s="20" t="s">
        <v>696</v>
      </c>
      <c r="KL245" s="20" t="s">
        <v>696</v>
      </c>
      <c r="KP245" s="20" t="s">
        <v>696</v>
      </c>
      <c r="KQ245" s="20" t="s">
        <v>698</v>
      </c>
      <c r="KS245" s="20" t="s">
        <v>696</v>
      </c>
      <c r="KT245" s="20" t="s">
        <v>698</v>
      </c>
      <c r="LC245" s="20" t="s">
        <v>696</v>
      </c>
      <c r="SC245" s="20" t="s">
        <v>698</v>
      </c>
      <c r="UO245" s="20" t="s">
        <v>698</v>
      </c>
      <c r="UR245" s="20" t="s">
        <v>698</v>
      </c>
      <c r="UZ245" s="20" t="s">
        <v>698</v>
      </c>
      <c r="XL245" s="20" t="s">
        <v>730</v>
      </c>
      <c r="XM245" s="20" t="s">
        <v>2269</v>
      </c>
      <c r="XN245" s="20" t="s">
        <v>732</v>
      </c>
      <c r="XO245" s="20" t="s">
        <v>733</v>
      </c>
      <c r="XP245" s="20" t="s">
        <v>2216</v>
      </c>
      <c r="XQ245" s="24">
        <v>43796</v>
      </c>
      <c r="XU245" s="20" t="s">
        <v>730</v>
      </c>
      <c r="XV245" s="20" t="s">
        <v>733</v>
      </c>
      <c r="XW245" s="20" t="s">
        <v>2269</v>
      </c>
      <c r="XX245" s="20" t="s">
        <v>732</v>
      </c>
      <c r="XY245" s="20" t="s">
        <v>2379</v>
      </c>
    </row>
    <row r="246" spans="1:649" ht="13">
      <c r="A246" s="20">
        <v>1776</v>
      </c>
      <c r="B246" s="21">
        <v>43760</v>
      </c>
      <c r="C246" s="20">
        <v>2019</v>
      </c>
      <c r="D246" s="20">
        <v>20190321</v>
      </c>
      <c r="E246" s="20">
        <v>32860</v>
      </c>
      <c r="F246" s="20" t="s">
        <v>885</v>
      </c>
      <c r="G246" s="20">
        <v>39706</v>
      </c>
      <c r="H246" s="20" t="s">
        <v>1943</v>
      </c>
      <c r="I246" s="20" t="s">
        <v>692</v>
      </c>
      <c r="J246" s="20" t="s">
        <v>693</v>
      </c>
      <c r="K246" s="20" t="s">
        <v>694</v>
      </c>
      <c r="L246" s="20">
        <v>77002</v>
      </c>
      <c r="M246" s="22">
        <v>43740.104166666664</v>
      </c>
      <c r="P246" s="20">
        <v>29.991667</v>
      </c>
      <c r="Q246" s="20">
        <v>-93.991388000000001</v>
      </c>
      <c r="R246" s="20" t="s">
        <v>697</v>
      </c>
      <c r="W246" s="20">
        <v>0.45</v>
      </c>
      <c r="Y246" s="20">
        <v>0.45</v>
      </c>
      <c r="Z246" s="20" t="s">
        <v>698</v>
      </c>
      <c r="AF246" s="20">
        <v>0</v>
      </c>
      <c r="AG246" s="20" t="s">
        <v>698</v>
      </c>
      <c r="AM246" s="20">
        <v>0</v>
      </c>
      <c r="AN246" s="20" t="s">
        <v>699</v>
      </c>
      <c r="AP246" s="20" t="s">
        <v>700</v>
      </c>
      <c r="AQ246" s="23">
        <v>43740.104166666664</v>
      </c>
      <c r="AR246" s="20" t="s">
        <v>736</v>
      </c>
      <c r="AS246" s="20" t="s">
        <v>702</v>
      </c>
      <c r="AU246" s="20" t="s">
        <v>698</v>
      </c>
      <c r="AV246" s="20" t="s">
        <v>2380</v>
      </c>
      <c r="BC246" s="23">
        <v>43740.104166666664</v>
      </c>
      <c r="BF246" s="20" t="s">
        <v>754</v>
      </c>
      <c r="BH246" s="20" t="s">
        <v>698</v>
      </c>
      <c r="BM246" s="20" t="s">
        <v>698</v>
      </c>
      <c r="CA246" s="20">
        <v>0</v>
      </c>
      <c r="CB246" s="20" t="s">
        <v>818</v>
      </c>
      <c r="CC246" s="20" t="s">
        <v>1662</v>
      </c>
      <c r="CD246" s="20" t="s">
        <v>694</v>
      </c>
      <c r="CE246" s="20">
        <v>77627</v>
      </c>
      <c r="CF246" s="20" t="s">
        <v>820</v>
      </c>
      <c r="CG246" s="20" t="s">
        <v>821</v>
      </c>
      <c r="CH246" s="20" t="s">
        <v>710</v>
      </c>
      <c r="CI246" s="20" t="s">
        <v>711</v>
      </c>
      <c r="CJ246" s="20" t="s">
        <v>698</v>
      </c>
      <c r="CK246" s="20" t="s">
        <v>712</v>
      </c>
      <c r="CL246" s="20" t="s">
        <v>713</v>
      </c>
      <c r="CM246" s="20" t="s">
        <v>758</v>
      </c>
      <c r="CP246" s="20" t="s">
        <v>698</v>
      </c>
      <c r="DM246" s="20" t="s">
        <v>743</v>
      </c>
      <c r="DN246" s="20" t="s">
        <v>716</v>
      </c>
      <c r="FK246" s="20">
        <v>2015</v>
      </c>
      <c r="FM246" s="20" t="s">
        <v>719</v>
      </c>
      <c r="FO246" s="20" t="s">
        <v>720</v>
      </c>
      <c r="FR246" s="20" t="s">
        <v>721</v>
      </c>
      <c r="FY246" s="20" t="s">
        <v>698</v>
      </c>
      <c r="GC246" s="20" t="s">
        <v>696</v>
      </c>
      <c r="GD246" s="20" t="s">
        <v>698</v>
      </c>
      <c r="GE246" s="20" t="s">
        <v>698</v>
      </c>
      <c r="GK246" s="20" t="s">
        <v>698</v>
      </c>
      <c r="GT246" s="20" t="s">
        <v>696</v>
      </c>
      <c r="GU246" s="20" t="s">
        <v>696</v>
      </c>
      <c r="GX246" s="20" t="s">
        <v>696</v>
      </c>
      <c r="GY246" s="20" t="s">
        <v>696</v>
      </c>
      <c r="HF246" s="20">
        <v>0</v>
      </c>
      <c r="HG246" s="20">
        <v>30</v>
      </c>
      <c r="HH246" s="20">
        <v>20000</v>
      </c>
      <c r="HI246" s="20">
        <v>1500</v>
      </c>
      <c r="HJ246" s="20">
        <v>500</v>
      </c>
      <c r="HK246" s="20">
        <v>0</v>
      </c>
      <c r="HM246" s="20">
        <v>22030</v>
      </c>
      <c r="HR246" s="20">
        <v>10</v>
      </c>
      <c r="HS246" s="20">
        <v>250</v>
      </c>
      <c r="HY246" s="20" t="s">
        <v>723</v>
      </c>
      <c r="HZ246" s="20" t="s">
        <v>698</v>
      </c>
      <c r="IS246" s="20" t="s">
        <v>724</v>
      </c>
      <c r="IT246" s="20" t="s">
        <v>696</v>
      </c>
      <c r="IU246" s="20" t="s">
        <v>696</v>
      </c>
      <c r="IV246" s="20" t="s">
        <v>696</v>
      </c>
      <c r="IW246" s="20" t="s">
        <v>698</v>
      </c>
      <c r="IX246" s="20" t="s">
        <v>698</v>
      </c>
      <c r="IY246" s="20" t="s">
        <v>698</v>
      </c>
      <c r="JD246" s="20" t="s">
        <v>725</v>
      </c>
      <c r="JE246" s="20" t="s">
        <v>726</v>
      </c>
      <c r="JR246" s="20" t="s">
        <v>698</v>
      </c>
      <c r="JS246" s="20" t="s">
        <v>698</v>
      </c>
      <c r="JX246" s="20" t="s">
        <v>789</v>
      </c>
      <c r="JY246" s="20" t="s">
        <v>1251</v>
      </c>
      <c r="QB246" s="20" t="s">
        <v>1251</v>
      </c>
      <c r="QO246" s="20" t="s">
        <v>1252</v>
      </c>
      <c r="RH246" s="20" t="s">
        <v>696</v>
      </c>
      <c r="XL246" s="20" t="s">
        <v>730</v>
      </c>
      <c r="XM246" s="20" t="s">
        <v>2269</v>
      </c>
      <c r="XN246" s="20" t="s">
        <v>732</v>
      </c>
      <c r="XO246" s="20" t="s">
        <v>733</v>
      </c>
      <c r="XP246" s="20" t="s">
        <v>2216</v>
      </c>
      <c r="XQ246" s="24">
        <v>43760</v>
      </c>
      <c r="XU246" s="20" t="s">
        <v>730</v>
      </c>
      <c r="XV246" s="20" t="s">
        <v>733</v>
      </c>
      <c r="XW246" s="20" t="s">
        <v>2269</v>
      </c>
      <c r="XX246" s="20" t="s">
        <v>732</v>
      </c>
      <c r="XY246" s="20" t="s">
        <v>2381</v>
      </c>
    </row>
    <row r="247" spans="1:649" ht="13">
      <c r="A247" s="20">
        <v>1802</v>
      </c>
      <c r="B247" s="21">
        <v>43745</v>
      </c>
      <c r="C247" s="20">
        <v>2019</v>
      </c>
      <c r="D247" s="20">
        <v>20190305</v>
      </c>
      <c r="E247" s="20">
        <v>32785</v>
      </c>
      <c r="F247" s="20" t="s">
        <v>885</v>
      </c>
      <c r="G247" s="20">
        <v>39706</v>
      </c>
      <c r="H247" s="20" t="s">
        <v>1943</v>
      </c>
      <c r="I247" s="20" t="s">
        <v>692</v>
      </c>
      <c r="J247" s="20" t="s">
        <v>693</v>
      </c>
      <c r="K247" s="20" t="s">
        <v>694</v>
      </c>
      <c r="L247" s="20">
        <v>77002</v>
      </c>
      <c r="M247" s="22">
        <v>43715.729166666664</v>
      </c>
      <c r="P247" s="20">
        <v>29.997983999999999</v>
      </c>
      <c r="Q247" s="20">
        <v>-93.990190999999996</v>
      </c>
      <c r="R247" s="20" t="s">
        <v>697</v>
      </c>
      <c r="W247" s="20">
        <v>2</v>
      </c>
      <c r="Y247" s="20">
        <v>2</v>
      </c>
      <c r="Z247" s="20" t="s">
        <v>698</v>
      </c>
      <c r="AF247" s="20">
        <v>0</v>
      </c>
      <c r="AG247" s="20" t="s">
        <v>698</v>
      </c>
      <c r="AM247" s="20">
        <v>0</v>
      </c>
      <c r="AN247" s="20" t="s">
        <v>699</v>
      </c>
      <c r="AP247" s="20" t="s">
        <v>700</v>
      </c>
      <c r="AQ247" s="23">
        <v>43715.729166666664</v>
      </c>
      <c r="AR247" s="20" t="s">
        <v>701</v>
      </c>
      <c r="AS247" s="20" t="s">
        <v>702</v>
      </c>
      <c r="AU247" s="20" t="s">
        <v>698</v>
      </c>
      <c r="AV247" s="20" t="s">
        <v>2382</v>
      </c>
      <c r="BC247" s="23">
        <v>43715.729166666664</v>
      </c>
      <c r="BF247" s="20" t="s">
        <v>754</v>
      </c>
      <c r="BH247" s="20" t="s">
        <v>698</v>
      </c>
      <c r="BM247" s="20" t="s">
        <v>698</v>
      </c>
      <c r="CA247" s="20">
        <v>0</v>
      </c>
      <c r="CB247" s="20" t="s">
        <v>818</v>
      </c>
      <c r="CC247" s="20" t="s">
        <v>1440</v>
      </c>
      <c r="CD247" s="20" t="s">
        <v>694</v>
      </c>
      <c r="CE247" s="20">
        <v>77627</v>
      </c>
      <c r="CF247" s="20" t="s">
        <v>820</v>
      </c>
      <c r="CG247" s="20" t="s">
        <v>821</v>
      </c>
      <c r="CH247" s="20" t="s">
        <v>710</v>
      </c>
      <c r="CI247" s="20" t="s">
        <v>711</v>
      </c>
      <c r="CJ247" s="20" t="s">
        <v>698</v>
      </c>
      <c r="CK247" s="20" t="s">
        <v>712</v>
      </c>
      <c r="CL247" s="20" t="s">
        <v>713</v>
      </c>
      <c r="CM247" s="20" t="s">
        <v>766</v>
      </c>
      <c r="CN247" s="20" t="s">
        <v>716</v>
      </c>
      <c r="CP247" s="20" t="s">
        <v>698</v>
      </c>
      <c r="DM247" s="20" t="s">
        <v>743</v>
      </c>
      <c r="DN247" s="20" t="s">
        <v>716</v>
      </c>
      <c r="FK247" s="20">
        <v>2017</v>
      </c>
      <c r="FM247" s="20" t="s">
        <v>719</v>
      </c>
      <c r="FO247" s="20" t="s">
        <v>720</v>
      </c>
      <c r="FR247" s="20" t="s">
        <v>721</v>
      </c>
      <c r="FY247" s="20" t="s">
        <v>698</v>
      </c>
      <c r="GC247" s="20" t="s">
        <v>696</v>
      </c>
      <c r="GD247" s="20" t="s">
        <v>698</v>
      </c>
      <c r="GE247" s="20" t="s">
        <v>698</v>
      </c>
      <c r="GK247" s="20" t="s">
        <v>698</v>
      </c>
      <c r="GT247" s="20" t="s">
        <v>696</v>
      </c>
      <c r="GU247" s="20" t="s">
        <v>696</v>
      </c>
      <c r="GX247" s="20" t="s">
        <v>696</v>
      </c>
      <c r="GY247" s="20" t="s">
        <v>696</v>
      </c>
      <c r="HF247" s="20">
        <v>0</v>
      </c>
      <c r="HG247" s="20">
        <v>120</v>
      </c>
      <c r="HH247" s="20">
        <v>5000</v>
      </c>
      <c r="HI247" s="20">
        <v>1500</v>
      </c>
      <c r="HJ247" s="20">
        <v>0</v>
      </c>
      <c r="HK247" s="20">
        <v>0</v>
      </c>
      <c r="HM247" s="20">
        <v>6620</v>
      </c>
      <c r="HR247" s="20">
        <v>80</v>
      </c>
      <c r="HS247" s="20">
        <v>250</v>
      </c>
      <c r="HY247" s="20" t="s">
        <v>723</v>
      </c>
      <c r="HZ247" s="20" t="s">
        <v>698</v>
      </c>
      <c r="IS247" s="20" t="s">
        <v>724</v>
      </c>
      <c r="IT247" s="20" t="s">
        <v>696</v>
      </c>
      <c r="IU247" s="20" t="s">
        <v>696</v>
      </c>
      <c r="IV247" s="20" t="s">
        <v>696</v>
      </c>
      <c r="IW247" s="20" t="s">
        <v>698</v>
      </c>
      <c r="IX247" s="20" t="s">
        <v>698</v>
      </c>
      <c r="IY247" s="20" t="s">
        <v>698</v>
      </c>
      <c r="JD247" s="20" t="s">
        <v>725</v>
      </c>
      <c r="JE247" s="20" t="s">
        <v>726</v>
      </c>
      <c r="JR247" s="20" t="s">
        <v>698</v>
      </c>
      <c r="JS247" s="20" t="s">
        <v>698</v>
      </c>
      <c r="JX247" s="20" t="s">
        <v>789</v>
      </c>
      <c r="JY247" s="20" t="s">
        <v>1251</v>
      </c>
      <c r="QB247" s="20" t="s">
        <v>1251</v>
      </c>
      <c r="QO247" s="20" t="s">
        <v>1252</v>
      </c>
      <c r="RK247" s="20" t="s">
        <v>696</v>
      </c>
      <c r="RL247" s="20" t="s">
        <v>1554</v>
      </c>
      <c r="XL247" s="20" t="s">
        <v>730</v>
      </c>
      <c r="XM247" s="20" t="s">
        <v>2269</v>
      </c>
      <c r="XN247" s="20" t="s">
        <v>732</v>
      </c>
      <c r="XO247" s="20" t="s">
        <v>733</v>
      </c>
      <c r="XP247" s="20" t="s">
        <v>2216</v>
      </c>
      <c r="XQ247" s="24">
        <v>43745</v>
      </c>
      <c r="XU247" s="20" t="s">
        <v>730</v>
      </c>
      <c r="XV247" s="20" t="s">
        <v>733</v>
      </c>
      <c r="XW247" s="20" t="s">
        <v>2269</v>
      </c>
      <c r="XX247" s="20" t="s">
        <v>732</v>
      </c>
      <c r="XY247" s="20" t="s">
        <v>2383</v>
      </c>
    </row>
    <row r="248" spans="1:649" ht="13">
      <c r="A248" s="20">
        <v>1804</v>
      </c>
      <c r="B248" s="21">
        <v>43733</v>
      </c>
      <c r="C248" s="20">
        <v>2019</v>
      </c>
      <c r="D248" s="20">
        <v>20190299</v>
      </c>
      <c r="E248" s="20">
        <v>32751</v>
      </c>
      <c r="F248" s="20" t="s">
        <v>885</v>
      </c>
      <c r="G248" s="20">
        <v>18718</v>
      </c>
      <c r="H248" s="20" t="s">
        <v>918</v>
      </c>
      <c r="I248" s="20" t="s">
        <v>692</v>
      </c>
      <c r="J248" s="20" t="s">
        <v>693</v>
      </c>
      <c r="K248" s="20" t="s">
        <v>694</v>
      </c>
      <c r="L248" s="20">
        <v>77002</v>
      </c>
      <c r="M248" s="22">
        <v>43709.364583333336</v>
      </c>
      <c r="P248" s="20">
        <v>30.140540000000001</v>
      </c>
      <c r="Q248" s="20">
        <v>-94.399029999999996</v>
      </c>
      <c r="R248" s="20" t="s">
        <v>697</v>
      </c>
      <c r="W248" s="20">
        <v>3</v>
      </c>
      <c r="Y248" s="20">
        <v>3</v>
      </c>
      <c r="Z248" s="20" t="s">
        <v>698</v>
      </c>
      <c r="AF248" s="20">
        <v>0</v>
      </c>
      <c r="AG248" s="20" t="s">
        <v>698</v>
      </c>
      <c r="AM248" s="20">
        <v>0</v>
      </c>
      <c r="AN248" s="20" t="s">
        <v>699</v>
      </c>
      <c r="AP248" s="20" t="s">
        <v>700</v>
      </c>
      <c r="AQ248" s="23">
        <v>43709.364583333336</v>
      </c>
      <c r="AR248" s="20" t="s">
        <v>701</v>
      </c>
      <c r="AS248" s="20" t="s">
        <v>702</v>
      </c>
      <c r="AU248" s="20" t="s">
        <v>696</v>
      </c>
      <c r="AW248" s="23">
        <v>43709.364583333336</v>
      </c>
      <c r="AX248" s="23">
        <v>43710.447916666664</v>
      </c>
      <c r="BC248" s="23">
        <v>43709.364583333336</v>
      </c>
      <c r="BF248" s="20" t="s">
        <v>754</v>
      </c>
      <c r="BH248" s="20" t="s">
        <v>698</v>
      </c>
      <c r="BM248" s="20" t="s">
        <v>698</v>
      </c>
      <c r="CA248" s="20">
        <v>0</v>
      </c>
      <c r="CB248" s="20" t="s">
        <v>1036</v>
      </c>
      <c r="CC248" s="20" t="s">
        <v>2384</v>
      </c>
      <c r="CD248" s="20" t="s">
        <v>694</v>
      </c>
      <c r="CE248" s="20">
        <v>77659</v>
      </c>
      <c r="CF248" s="20" t="s">
        <v>1038</v>
      </c>
      <c r="CG248" s="20" t="s">
        <v>1039</v>
      </c>
      <c r="CH248" s="20" t="s">
        <v>710</v>
      </c>
      <c r="CI248" s="20" t="s">
        <v>2244</v>
      </c>
      <c r="CJ248" s="20" t="s">
        <v>698</v>
      </c>
      <c r="CK248" s="20" t="s">
        <v>712</v>
      </c>
      <c r="CL248" s="20" t="s">
        <v>741</v>
      </c>
      <c r="CM248" s="20" t="s">
        <v>742</v>
      </c>
      <c r="CO248" s="20">
        <v>96</v>
      </c>
      <c r="CP248" s="20" t="s">
        <v>698</v>
      </c>
      <c r="DM248" s="20" t="s">
        <v>715</v>
      </c>
      <c r="DN248" s="20" t="s">
        <v>744</v>
      </c>
      <c r="DO248" s="20" t="s">
        <v>745</v>
      </c>
      <c r="DQ248" s="20">
        <v>10.75</v>
      </c>
      <c r="DR248" s="20">
        <v>0.307</v>
      </c>
      <c r="DS248" s="20">
        <v>35000</v>
      </c>
      <c r="DT248" s="20" t="s">
        <v>1024</v>
      </c>
      <c r="DU248" s="20" t="s">
        <v>804</v>
      </c>
      <c r="DW248" s="20" t="s">
        <v>728</v>
      </c>
      <c r="DX248" s="20" t="s">
        <v>928</v>
      </c>
      <c r="FK248" s="20">
        <v>1931</v>
      </c>
      <c r="FL248" s="20">
        <v>1931</v>
      </c>
      <c r="FM248" s="20" t="s">
        <v>719</v>
      </c>
      <c r="FO248" s="20" t="s">
        <v>720</v>
      </c>
      <c r="FR248" s="20" t="s">
        <v>749</v>
      </c>
      <c r="FY248" s="20" t="s">
        <v>698</v>
      </c>
      <c r="GC248" s="20" t="s">
        <v>696</v>
      </c>
      <c r="GD248" s="20" t="s">
        <v>698</v>
      </c>
      <c r="GE248" s="20" t="s">
        <v>696</v>
      </c>
      <c r="GH248" s="20" t="s">
        <v>696</v>
      </c>
      <c r="GK248" s="20" t="s">
        <v>698</v>
      </c>
      <c r="GT248" s="20" t="s">
        <v>696</v>
      </c>
      <c r="GU248" s="20" t="s">
        <v>696</v>
      </c>
      <c r="GZ248" s="20" t="s">
        <v>696</v>
      </c>
      <c r="HA248" s="20" t="s">
        <v>696</v>
      </c>
      <c r="HF248" s="20">
        <v>0</v>
      </c>
      <c r="HG248" s="20">
        <v>175</v>
      </c>
      <c r="HH248" s="20">
        <v>4000</v>
      </c>
      <c r="HI248" s="20">
        <v>25000</v>
      </c>
      <c r="HJ248" s="20">
        <v>6000</v>
      </c>
      <c r="HK248" s="20">
        <v>0</v>
      </c>
      <c r="HM248" s="20">
        <v>35175</v>
      </c>
      <c r="HR248" s="20">
        <v>145</v>
      </c>
      <c r="HS248" s="20">
        <v>1067</v>
      </c>
      <c r="HY248" s="20" t="s">
        <v>723</v>
      </c>
      <c r="HZ248" s="20" t="s">
        <v>698</v>
      </c>
      <c r="IS248" s="20" t="s">
        <v>724</v>
      </c>
      <c r="IT248" s="20" t="s">
        <v>696</v>
      </c>
      <c r="IU248" s="20" t="s">
        <v>696</v>
      </c>
      <c r="IV248" s="20" t="s">
        <v>696</v>
      </c>
      <c r="IW248" s="20" t="s">
        <v>698</v>
      </c>
      <c r="IX248" s="20" t="s">
        <v>698</v>
      </c>
      <c r="IY248" s="20" t="s">
        <v>696</v>
      </c>
      <c r="IZ248" s="20" t="s">
        <v>696</v>
      </c>
      <c r="JA248" s="20" t="s">
        <v>696</v>
      </c>
      <c r="JB248" s="20" t="s">
        <v>698</v>
      </c>
      <c r="JC248" s="20" t="s">
        <v>698</v>
      </c>
      <c r="JD248" s="20" t="s">
        <v>725</v>
      </c>
      <c r="JE248" s="20" t="s">
        <v>726</v>
      </c>
      <c r="JR248" s="20" t="s">
        <v>698</v>
      </c>
      <c r="JS248" s="20" t="s">
        <v>698</v>
      </c>
      <c r="JX248" s="20" t="s">
        <v>833</v>
      </c>
      <c r="JY248" s="20" t="s">
        <v>834</v>
      </c>
      <c r="JZ248" s="20" t="s">
        <v>834</v>
      </c>
      <c r="LD248" s="20" t="s">
        <v>1442</v>
      </c>
      <c r="LH248" s="20" t="s">
        <v>696</v>
      </c>
      <c r="LL248" s="20" t="s">
        <v>696</v>
      </c>
      <c r="LP248" s="20" t="s">
        <v>696</v>
      </c>
      <c r="LU248" s="20" t="s">
        <v>696</v>
      </c>
      <c r="LV248" s="20" t="s">
        <v>698</v>
      </c>
      <c r="LW248" s="20" t="s">
        <v>838</v>
      </c>
      <c r="LX248" s="20" t="s">
        <v>838</v>
      </c>
      <c r="SC248" s="20" t="s">
        <v>698</v>
      </c>
      <c r="UO248" s="20" t="s">
        <v>698</v>
      </c>
      <c r="UR248" s="20" t="s">
        <v>698</v>
      </c>
      <c r="UZ248" s="20" t="s">
        <v>698</v>
      </c>
      <c r="XL248" s="20" t="s">
        <v>730</v>
      </c>
      <c r="XM248" s="20" t="s">
        <v>2269</v>
      </c>
      <c r="XN248" s="20" t="s">
        <v>732</v>
      </c>
      <c r="XO248" s="20" t="s">
        <v>733</v>
      </c>
      <c r="XP248" s="20" t="s">
        <v>2216</v>
      </c>
      <c r="XQ248" s="24">
        <v>43733</v>
      </c>
      <c r="XU248" s="20" t="s">
        <v>730</v>
      </c>
      <c r="XV248" s="20" t="s">
        <v>733</v>
      </c>
      <c r="XW248" s="20" t="s">
        <v>2269</v>
      </c>
      <c r="XX248" s="20" t="s">
        <v>732</v>
      </c>
      <c r="XY248" s="20" t="s">
        <v>2385</v>
      </c>
    </row>
    <row r="249" spans="1:649" ht="13">
      <c r="A249" s="20">
        <v>1825</v>
      </c>
      <c r="B249" s="21">
        <v>43706</v>
      </c>
      <c r="C249" s="20">
        <v>2019</v>
      </c>
      <c r="D249" s="20">
        <v>20190274</v>
      </c>
      <c r="E249" s="20">
        <v>33186</v>
      </c>
      <c r="F249" s="20" t="s">
        <v>840</v>
      </c>
      <c r="G249" s="20">
        <v>22830</v>
      </c>
      <c r="H249" s="20" t="s">
        <v>973</v>
      </c>
      <c r="I249" s="20" t="s">
        <v>974</v>
      </c>
      <c r="J249" s="20" t="s">
        <v>975</v>
      </c>
      <c r="K249" s="20" t="s">
        <v>976</v>
      </c>
      <c r="L249" s="20" t="s">
        <v>977</v>
      </c>
      <c r="M249" s="22">
        <v>43683.268750000003</v>
      </c>
      <c r="P249" s="20">
        <v>41.420326000000003</v>
      </c>
      <c r="Q249" s="20">
        <v>-88.173177999999993</v>
      </c>
      <c r="R249" s="20" t="s">
        <v>844</v>
      </c>
      <c r="S249" s="20" t="s">
        <v>936</v>
      </c>
      <c r="W249" s="20">
        <v>0.35</v>
      </c>
      <c r="Y249" s="20">
        <v>0.35</v>
      </c>
      <c r="Z249" s="20" t="s">
        <v>698</v>
      </c>
      <c r="AF249" s="20">
        <v>0</v>
      </c>
      <c r="AG249" s="20" t="s">
        <v>698</v>
      </c>
      <c r="AM249" s="20">
        <v>0</v>
      </c>
      <c r="AN249" s="20" t="s">
        <v>699</v>
      </c>
      <c r="AP249" s="20" t="s">
        <v>700</v>
      </c>
      <c r="AQ249" s="23">
        <v>43683.268750000003</v>
      </c>
      <c r="AR249" s="20" t="s">
        <v>701</v>
      </c>
      <c r="AS249" s="20" t="s">
        <v>702</v>
      </c>
      <c r="AU249" s="20" t="s">
        <v>696</v>
      </c>
      <c r="AW249" s="23">
        <v>43683.268750000003</v>
      </c>
      <c r="AX249" s="23">
        <v>43683.655555555553</v>
      </c>
      <c r="BC249" s="23">
        <v>43683.268750000003</v>
      </c>
      <c r="BF249" s="20" t="s">
        <v>754</v>
      </c>
      <c r="BH249" s="20" t="s">
        <v>698</v>
      </c>
      <c r="BM249" s="20" t="s">
        <v>698</v>
      </c>
      <c r="CA249" s="20">
        <v>0</v>
      </c>
      <c r="CB249" s="20" t="s">
        <v>2386</v>
      </c>
      <c r="CC249" s="20" t="s">
        <v>2387</v>
      </c>
      <c r="CD249" s="20" t="s">
        <v>1366</v>
      </c>
      <c r="CE249" s="20">
        <v>60436</v>
      </c>
      <c r="CF249" s="20" t="s">
        <v>2388</v>
      </c>
      <c r="CG249" s="20" t="s">
        <v>2389</v>
      </c>
      <c r="CH249" s="20" t="s">
        <v>1931</v>
      </c>
      <c r="CI249" s="20" t="s">
        <v>2390</v>
      </c>
      <c r="CJ249" s="20" t="s">
        <v>698</v>
      </c>
      <c r="CK249" s="20" t="s">
        <v>712</v>
      </c>
      <c r="CL249" s="20" t="s">
        <v>713</v>
      </c>
      <c r="CM249" s="20" t="s">
        <v>758</v>
      </c>
      <c r="CP249" s="20" t="s">
        <v>698</v>
      </c>
      <c r="DM249" s="20" t="s">
        <v>743</v>
      </c>
      <c r="DN249" s="20" t="s">
        <v>829</v>
      </c>
      <c r="EM249" s="20" t="s">
        <v>830</v>
      </c>
      <c r="FK249" s="20">
        <v>2014</v>
      </c>
      <c r="FM249" s="20" t="s">
        <v>962</v>
      </c>
      <c r="FN249" s="20" t="s">
        <v>1171</v>
      </c>
      <c r="FO249" s="20" t="s">
        <v>766</v>
      </c>
      <c r="FX249" s="20" t="s">
        <v>2391</v>
      </c>
      <c r="FY249" s="20" t="s">
        <v>698</v>
      </c>
      <c r="GC249" s="20" t="s">
        <v>696</v>
      </c>
      <c r="GD249" s="20" t="s">
        <v>698</v>
      </c>
      <c r="GE249" s="20" t="s">
        <v>696</v>
      </c>
      <c r="GH249" s="20" t="s">
        <v>696</v>
      </c>
      <c r="GK249" s="20" t="s">
        <v>698</v>
      </c>
      <c r="GT249" s="20" t="s">
        <v>696</v>
      </c>
      <c r="GU249" s="20" t="s">
        <v>696</v>
      </c>
      <c r="GX249" s="20" t="s">
        <v>696</v>
      </c>
      <c r="GY249" s="20" t="s">
        <v>696</v>
      </c>
      <c r="GZ249" s="20" t="s">
        <v>696</v>
      </c>
      <c r="HA249" s="20" t="s">
        <v>696</v>
      </c>
      <c r="HD249" s="20" t="s">
        <v>696</v>
      </c>
      <c r="HE249" s="20" t="s">
        <v>696</v>
      </c>
      <c r="HF249" s="20">
        <v>0</v>
      </c>
      <c r="HG249" s="20">
        <v>42</v>
      </c>
      <c r="HH249" s="20">
        <v>200</v>
      </c>
      <c r="HI249" s="20">
        <v>2500</v>
      </c>
      <c r="HJ249" s="20">
        <v>2880</v>
      </c>
      <c r="HK249" s="20">
        <v>0</v>
      </c>
      <c r="HM249" s="20">
        <v>5622</v>
      </c>
      <c r="HR249" s="20">
        <v>440</v>
      </c>
      <c r="HS249" s="20">
        <v>1431</v>
      </c>
      <c r="HY249" s="20" t="s">
        <v>723</v>
      </c>
      <c r="HZ249" s="20" t="s">
        <v>698</v>
      </c>
      <c r="IS249" s="20" t="s">
        <v>724</v>
      </c>
      <c r="IT249" s="20" t="s">
        <v>696</v>
      </c>
      <c r="IU249" s="20" t="s">
        <v>696</v>
      </c>
      <c r="IV249" s="20" t="s">
        <v>696</v>
      </c>
      <c r="IW249" s="20" t="s">
        <v>698</v>
      </c>
      <c r="IX249" s="20" t="s">
        <v>698</v>
      </c>
      <c r="IY249" s="20" t="s">
        <v>698</v>
      </c>
      <c r="JD249" s="20" t="s">
        <v>725</v>
      </c>
      <c r="JE249" s="20" t="s">
        <v>2392</v>
      </c>
      <c r="JR249" s="20" t="s">
        <v>698</v>
      </c>
      <c r="JS249" s="20" t="s">
        <v>698</v>
      </c>
      <c r="JX249" s="20" t="s">
        <v>789</v>
      </c>
      <c r="JY249" s="20" t="s">
        <v>790</v>
      </c>
      <c r="QB249" s="20" t="s">
        <v>790</v>
      </c>
      <c r="QM249" s="20" t="s">
        <v>696</v>
      </c>
      <c r="QN249" s="20" t="s">
        <v>2393</v>
      </c>
      <c r="QW249" s="20" t="s">
        <v>696</v>
      </c>
      <c r="RI249" s="20" t="s">
        <v>696</v>
      </c>
      <c r="RK249" s="20" t="s">
        <v>696</v>
      </c>
      <c r="RL249" s="20" t="s">
        <v>2394</v>
      </c>
      <c r="XL249" s="20" t="s">
        <v>2395</v>
      </c>
      <c r="XM249" s="20" t="s">
        <v>2396</v>
      </c>
      <c r="XN249" s="20" t="s">
        <v>2397</v>
      </c>
      <c r="XO249" s="20" t="s">
        <v>2398</v>
      </c>
      <c r="XP249" s="20" t="s">
        <v>2399</v>
      </c>
      <c r="XQ249" s="24">
        <v>43844</v>
      </c>
      <c r="XU249" s="20" t="s">
        <v>2400</v>
      </c>
      <c r="XV249" s="20" t="s">
        <v>2398</v>
      </c>
      <c r="XW249" s="20" t="s">
        <v>1004</v>
      </c>
      <c r="XX249" s="20" t="s">
        <v>2401</v>
      </c>
      <c r="XY249" s="20" t="s">
        <v>2402</v>
      </c>
    </row>
    <row r="250" spans="1:649" ht="13">
      <c r="A250" s="20">
        <v>1846</v>
      </c>
      <c r="B250" s="21">
        <v>43692</v>
      </c>
      <c r="C250" s="20">
        <v>2019</v>
      </c>
      <c r="D250" s="20">
        <v>20190255</v>
      </c>
      <c r="E250" s="20">
        <v>32810</v>
      </c>
      <c r="F250" s="20" t="s">
        <v>825</v>
      </c>
      <c r="G250" s="20">
        <v>39706</v>
      </c>
      <c r="H250" s="20" t="s">
        <v>1943</v>
      </c>
      <c r="I250" s="20" t="s">
        <v>692</v>
      </c>
      <c r="J250" s="20" t="s">
        <v>693</v>
      </c>
      <c r="K250" s="20" t="s">
        <v>694</v>
      </c>
      <c r="L250" s="20">
        <v>77002</v>
      </c>
      <c r="M250" s="22">
        <v>43662.927083333336</v>
      </c>
      <c r="P250" s="20">
        <v>29.991667</v>
      </c>
      <c r="Q250" s="20">
        <v>-93.991388000000001</v>
      </c>
      <c r="R250" s="20" t="s">
        <v>697</v>
      </c>
      <c r="W250" s="20">
        <v>4</v>
      </c>
      <c r="Y250" s="20">
        <v>4</v>
      </c>
      <c r="Z250" s="20" t="s">
        <v>698</v>
      </c>
      <c r="AF250" s="20">
        <v>0</v>
      </c>
      <c r="AG250" s="20" t="s">
        <v>698</v>
      </c>
      <c r="AM250" s="20">
        <v>0</v>
      </c>
      <c r="AN250" s="20" t="s">
        <v>699</v>
      </c>
      <c r="AP250" s="20" t="s">
        <v>700</v>
      </c>
      <c r="AQ250" s="23">
        <v>43662.927083333336</v>
      </c>
      <c r="AR250" s="20" t="s">
        <v>736</v>
      </c>
      <c r="AS250" s="20" t="s">
        <v>702</v>
      </c>
      <c r="AU250" s="20" t="s">
        <v>696</v>
      </c>
      <c r="AW250" s="23">
        <v>43662.927083333336</v>
      </c>
      <c r="AX250" s="23">
        <v>43663.027777777781</v>
      </c>
      <c r="BC250" s="23">
        <v>43662.927083333336</v>
      </c>
      <c r="BF250" s="20" t="s">
        <v>754</v>
      </c>
      <c r="BH250" s="20" t="s">
        <v>698</v>
      </c>
      <c r="BM250" s="20" t="s">
        <v>698</v>
      </c>
      <c r="CA250" s="20">
        <v>0</v>
      </c>
      <c r="CB250" s="20" t="s">
        <v>818</v>
      </c>
      <c r="CC250" s="20" t="s">
        <v>1440</v>
      </c>
      <c r="CD250" s="20" t="s">
        <v>694</v>
      </c>
      <c r="CE250" s="20">
        <v>77627</v>
      </c>
      <c r="CF250" s="20" t="s">
        <v>820</v>
      </c>
      <c r="CG250" s="20" t="s">
        <v>821</v>
      </c>
      <c r="CH250" s="20" t="s">
        <v>710</v>
      </c>
      <c r="CI250" s="20" t="s">
        <v>711</v>
      </c>
      <c r="CJ250" s="20" t="s">
        <v>698</v>
      </c>
      <c r="CK250" s="20" t="s">
        <v>712</v>
      </c>
      <c r="CL250" s="20" t="s">
        <v>713</v>
      </c>
      <c r="CM250" s="20" t="s">
        <v>758</v>
      </c>
      <c r="CP250" s="20" t="s">
        <v>698</v>
      </c>
      <c r="DM250" s="20" t="s">
        <v>743</v>
      </c>
      <c r="DN250" s="20" t="s">
        <v>892</v>
      </c>
      <c r="FK250" s="20" t="s">
        <v>728</v>
      </c>
      <c r="FM250" s="20" t="s">
        <v>719</v>
      </c>
      <c r="FO250" s="20" t="s">
        <v>893</v>
      </c>
      <c r="FY250" s="20" t="s">
        <v>698</v>
      </c>
      <c r="GC250" s="20" t="s">
        <v>698</v>
      </c>
      <c r="GD250" s="20" t="s">
        <v>698</v>
      </c>
      <c r="GE250" s="20" t="s">
        <v>696</v>
      </c>
      <c r="GH250" s="20" t="s">
        <v>696</v>
      </c>
      <c r="GK250" s="20" t="s">
        <v>698</v>
      </c>
      <c r="GT250" s="20" t="s">
        <v>696</v>
      </c>
      <c r="GU250" s="20" t="s">
        <v>696</v>
      </c>
      <c r="GX250" s="20" t="s">
        <v>696</v>
      </c>
      <c r="GY250" s="20" t="s">
        <v>696</v>
      </c>
      <c r="HF250" s="20">
        <v>0</v>
      </c>
      <c r="HG250" s="20">
        <v>200</v>
      </c>
      <c r="HH250" s="20">
        <v>6500</v>
      </c>
      <c r="HI250" s="20">
        <v>9600</v>
      </c>
      <c r="HJ250" s="20">
        <v>2500</v>
      </c>
      <c r="HK250" s="20">
        <v>0</v>
      </c>
      <c r="HM250" s="20">
        <v>18800</v>
      </c>
      <c r="HR250" s="20">
        <v>316</v>
      </c>
      <c r="HS250" s="20">
        <v>250</v>
      </c>
      <c r="HY250" s="20" t="s">
        <v>760</v>
      </c>
      <c r="HZ250" s="20" t="s">
        <v>698</v>
      </c>
      <c r="IS250" s="20" t="s">
        <v>724</v>
      </c>
      <c r="IT250" s="20" t="s">
        <v>696</v>
      </c>
      <c r="IU250" s="20" t="s">
        <v>696</v>
      </c>
      <c r="IV250" s="20" t="s">
        <v>696</v>
      </c>
      <c r="IW250" s="20" t="s">
        <v>696</v>
      </c>
      <c r="IX250" s="20" t="s">
        <v>698</v>
      </c>
      <c r="IY250" s="20" t="s">
        <v>698</v>
      </c>
      <c r="JD250" s="20" t="s">
        <v>725</v>
      </c>
      <c r="JE250" s="20" t="s">
        <v>726</v>
      </c>
      <c r="JR250" s="20" t="s">
        <v>698</v>
      </c>
      <c r="JS250" s="20" t="s">
        <v>698</v>
      </c>
      <c r="JX250" s="20" t="s">
        <v>789</v>
      </c>
      <c r="JY250" s="20" t="s">
        <v>964</v>
      </c>
      <c r="QB250" s="20" t="s">
        <v>964</v>
      </c>
      <c r="QU250" s="20" t="s">
        <v>2403</v>
      </c>
      <c r="RK250" s="20" t="s">
        <v>696</v>
      </c>
      <c r="RL250" s="20" t="s">
        <v>2404</v>
      </c>
      <c r="XL250" s="20" t="s">
        <v>730</v>
      </c>
      <c r="XM250" s="20" t="s">
        <v>2269</v>
      </c>
      <c r="XN250" s="20" t="s">
        <v>732</v>
      </c>
      <c r="XO250" s="20" t="s">
        <v>733</v>
      </c>
      <c r="XP250" s="20" t="s">
        <v>2216</v>
      </c>
      <c r="XQ250" s="24">
        <v>43752</v>
      </c>
      <c r="XU250" s="20" t="s">
        <v>730</v>
      </c>
      <c r="XV250" s="20" t="s">
        <v>733</v>
      </c>
      <c r="XW250" s="20" t="s">
        <v>2269</v>
      </c>
      <c r="XX250" s="20" t="s">
        <v>732</v>
      </c>
      <c r="XY250" s="20" t="s">
        <v>2405</v>
      </c>
    </row>
    <row r="251" spans="1:649" ht="13">
      <c r="A251" s="20">
        <v>1871</v>
      </c>
      <c r="B251" s="21">
        <v>43656</v>
      </c>
      <c r="C251" s="20">
        <v>2019</v>
      </c>
      <c r="D251" s="20">
        <v>20190220</v>
      </c>
      <c r="E251" s="20">
        <v>32492</v>
      </c>
      <c r="F251" s="20" t="s">
        <v>825</v>
      </c>
      <c r="G251" s="20">
        <v>18718</v>
      </c>
      <c r="H251" s="20" t="s">
        <v>918</v>
      </c>
      <c r="I251" s="20" t="s">
        <v>692</v>
      </c>
      <c r="J251" s="20" t="s">
        <v>693</v>
      </c>
      <c r="K251" s="20" t="s">
        <v>694</v>
      </c>
      <c r="L251" s="20">
        <v>77002</v>
      </c>
      <c r="M251" s="22">
        <v>43642.476388888892</v>
      </c>
      <c r="P251" s="20">
        <v>36.602637999999999</v>
      </c>
      <c r="Q251" s="20">
        <v>-96.150289999999998</v>
      </c>
      <c r="R251" s="20" t="s">
        <v>697</v>
      </c>
      <c r="W251" s="20">
        <v>2</v>
      </c>
      <c r="Y251" s="20">
        <v>2</v>
      </c>
      <c r="Z251" s="20" t="s">
        <v>698</v>
      </c>
      <c r="AF251" s="20">
        <v>0</v>
      </c>
      <c r="AG251" s="20" t="s">
        <v>698</v>
      </c>
      <c r="AM251" s="20">
        <v>0</v>
      </c>
      <c r="AN251" s="20" t="s">
        <v>699</v>
      </c>
      <c r="AP251" s="20" t="s">
        <v>700</v>
      </c>
      <c r="AQ251" s="23">
        <v>43642.5625</v>
      </c>
      <c r="AR251" s="20" t="s">
        <v>701</v>
      </c>
      <c r="AS251" s="20" t="s">
        <v>702</v>
      </c>
      <c r="AU251" s="20" t="s">
        <v>696</v>
      </c>
      <c r="AW251" s="23">
        <v>43642.476388888892</v>
      </c>
      <c r="AX251" s="23">
        <v>43647.561805555553</v>
      </c>
      <c r="BC251" s="23">
        <v>43642.5625</v>
      </c>
      <c r="BF251" s="20" t="s">
        <v>754</v>
      </c>
      <c r="BH251" s="20" t="s">
        <v>698</v>
      </c>
      <c r="BM251" s="20" t="s">
        <v>698</v>
      </c>
      <c r="CA251" s="20">
        <v>0</v>
      </c>
      <c r="CB251" s="20" t="s">
        <v>2406</v>
      </c>
      <c r="CC251" s="20" t="s">
        <v>2407</v>
      </c>
      <c r="CD251" s="20" t="s">
        <v>739</v>
      </c>
      <c r="CE251" s="20">
        <v>74002</v>
      </c>
      <c r="CF251" s="20" t="s">
        <v>1926</v>
      </c>
      <c r="CG251" s="20" t="s">
        <v>1927</v>
      </c>
      <c r="CH251" s="20" t="s">
        <v>1931</v>
      </c>
      <c r="CI251" s="20">
        <v>0</v>
      </c>
      <c r="CJ251" s="20" t="s">
        <v>698</v>
      </c>
      <c r="CK251" s="20" t="s">
        <v>712</v>
      </c>
      <c r="CL251" s="20" t="s">
        <v>713</v>
      </c>
      <c r="CM251" s="20" t="s">
        <v>758</v>
      </c>
      <c r="CP251" s="20" t="s">
        <v>698</v>
      </c>
      <c r="DM251" s="20" t="s">
        <v>715</v>
      </c>
      <c r="DN251" s="20" t="s">
        <v>716</v>
      </c>
      <c r="FK251" s="20">
        <v>2007</v>
      </c>
      <c r="FM251" s="20" t="s">
        <v>719</v>
      </c>
      <c r="FO251" s="20" t="s">
        <v>720</v>
      </c>
      <c r="FR251" s="20" t="s">
        <v>721</v>
      </c>
      <c r="FY251" s="20" t="s">
        <v>698</v>
      </c>
      <c r="GC251" s="20" t="s">
        <v>696</v>
      </c>
      <c r="GD251" s="20" t="s">
        <v>698</v>
      </c>
      <c r="GE251" s="20" t="s">
        <v>696</v>
      </c>
      <c r="GH251" s="20" t="s">
        <v>696</v>
      </c>
      <c r="GK251" s="20" t="s">
        <v>698</v>
      </c>
      <c r="GT251" s="20" t="s">
        <v>696</v>
      </c>
      <c r="GU251" s="20" t="s">
        <v>698</v>
      </c>
      <c r="HF251" s="20">
        <v>0</v>
      </c>
      <c r="HG251" s="20">
        <v>150</v>
      </c>
      <c r="HH251" s="20">
        <v>1200</v>
      </c>
      <c r="HI251" s="20">
        <v>18000</v>
      </c>
      <c r="HJ251" s="20">
        <v>0</v>
      </c>
      <c r="HK251" s="20">
        <v>0</v>
      </c>
      <c r="HM251" s="20">
        <v>19350</v>
      </c>
      <c r="HR251" s="20">
        <v>226</v>
      </c>
      <c r="HS251" s="20">
        <v>750</v>
      </c>
      <c r="HY251" s="20" t="s">
        <v>723</v>
      </c>
      <c r="HZ251" s="20" t="s">
        <v>698</v>
      </c>
      <c r="IS251" s="20" t="s">
        <v>724</v>
      </c>
      <c r="IT251" s="20" t="s">
        <v>696</v>
      </c>
      <c r="IU251" s="20" t="s">
        <v>696</v>
      </c>
      <c r="IV251" s="20" t="s">
        <v>696</v>
      </c>
      <c r="IW251" s="20" t="s">
        <v>696</v>
      </c>
      <c r="IX251" s="20" t="s">
        <v>698</v>
      </c>
      <c r="IY251" s="20" t="s">
        <v>696</v>
      </c>
      <c r="IZ251" s="20" t="s">
        <v>696</v>
      </c>
      <c r="JA251" s="20" t="s">
        <v>696</v>
      </c>
      <c r="JB251" s="20" t="s">
        <v>698</v>
      </c>
      <c r="JC251" s="20" t="s">
        <v>698</v>
      </c>
      <c r="JD251" s="20" t="s">
        <v>725</v>
      </c>
      <c r="JE251" s="20" t="s">
        <v>2324</v>
      </c>
      <c r="JR251" s="20" t="s">
        <v>698</v>
      </c>
      <c r="JS251" s="20" t="s">
        <v>698</v>
      </c>
      <c r="JX251" s="20" t="s">
        <v>789</v>
      </c>
      <c r="JY251" s="20" t="s">
        <v>1251</v>
      </c>
      <c r="QB251" s="20" t="s">
        <v>1251</v>
      </c>
      <c r="QO251" s="20" t="s">
        <v>1252</v>
      </c>
      <c r="QV251" s="20" t="s">
        <v>696</v>
      </c>
      <c r="RK251" s="20" t="s">
        <v>696</v>
      </c>
      <c r="RL251" s="20" t="s">
        <v>2408</v>
      </c>
      <c r="XL251" s="20" t="s">
        <v>730</v>
      </c>
      <c r="XM251" s="20" t="s">
        <v>2269</v>
      </c>
      <c r="XN251" s="20" t="s">
        <v>732</v>
      </c>
      <c r="XO251" s="20" t="s">
        <v>733</v>
      </c>
      <c r="XP251" s="20" t="s">
        <v>2216</v>
      </c>
      <c r="XQ251" s="24">
        <v>43678</v>
      </c>
      <c r="XU251" s="20" t="s">
        <v>730</v>
      </c>
      <c r="XV251" s="20" t="s">
        <v>733</v>
      </c>
      <c r="XW251" s="20" t="s">
        <v>2269</v>
      </c>
      <c r="XX251" s="20" t="s">
        <v>732</v>
      </c>
      <c r="XY251" s="20" t="s">
        <v>2409</v>
      </c>
    </row>
    <row r="252" spans="1:649" ht="13">
      <c r="A252" s="20">
        <v>1902</v>
      </c>
      <c r="B252" s="21">
        <v>43644</v>
      </c>
      <c r="C252" s="20">
        <v>2019</v>
      </c>
      <c r="D252" s="20">
        <v>20190208</v>
      </c>
      <c r="E252" s="20">
        <v>32766</v>
      </c>
      <c r="F252" s="20" t="s">
        <v>825</v>
      </c>
      <c r="G252" s="20">
        <v>12470</v>
      </c>
      <c r="H252" s="20" t="s">
        <v>1070</v>
      </c>
      <c r="I252" s="20" t="s">
        <v>692</v>
      </c>
      <c r="J252" s="20" t="s">
        <v>693</v>
      </c>
      <c r="K252" s="20" t="s">
        <v>694</v>
      </c>
      <c r="L252" s="20">
        <v>77002</v>
      </c>
      <c r="M252" s="22">
        <v>43614.440972222219</v>
      </c>
      <c r="P252" s="20">
        <v>40.706659999999999</v>
      </c>
      <c r="Q252" s="20">
        <v>-84.122680000000003</v>
      </c>
      <c r="R252" s="20" t="s">
        <v>697</v>
      </c>
      <c r="W252" s="20">
        <v>0.19</v>
      </c>
      <c r="Y252" s="20">
        <v>0.19</v>
      </c>
      <c r="Z252" s="20" t="s">
        <v>698</v>
      </c>
      <c r="AF252" s="20">
        <v>0</v>
      </c>
      <c r="AG252" s="20" t="s">
        <v>698</v>
      </c>
      <c r="AM252" s="20">
        <v>0</v>
      </c>
      <c r="AN252" s="20" t="s">
        <v>699</v>
      </c>
      <c r="AP252" s="20" t="s">
        <v>700</v>
      </c>
      <c r="AQ252" s="23">
        <v>43614.440972222219</v>
      </c>
      <c r="AR252" s="20" t="s">
        <v>907</v>
      </c>
      <c r="AS252" s="20" t="s">
        <v>702</v>
      </c>
      <c r="AU252" s="20" t="s">
        <v>698</v>
      </c>
      <c r="AV252" s="20" t="s">
        <v>2410</v>
      </c>
      <c r="BC252" s="23">
        <v>43614.440972222219</v>
      </c>
      <c r="BF252" s="20" t="s">
        <v>754</v>
      </c>
      <c r="BH252" s="20" t="s">
        <v>698</v>
      </c>
      <c r="BM252" s="20" t="s">
        <v>698</v>
      </c>
      <c r="CA252" s="20">
        <v>0</v>
      </c>
      <c r="CB252" s="20" t="s">
        <v>1073</v>
      </c>
      <c r="CC252" s="20" t="s">
        <v>2411</v>
      </c>
      <c r="CD252" s="20" t="s">
        <v>1075</v>
      </c>
      <c r="CE252" s="20">
        <v>45804</v>
      </c>
      <c r="CF252" s="20" t="s">
        <v>1118</v>
      </c>
      <c r="CG252" s="20" t="s">
        <v>1076</v>
      </c>
      <c r="CH252" s="20" t="s">
        <v>1931</v>
      </c>
      <c r="CI252" s="20" t="s">
        <v>711</v>
      </c>
      <c r="CJ252" s="20" t="s">
        <v>698</v>
      </c>
      <c r="CK252" s="20" t="s">
        <v>712</v>
      </c>
      <c r="CL252" s="20" t="s">
        <v>910</v>
      </c>
      <c r="CP252" s="20" t="s">
        <v>698</v>
      </c>
      <c r="DM252" s="20" t="s">
        <v>743</v>
      </c>
      <c r="DN252" s="20" t="s">
        <v>911</v>
      </c>
      <c r="EW252" s="20" t="s">
        <v>1156</v>
      </c>
      <c r="EY252" s="20" t="s">
        <v>913</v>
      </c>
      <c r="FK252" s="20">
        <v>2000</v>
      </c>
      <c r="FM252" s="20" t="s">
        <v>719</v>
      </c>
      <c r="FO252" s="20" t="s">
        <v>766</v>
      </c>
      <c r="FX252" s="20" t="s">
        <v>2412</v>
      </c>
      <c r="FY252" s="20" t="s">
        <v>698</v>
      </c>
      <c r="GC252" s="20" t="s">
        <v>696</v>
      </c>
      <c r="GD252" s="20" t="s">
        <v>698</v>
      </c>
      <c r="GE252" s="20" t="s">
        <v>696</v>
      </c>
      <c r="GH252" s="20" t="s">
        <v>696</v>
      </c>
      <c r="GK252" s="20" t="s">
        <v>698</v>
      </c>
      <c r="GT252" s="20" t="s">
        <v>696</v>
      </c>
      <c r="GU252" s="20" t="s">
        <v>696</v>
      </c>
      <c r="GX252" s="20" t="s">
        <v>696</v>
      </c>
      <c r="GY252" s="20" t="s">
        <v>696</v>
      </c>
      <c r="HF252" s="20">
        <v>0</v>
      </c>
      <c r="HG252" s="20">
        <v>10</v>
      </c>
      <c r="HH252" s="20">
        <v>0</v>
      </c>
      <c r="HI252" s="20">
        <v>5542</v>
      </c>
      <c r="HJ252" s="20">
        <v>1500</v>
      </c>
      <c r="HK252" s="20">
        <v>0</v>
      </c>
      <c r="HM252" s="20">
        <v>7052</v>
      </c>
      <c r="HR252" s="20">
        <v>27.5</v>
      </c>
      <c r="HS252" s="20">
        <v>285</v>
      </c>
      <c r="HY252" s="20" t="s">
        <v>723</v>
      </c>
      <c r="HZ252" s="20" t="s">
        <v>698</v>
      </c>
      <c r="IS252" s="20" t="s">
        <v>724</v>
      </c>
      <c r="IT252" s="20" t="s">
        <v>696</v>
      </c>
      <c r="IU252" s="20" t="s">
        <v>696</v>
      </c>
      <c r="IV252" s="20" t="s">
        <v>696</v>
      </c>
      <c r="IW252" s="20" t="s">
        <v>698</v>
      </c>
      <c r="IX252" s="20" t="s">
        <v>698</v>
      </c>
      <c r="IY252" s="20" t="s">
        <v>698</v>
      </c>
      <c r="JD252" s="20" t="s">
        <v>859</v>
      </c>
      <c r="JF252" s="20" t="s">
        <v>696</v>
      </c>
      <c r="JI252" s="20" t="s">
        <v>696</v>
      </c>
      <c r="JJ252" s="20" t="s">
        <v>696</v>
      </c>
      <c r="JR252" s="20" t="s">
        <v>698</v>
      </c>
      <c r="JS252" s="20" t="s">
        <v>698</v>
      </c>
      <c r="JX252" s="20" t="s">
        <v>894</v>
      </c>
      <c r="JY252" s="20" t="s">
        <v>1032</v>
      </c>
      <c r="RM252" s="20" t="s">
        <v>1032</v>
      </c>
      <c r="RP252" s="20" t="s">
        <v>2413</v>
      </c>
      <c r="RQ252" s="20" t="s">
        <v>696</v>
      </c>
      <c r="RV252" s="20" t="s">
        <v>897</v>
      </c>
      <c r="RW252" s="20" t="s">
        <v>696</v>
      </c>
      <c r="RX252" s="20" t="s">
        <v>898</v>
      </c>
      <c r="XL252" s="20" t="s">
        <v>730</v>
      </c>
      <c r="XM252" s="20" t="s">
        <v>2269</v>
      </c>
      <c r="XN252" s="20" t="s">
        <v>732</v>
      </c>
      <c r="XO252" s="20" t="s">
        <v>733</v>
      </c>
      <c r="XP252" s="20" t="s">
        <v>2216</v>
      </c>
      <c r="XQ252" s="24">
        <v>43738</v>
      </c>
      <c r="XU252" s="20" t="s">
        <v>730</v>
      </c>
      <c r="XV252" s="20" t="s">
        <v>733</v>
      </c>
      <c r="XW252" s="20" t="s">
        <v>2269</v>
      </c>
      <c r="XX252" s="20" t="s">
        <v>732</v>
      </c>
      <c r="XY252" s="20" t="s">
        <v>2414</v>
      </c>
    </row>
    <row r="253" spans="1:649" ht="13">
      <c r="A253" s="20">
        <v>1921</v>
      </c>
      <c r="B253" s="21">
        <v>43626</v>
      </c>
      <c r="C253" s="20">
        <v>2019</v>
      </c>
      <c r="D253" s="20">
        <v>20190181</v>
      </c>
      <c r="E253" s="20">
        <v>32286</v>
      </c>
      <c r="F253" s="20" t="s">
        <v>825</v>
      </c>
      <c r="G253" s="20">
        <v>39706</v>
      </c>
      <c r="H253" s="20" t="s">
        <v>1943</v>
      </c>
      <c r="I253" s="20" t="s">
        <v>692</v>
      </c>
      <c r="J253" s="20" t="s">
        <v>693</v>
      </c>
      <c r="K253" s="20" t="s">
        <v>694</v>
      </c>
      <c r="L253" s="20">
        <v>77002</v>
      </c>
      <c r="M253" s="22">
        <v>43597.8125</v>
      </c>
      <c r="P253" s="20">
        <v>29.996700000000001</v>
      </c>
      <c r="Q253" s="20">
        <v>-93.987650000000002</v>
      </c>
      <c r="R253" s="20" t="s">
        <v>697</v>
      </c>
      <c r="W253" s="20">
        <v>0.36</v>
      </c>
      <c r="Y253" s="20">
        <v>0.36</v>
      </c>
      <c r="Z253" s="20" t="s">
        <v>698</v>
      </c>
      <c r="AF253" s="20">
        <v>0</v>
      </c>
      <c r="AG253" s="20" t="s">
        <v>698</v>
      </c>
      <c r="AM253" s="20">
        <v>0</v>
      </c>
      <c r="AN253" s="20" t="s">
        <v>699</v>
      </c>
      <c r="AP253" s="20" t="s">
        <v>700</v>
      </c>
      <c r="AQ253" s="23">
        <v>43597.8125</v>
      </c>
      <c r="AR253" s="20" t="s">
        <v>907</v>
      </c>
      <c r="AS253" s="20" t="s">
        <v>702</v>
      </c>
      <c r="AU253" s="20" t="s">
        <v>698</v>
      </c>
      <c r="AV253" s="20" t="s">
        <v>2415</v>
      </c>
      <c r="BC253" s="23">
        <v>43597.8125</v>
      </c>
      <c r="BF253" s="20" t="s">
        <v>754</v>
      </c>
      <c r="BH253" s="20" t="s">
        <v>698</v>
      </c>
      <c r="BM253" s="20" t="s">
        <v>698</v>
      </c>
      <c r="CA253" s="20">
        <v>0</v>
      </c>
      <c r="CB253" s="20" t="s">
        <v>818</v>
      </c>
      <c r="CC253" s="20" t="s">
        <v>2416</v>
      </c>
      <c r="CD253" s="20" t="s">
        <v>694</v>
      </c>
      <c r="CE253" s="20">
        <v>77627</v>
      </c>
      <c r="CF253" s="20" t="s">
        <v>820</v>
      </c>
      <c r="CG253" s="20" t="s">
        <v>821</v>
      </c>
      <c r="CH253" s="20" t="s">
        <v>710</v>
      </c>
      <c r="CI253" s="20" t="s">
        <v>711</v>
      </c>
      <c r="CJ253" s="20" t="s">
        <v>698</v>
      </c>
      <c r="CK253" s="20" t="s">
        <v>712</v>
      </c>
      <c r="CL253" s="20" t="s">
        <v>910</v>
      </c>
      <c r="CP253" s="20" t="s">
        <v>698</v>
      </c>
      <c r="DM253" s="20" t="s">
        <v>743</v>
      </c>
      <c r="DN253" s="20" t="s">
        <v>911</v>
      </c>
      <c r="EW253" s="20" t="s">
        <v>1156</v>
      </c>
      <c r="EY253" s="20" t="s">
        <v>913</v>
      </c>
      <c r="FF253" s="20">
        <v>2002</v>
      </c>
      <c r="FH253" s="20">
        <v>2014</v>
      </c>
      <c r="FK253" s="20">
        <v>1956</v>
      </c>
      <c r="FM253" s="20" t="s">
        <v>719</v>
      </c>
      <c r="FO253" s="20" t="s">
        <v>720</v>
      </c>
      <c r="FR253" s="20" t="s">
        <v>749</v>
      </c>
      <c r="FY253" s="20" t="s">
        <v>698</v>
      </c>
      <c r="GC253" s="20" t="s">
        <v>696</v>
      </c>
      <c r="GD253" s="20" t="s">
        <v>698</v>
      </c>
      <c r="GE253" s="20" t="s">
        <v>698</v>
      </c>
      <c r="GK253" s="20" t="s">
        <v>698</v>
      </c>
      <c r="GT253" s="20" t="s">
        <v>696</v>
      </c>
      <c r="GU253" s="20" t="s">
        <v>696</v>
      </c>
      <c r="GX253" s="20" t="s">
        <v>696</v>
      </c>
      <c r="GY253" s="20" t="s">
        <v>696</v>
      </c>
      <c r="HB253" s="20" t="s">
        <v>696</v>
      </c>
      <c r="HC253" s="20" t="s">
        <v>696</v>
      </c>
      <c r="HF253" s="20">
        <v>0</v>
      </c>
      <c r="HG253" s="20">
        <v>0</v>
      </c>
      <c r="HH253" s="20">
        <v>13400</v>
      </c>
      <c r="HI253" s="20">
        <v>3000</v>
      </c>
      <c r="HJ253" s="20">
        <v>7000</v>
      </c>
      <c r="HK253" s="20">
        <v>0</v>
      </c>
      <c r="HM253" s="20">
        <v>23400</v>
      </c>
      <c r="HR253" s="20">
        <v>15</v>
      </c>
      <c r="HS253" s="20">
        <v>285</v>
      </c>
      <c r="HY253" s="20" t="s">
        <v>723</v>
      </c>
      <c r="HZ253" s="20" t="s">
        <v>698</v>
      </c>
      <c r="IS253" s="20" t="s">
        <v>724</v>
      </c>
      <c r="IT253" s="20" t="s">
        <v>696</v>
      </c>
      <c r="IU253" s="20" t="s">
        <v>696</v>
      </c>
      <c r="IV253" s="20" t="s">
        <v>696</v>
      </c>
      <c r="IW253" s="20" t="s">
        <v>698</v>
      </c>
      <c r="IX253" s="20" t="s">
        <v>698</v>
      </c>
      <c r="IY253" s="20" t="s">
        <v>698</v>
      </c>
      <c r="JD253" s="20" t="s">
        <v>725</v>
      </c>
      <c r="JE253" s="20" t="s">
        <v>2238</v>
      </c>
      <c r="JR253" s="20" t="s">
        <v>698</v>
      </c>
      <c r="JS253" s="20" t="s">
        <v>698</v>
      </c>
      <c r="JX253" s="20" t="s">
        <v>833</v>
      </c>
      <c r="JY253" s="20" t="s">
        <v>860</v>
      </c>
      <c r="JZ253" s="20" t="s">
        <v>860</v>
      </c>
      <c r="KA253" s="20" t="s">
        <v>835</v>
      </c>
      <c r="KD253" s="20" t="s">
        <v>696</v>
      </c>
      <c r="KL253" s="20" t="s">
        <v>696</v>
      </c>
      <c r="KP253" s="20" t="s">
        <v>698</v>
      </c>
      <c r="LB253" s="20" t="s">
        <v>696</v>
      </c>
      <c r="LC253" s="20" t="s">
        <v>698</v>
      </c>
      <c r="XL253" s="20" t="s">
        <v>730</v>
      </c>
      <c r="XM253" s="20" t="s">
        <v>2269</v>
      </c>
      <c r="XN253" s="20" t="s">
        <v>732</v>
      </c>
      <c r="XO253" s="20" t="s">
        <v>733</v>
      </c>
      <c r="XP253" s="20" t="s">
        <v>2216</v>
      </c>
      <c r="XQ253" s="24">
        <v>43631</v>
      </c>
      <c r="XU253" s="20" t="s">
        <v>730</v>
      </c>
      <c r="XV253" s="20" t="s">
        <v>733</v>
      </c>
      <c r="XW253" s="20" t="s">
        <v>2269</v>
      </c>
      <c r="XX253" s="20" t="s">
        <v>732</v>
      </c>
      <c r="XY253" s="20" t="s">
        <v>2417</v>
      </c>
    </row>
    <row r="254" spans="1:649" ht="13">
      <c r="A254" s="20">
        <v>1923</v>
      </c>
      <c r="B254" s="21">
        <v>43622</v>
      </c>
      <c r="C254" s="20">
        <v>2019</v>
      </c>
      <c r="D254" s="20">
        <v>20190178</v>
      </c>
      <c r="E254" s="20">
        <v>32246</v>
      </c>
      <c r="F254" s="20" t="s">
        <v>885</v>
      </c>
      <c r="G254" s="20">
        <v>39596</v>
      </c>
      <c r="H254" s="20" t="s">
        <v>796</v>
      </c>
      <c r="I254" s="20" t="s">
        <v>692</v>
      </c>
      <c r="J254" s="20" t="s">
        <v>693</v>
      </c>
      <c r="K254" s="20" t="s">
        <v>694</v>
      </c>
      <c r="L254" s="20">
        <v>77002</v>
      </c>
      <c r="M254" s="22">
        <v>43596.395833333336</v>
      </c>
      <c r="P254" s="20">
        <v>32.530299999999997</v>
      </c>
      <c r="Q254" s="20">
        <v>-100.8297</v>
      </c>
      <c r="R254" s="20" t="s">
        <v>697</v>
      </c>
      <c r="W254" s="20">
        <v>20</v>
      </c>
      <c r="Y254" s="20">
        <v>20</v>
      </c>
      <c r="Z254" s="20" t="s">
        <v>698</v>
      </c>
      <c r="AF254" s="20">
        <v>0</v>
      </c>
      <c r="AG254" s="20" t="s">
        <v>698</v>
      </c>
      <c r="AM254" s="20">
        <v>0</v>
      </c>
      <c r="AN254" s="20" t="s">
        <v>699</v>
      </c>
      <c r="AP254" s="20" t="s">
        <v>700</v>
      </c>
      <c r="AQ254" s="23">
        <v>43596.40902777778</v>
      </c>
      <c r="AR254" s="20" t="s">
        <v>701</v>
      </c>
      <c r="AS254" s="20" t="s">
        <v>702</v>
      </c>
      <c r="AU254" s="20" t="s">
        <v>696</v>
      </c>
      <c r="AW254" s="23">
        <v>43596.409722222219</v>
      </c>
      <c r="AX254" s="23">
        <v>43597.149305555555</v>
      </c>
      <c r="BC254" s="23">
        <v>43596.40902777778</v>
      </c>
      <c r="BF254" s="20" t="s">
        <v>754</v>
      </c>
      <c r="BH254" s="20" t="s">
        <v>698</v>
      </c>
      <c r="BM254" s="20" t="s">
        <v>698</v>
      </c>
      <c r="CA254" s="20">
        <v>0</v>
      </c>
      <c r="CB254" s="20" t="s">
        <v>1318</v>
      </c>
      <c r="CC254" s="20" t="s">
        <v>2418</v>
      </c>
      <c r="CD254" s="20" t="s">
        <v>694</v>
      </c>
      <c r="CE254" s="20">
        <v>79526</v>
      </c>
      <c r="CF254" s="20" t="s">
        <v>1203</v>
      </c>
      <c r="CG254" s="20" t="s">
        <v>1204</v>
      </c>
      <c r="CH254" s="20" t="s">
        <v>1931</v>
      </c>
      <c r="CI254" s="20">
        <v>0</v>
      </c>
      <c r="CJ254" s="20" t="s">
        <v>698</v>
      </c>
      <c r="CK254" s="20" t="s">
        <v>712</v>
      </c>
      <c r="CL254" s="20" t="s">
        <v>741</v>
      </c>
      <c r="CM254" s="20" t="s">
        <v>742</v>
      </c>
      <c r="CO254" s="20">
        <v>96</v>
      </c>
      <c r="CP254" s="20" t="s">
        <v>698</v>
      </c>
      <c r="DM254" s="20" t="s">
        <v>743</v>
      </c>
      <c r="DN254" s="20" t="s">
        <v>744</v>
      </c>
      <c r="DO254" s="20" t="s">
        <v>745</v>
      </c>
      <c r="DQ254" s="20">
        <v>20</v>
      </c>
      <c r="DR254" s="20">
        <v>0.375</v>
      </c>
      <c r="DS254" s="20">
        <v>65000</v>
      </c>
      <c r="DT254" s="20" t="s">
        <v>1103</v>
      </c>
      <c r="DU254" s="20" t="s">
        <v>2419</v>
      </c>
      <c r="DW254" s="20" t="s">
        <v>1801</v>
      </c>
      <c r="DX254" s="20" t="s">
        <v>748</v>
      </c>
      <c r="FK254" s="20">
        <v>2015</v>
      </c>
      <c r="FL254" s="20">
        <v>2015</v>
      </c>
      <c r="FM254" s="20" t="s">
        <v>719</v>
      </c>
      <c r="FO254" s="20" t="s">
        <v>720</v>
      </c>
      <c r="FR254" s="20" t="s">
        <v>749</v>
      </c>
      <c r="FY254" s="20" t="s">
        <v>698</v>
      </c>
      <c r="GC254" s="20" t="s">
        <v>696</v>
      </c>
      <c r="GD254" s="20" t="s">
        <v>698</v>
      </c>
      <c r="GE254" s="20" t="s">
        <v>696</v>
      </c>
      <c r="GH254" s="20" t="s">
        <v>696</v>
      </c>
      <c r="GK254" s="20" t="s">
        <v>698</v>
      </c>
      <c r="GT254" s="20" t="s">
        <v>698</v>
      </c>
      <c r="GU254" s="20" t="s">
        <v>698</v>
      </c>
      <c r="HF254" s="20">
        <v>0</v>
      </c>
      <c r="HG254" s="20">
        <v>1200</v>
      </c>
      <c r="HH254" s="20">
        <v>4000</v>
      </c>
      <c r="HI254" s="20">
        <v>20000</v>
      </c>
      <c r="HJ254" s="20">
        <v>1000</v>
      </c>
      <c r="HK254" s="20">
        <v>0</v>
      </c>
      <c r="HM254" s="20">
        <v>26200</v>
      </c>
      <c r="HR254" s="20">
        <v>45</v>
      </c>
      <c r="HS254" s="20">
        <v>285</v>
      </c>
      <c r="HY254" s="20" t="s">
        <v>723</v>
      </c>
      <c r="HZ254" s="20" t="s">
        <v>698</v>
      </c>
      <c r="IS254" s="20" t="s">
        <v>724</v>
      </c>
      <c r="IT254" s="20" t="s">
        <v>696</v>
      </c>
      <c r="IU254" s="20" t="s">
        <v>696</v>
      </c>
      <c r="IV254" s="20" t="s">
        <v>696</v>
      </c>
      <c r="IW254" s="20" t="s">
        <v>698</v>
      </c>
      <c r="IX254" s="20" t="s">
        <v>698</v>
      </c>
      <c r="IY254" s="20" t="s">
        <v>696</v>
      </c>
      <c r="IZ254" s="20" t="s">
        <v>696</v>
      </c>
      <c r="JA254" s="20" t="s">
        <v>696</v>
      </c>
      <c r="JB254" s="20" t="s">
        <v>698</v>
      </c>
      <c r="JC254" s="20" t="s">
        <v>698</v>
      </c>
      <c r="JD254" s="20" t="s">
        <v>725</v>
      </c>
      <c r="JE254" s="20" t="s">
        <v>2324</v>
      </c>
      <c r="JR254" s="20" t="s">
        <v>698</v>
      </c>
      <c r="JS254" s="20" t="s">
        <v>698</v>
      </c>
      <c r="JX254" s="20" t="s">
        <v>833</v>
      </c>
      <c r="JY254" s="20" t="s">
        <v>834</v>
      </c>
      <c r="JZ254" s="20" t="s">
        <v>834</v>
      </c>
      <c r="LD254" s="20" t="s">
        <v>1442</v>
      </c>
      <c r="LG254" s="20" t="s">
        <v>696</v>
      </c>
      <c r="LL254" s="20" t="s">
        <v>696</v>
      </c>
      <c r="LP254" s="20" t="s">
        <v>696</v>
      </c>
      <c r="LU254" s="20" t="s">
        <v>698</v>
      </c>
      <c r="LV254" s="20" t="s">
        <v>698</v>
      </c>
      <c r="LW254" s="20" t="s">
        <v>838</v>
      </c>
      <c r="LX254" s="20" t="s">
        <v>838</v>
      </c>
      <c r="SC254" s="20" t="s">
        <v>698</v>
      </c>
      <c r="UO254" s="20" t="s">
        <v>698</v>
      </c>
      <c r="UR254" s="20" t="s">
        <v>698</v>
      </c>
      <c r="UZ254" s="20" t="s">
        <v>698</v>
      </c>
      <c r="XL254" s="20" t="s">
        <v>730</v>
      </c>
      <c r="XM254" s="20" t="s">
        <v>2269</v>
      </c>
      <c r="XN254" s="20" t="s">
        <v>732</v>
      </c>
      <c r="XO254" s="20" t="s">
        <v>733</v>
      </c>
      <c r="XP254" s="20" t="s">
        <v>2216</v>
      </c>
      <c r="XQ254" s="24">
        <v>43616</v>
      </c>
      <c r="XU254" s="20" t="s">
        <v>730</v>
      </c>
      <c r="XV254" s="20" t="s">
        <v>733</v>
      </c>
      <c r="XW254" s="20" t="s">
        <v>2269</v>
      </c>
      <c r="XX254" s="20" t="s">
        <v>732</v>
      </c>
      <c r="XY254" s="20" t="s">
        <v>2420</v>
      </c>
    </row>
    <row r="255" spans="1:649" ht="13">
      <c r="A255" s="20">
        <v>1929</v>
      </c>
      <c r="B255" s="21">
        <v>43615</v>
      </c>
      <c r="C255" s="20">
        <v>2019</v>
      </c>
      <c r="D255" s="20">
        <v>20190172</v>
      </c>
      <c r="E255" s="20">
        <v>32218</v>
      </c>
      <c r="F255" s="20" t="s">
        <v>885</v>
      </c>
      <c r="G255" s="20">
        <v>32099</v>
      </c>
      <c r="H255" s="20" t="s">
        <v>752</v>
      </c>
      <c r="I255" s="20" t="s">
        <v>692</v>
      </c>
      <c r="J255" s="20" t="s">
        <v>693</v>
      </c>
      <c r="K255" s="20" t="s">
        <v>694</v>
      </c>
      <c r="L255" s="20">
        <v>77002</v>
      </c>
      <c r="M255" s="22">
        <v>43588.958333333336</v>
      </c>
      <c r="P255" s="20">
        <v>30.684249999999999</v>
      </c>
      <c r="Q255" s="20">
        <v>-101.27124000000001</v>
      </c>
      <c r="R255" s="20" t="s">
        <v>773</v>
      </c>
      <c r="S255" s="20" t="s">
        <v>1098</v>
      </c>
      <c r="W255" s="20">
        <v>243</v>
      </c>
      <c r="X255" s="20">
        <v>49.7</v>
      </c>
      <c r="Y255" s="20">
        <v>0</v>
      </c>
      <c r="Z255" s="20" t="s">
        <v>698</v>
      </c>
      <c r="AF255" s="20">
        <v>0</v>
      </c>
      <c r="AG255" s="20" t="s">
        <v>698</v>
      </c>
      <c r="AM255" s="20">
        <v>0</v>
      </c>
      <c r="AN255" s="20" t="s">
        <v>2050</v>
      </c>
      <c r="AQ255" s="23">
        <v>43589.510416666664</v>
      </c>
      <c r="AR255" s="20" t="s">
        <v>701</v>
      </c>
      <c r="AS255" s="20" t="s">
        <v>702</v>
      </c>
      <c r="AU255" s="20" t="s">
        <v>696</v>
      </c>
      <c r="AW255" s="23">
        <v>43588.958333333336</v>
      </c>
      <c r="AX255" s="23">
        <v>43589.166666666664</v>
      </c>
      <c r="BC255" s="23">
        <v>43589.510416666664</v>
      </c>
      <c r="BE255" s="23">
        <v>43589.082638888889</v>
      </c>
      <c r="BF255" s="20">
        <v>1244598</v>
      </c>
      <c r="BH255" s="20" t="s">
        <v>698</v>
      </c>
      <c r="BM255" s="20" t="s">
        <v>698</v>
      </c>
      <c r="CA255" s="20">
        <v>0</v>
      </c>
      <c r="CB255" s="20" t="s">
        <v>2421</v>
      </c>
      <c r="CC255" s="20" t="s">
        <v>2422</v>
      </c>
      <c r="CD255" s="20" t="s">
        <v>694</v>
      </c>
      <c r="CE255" s="20">
        <v>76943</v>
      </c>
      <c r="CF255" s="20" t="s">
        <v>2423</v>
      </c>
      <c r="CG255" s="20" t="s">
        <v>2424</v>
      </c>
      <c r="CH255" s="20" t="s">
        <v>1931</v>
      </c>
      <c r="CI255" s="20">
        <v>92.2</v>
      </c>
      <c r="CJ255" s="20" t="s">
        <v>698</v>
      </c>
      <c r="CK255" s="20" t="s">
        <v>712</v>
      </c>
      <c r="CL255" s="20" t="s">
        <v>713</v>
      </c>
      <c r="CM255" s="20" t="s">
        <v>758</v>
      </c>
      <c r="CP255" s="20" t="s">
        <v>698</v>
      </c>
      <c r="DM255" s="20" t="s">
        <v>743</v>
      </c>
      <c r="DN255" s="20" t="s">
        <v>1170</v>
      </c>
      <c r="FK255" s="20">
        <v>2012</v>
      </c>
      <c r="FM255" s="20" t="s">
        <v>962</v>
      </c>
      <c r="FN255" s="20" t="s">
        <v>1171</v>
      </c>
      <c r="FO255" s="20" t="s">
        <v>720</v>
      </c>
      <c r="FR255" s="20" t="s">
        <v>823</v>
      </c>
      <c r="FY255" s="20" t="s">
        <v>698</v>
      </c>
      <c r="GC255" s="20" t="s">
        <v>698</v>
      </c>
      <c r="GD255" s="20" t="s">
        <v>698</v>
      </c>
      <c r="GE255" s="20" t="s">
        <v>698</v>
      </c>
      <c r="GK255" s="20" t="s">
        <v>698</v>
      </c>
      <c r="GT255" s="20" t="s">
        <v>698</v>
      </c>
      <c r="GU255" s="20" t="s">
        <v>698</v>
      </c>
      <c r="HF255" s="20">
        <v>0</v>
      </c>
      <c r="HG255" s="20">
        <v>6105</v>
      </c>
      <c r="HH255" s="20">
        <v>350</v>
      </c>
      <c r="HI255" s="20">
        <v>1300</v>
      </c>
      <c r="HJ255" s="20">
        <v>0</v>
      </c>
      <c r="HK255" s="20">
        <v>500</v>
      </c>
      <c r="HL255" s="20" t="s">
        <v>2425</v>
      </c>
      <c r="HM255" s="20">
        <v>8255</v>
      </c>
      <c r="HR255" s="20">
        <v>1267</v>
      </c>
      <c r="HS255" s="20">
        <v>1440</v>
      </c>
      <c r="HY255" s="20" t="s">
        <v>723</v>
      </c>
      <c r="HZ255" s="20" t="s">
        <v>698</v>
      </c>
      <c r="IS255" s="20" t="s">
        <v>724</v>
      </c>
      <c r="IT255" s="20" t="s">
        <v>696</v>
      </c>
      <c r="IU255" s="20" t="s">
        <v>696</v>
      </c>
      <c r="IV255" s="20" t="s">
        <v>696</v>
      </c>
      <c r="IW255" s="20" t="s">
        <v>696</v>
      </c>
      <c r="IX255" s="20" t="s">
        <v>696</v>
      </c>
      <c r="IY255" s="20" t="s">
        <v>698</v>
      </c>
      <c r="JD255" s="20" t="s">
        <v>725</v>
      </c>
      <c r="JE255" s="20" t="s">
        <v>2426</v>
      </c>
      <c r="JR255" s="20" t="s">
        <v>698</v>
      </c>
      <c r="JS255" s="20" t="s">
        <v>698</v>
      </c>
      <c r="JX255" s="20" t="s">
        <v>789</v>
      </c>
      <c r="JY255" s="20" t="s">
        <v>1230</v>
      </c>
      <c r="QB255" s="20" t="s">
        <v>1230</v>
      </c>
      <c r="RK255" s="20" t="s">
        <v>696</v>
      </c>
      <c r="RL255" s="20" t="s">
        <v>2427</v>
      </c>
      <c r="XL255" s="20" t="s">
        <v>1624</v>
      </c>
      <c r="XM255" s="20" t="s">
        <v>1626</v>
      </c>
      <c r="XN255" s="20" t="s">
        <v>1627</v>
      </c>
      <c r="XO255" s="20" t="s">
        <v>2428</v>
      </c>
      <c r="XQ255" s="24">
        <v>43614</v>
      </c>
      <c r="XU255" s="20" t="s">
        <v>1624</v>
      </c>
      <c r="XV255" s="20" t="s">
        <v>2428</v>
      </c>
      <c r="XW255" s="20" t="s">
        <v>1626</v>
      </c>
      <c r="XX255" s="20" t="s">
        <v>1627</v>
      </c>
      <c r="XY255" s="20" t="s">
        <v>2429</v>
      </c>
    </row>
    <row r="256" spans="1:649" ht="13">
      <c r="A256" s="20">
        <v>1936</v>
      </c>
      <c r="B256" s="21">
        <v>43607</v>
      </c>
      <c r="C256" s="20">
        <v>2019</v>
      </c>
      <c r="D256" s="20">
        <v>20190165</v>
      </c>
      <c r="E256" s="20">
        <v>32180</v>
      </c>
      <c r="F256" s="20" t="s">
        <v>885</v>
      </c>
      <c r="G256" s="20">
        <v>22442</v>
      </c>
      <c r="H256" s="20" t="s">
        <v>886</v>
      </c>
      <c r="I256" s="20" t="s">
        <v>692</v>
      </c>
      <c r="J256" s="20" t="s">
        <v>693</v>
      </c>
      <c r="K256" s="20" t="s">
        <v>694</v>
      </c>
      <c r="L256" s="20">
        <v>77002</v>
      </c>
      <c r="M256" s="22">
        <v>43580.541666666664</v>
      </c>
      <c r="P256" s="20">
        <v>32.231389999999998</v>
      </c>
      <c r="Q256" s="20">
        <v>-95.663359999999997</v>
      </c>
      <c r="R256" s="20" t="s">
        <v>697</v>
      </c>
      <c r="W256" s="20">
        <v>2</v>
      </c>
      <c r="Y256" s="20">
        <v>2</v>
      </c>
      <c r="Z256" s="20" t="s">
        <v>698</v>
      </c>
      <c r="AF256" s="20">
        <v>0</v>
      </c>
      <c r="AG256" s="20" t="s">
        <v>698</v>
      </c>
      <c r="AM256" s="20">
        <v>0</v>
      </c>
      <c r="AN256" s="20" t="s">
        <v>2114</v>
      </c>
      <c r="AP256" s="20" t="s">
        <v>1013</v>
      </c>
      <c r="AQ256" s="23">
        <v>43580.5625</v>
      </c>
      <c r="AR256" s="20" t="s">
        <v>701</v>
      </c>
      <c r="AS256" s="20" t="s">
        <v>702</v>
      </c>
      <c r="AU256" s="20" t="s">
        <v>696</v>
      </c>
      <c r="AW256" s="23">
        <v>43580.5625</v>
      </c>
      <c r="AX256" s="23">
        <v>43580.645833333336</v>
      </c>
      <c r="BC256" s="23">
        <v>43580.5625</v>
      </c>
      <c r="BF256" s="20" t="s">
        <v>754</v>
      </c>
      <c r="BH256" s="20" t="s">
        <v>698</v>
      </c>
      <c r="BM256" s="20" t="s">
        <v>698</v>
      </c>
      <c r="CA256" s="20">
        <v>0</v>
      </c>
      <c r="CB256" s="20" t="s">
        <v>2430</v>
      </c>
      <c r="CC256" s="20">
        <v>22001</v>
      </c>
      <c r="CD256" s="20" t="s">
        <v>694</v>
      </c>
      <c r="CE256" s="20">
        <v>75778</v>
      </c>
      <c r="CF256" s="20" t="s">
        <v>2431</v>
      </c>
      <c r="CG256" s="20" t="s">
        <v>1694</v>
      </c>
      <c r="CH256" s="20" t="s">
        <v>710</v>
      </c>
      <c r="CI256" s="20">
        <v>282875.7</v>
      </c>
      <c r="CJ256" s="20" t="s">
        <v>698</v>
      </c>
      <c r="CK256" s="20" t="s">
        <v>712</v>
      </c>
      <c r="CL256" s="20" t="s">
        <v>713</v>
      </c>
      <c r="CM256" s="20" t="s">
        <v>758</v>
      </c>
      <c r="CP256" s="20" t="s">
        <v>698</v>
      </c>
      <c r="DM256" s="20" t="s">
        <v>743</v>
      </c>
      <c r="DN256" s="20" t="s">
        <v>716</v>
      </c>
      <c r="FK256" s="20">
        <v>2016</v>
      </c>
      <c r="FM256" s="20" t="s">
        <v>962</v>
      </c>
      <c r="FN256" s="20" t="s">
        <v>1532</v>
      </c>
      <c r="FO256" s="20" t="s">
        <v>720</v>
      </c>
      <c r="FR256" s="20" t="s">
        <v>721</v>
      </c>
      <c r="FY256" s="20" t="s">
        <v>698</v>
      </c>
      <c r="GC256" s="20" t="s">
        <v>696</v>
      </c>
      <c r="GD256" s="20" t="s">
        <v>698</v>
      </c>
      <c r="GE256" s="20" t="s">
        <v>696</v>
      </c>
      <c r="GH256" s="20" t="s">
        <v>696</v>
      </c>
      <c r="GK256" s="20" t="s">
        <v>698</v>
      </c>
      <c r="GT256" s="20" t="s">
        <v>698</v>
      </c>
      <c r="GU256" s="20" t="s">
        <v>698</v>
      </c>
      <c r="HF256" s="20">
        <v>0</v>
      </c>
      <c r="HG256" s="20">
        <v>130</v>
      </c>
      <c r="HH256" s="20">
        <v>1500</v>
      </c>
      <c r="HI256" s="20">
        <v>1000</v>
      </c>
      <c r="HJ256" s="20">
        <v>4370</v>
      </c>
      <c r="HK256" s="20">
        <v>0</v>
      </c>
      <c r="HM256" s="20">
        <v>7000</v>
      </c>
      <c r="HR256" s="20">
        <v>246</v>
      </c>
      <c r="HS256" s="20">
        <v>815</v>
      </c>
      <c r="HY256" s="20" t="s">
        <v>723</v>
      </c>
      <c r="HZ256" s="20" t="s">
        <v>698</v>
      </c>
      <c r="IS256" s="20" t="s">
        <v>724</v>
      </c>
      <c r="IT256" s="20" t="s">
        <v>696</v>
      </c>
      <c r="IU256" s="20" t="s">
        <v>696</v>
      </c>
      <c r="IV256" s="20" t="s">
        <v>696</v>
      </c>
      <c r="IW256" s="20" t="s">
        <v>698</v>
      </c>
      <c r="IX256" s="20" t="s">
        <v>698</v>
      </c>
      <c r="IY256" s="20" t="s">
        <v>696</v>
      </c>
      <c r="IZ256" s="20" t="s">
        <v>696</v>
      </c>
      <c r="JA256" s="20" t="s">
        <v>696</v>
      </c>
      <c r="JB256" s="20" t="s">
        <v>698</v>
      </c>
      <c r="JC256" s="20" t="s">
        <v>698</v>
      </c>
      <c r="JD256" s="20" t="s">
        <v>725</v>
      </c>
      <c r="JE256" s="20" t="s">
        <v>726</v>
      </c>
      <c r="JR256" s="20" t="s">
        <v>698</v>
      </c>
      <c r="JS256" s="20" t="s">
        <v>698</v>
      </c>
      <c r="JX256" s="20" t="s">
        <v>789</v>
      </c>
      <c r="JY256" s="20" t="s">
        <v>1251</v>
      </c>
      <c r="QB256" s="20" t="s">
        <v>1251</v>
      </c>
      <c r="QO256" s="20" t="s">
        <v>1252</v>
      </c>
      <c r="RK256" s="20" t="s">
        <v>696</v>
      </c>
      <c r="RL256" s="20" t="s">
        <v>728</v>
      </c>
      <c r="XL256" s="20" t="s">
        <v>730</v>
      </c>
      <c r="XM256" s="20" t="s">
        <v>2269</v>
      </c>
      <c r="XN256" s="20" t="s">
        <v>732</v>
      </c>
      <c r="XO256" s="20" t="s">
        <v>733</v>
      </c>
      <c r="XP256" s="20" t="s">
        <v>2216</v>
      </c>
      <c r="XQ256" s="24">
        <v>43607</v>
      </c>
      <c r="XU256" s="20" t="s">
        <v>730</v>
      </c>
      <c r="XV256" s="20" t="s">
        <v>733</v>
      </c>
      <c r="XW256" s="20" t="s">
        <v>2269</v>
      </c>
      <c r="XX256" s="20" t="s">
        <v>732</v>
      </c>
      <c r="XY256" s="20" t="s">
        <v>2432</v>
      </c>
    </row>
    <row r="257" spans="1:649" ht="13">
      <c r="A257" s="20">
        <v>1965</v>
      </c>
      <c r="B257" s="21">
        <v>43573</v>
      </c>
      <c r="C257" s="20">
        <v>2019</v>
      </c>
      <c r="D257" s="20">
        <v>20190133</v>
      </c>
      <c r="E257" s="20">
        <v>31993</v>
      </c>
      <c r="F257" s="20" t="s">
        <v>885</v>
      </c>
      <c r="G257" s="20">
        <v>18718</v>
      </c>
      <c r="H257" s="20" t="s">
        <v>918</v>
      </c>
      <c r="I257" s="20" t="s">
        <v>692</v>
      </c>
      <c r="J257" s="20" t="s">
        <v>693</v>
      </c>
      <c r="K257" s="20" t="s">
        <v>694</v>
      </c>
      <c r="L257" s="20">
        <v>77002</v>
      </c>
      <c r="M257" s="22">
        <v>43554.875</v>
      </c>
      <c r="P257" s="20">
        <v>34.609444400000001</v>
      </c>
      <c r="Q257" s="20">
        <v>-98.851944000000003</v>
      </c>
      <c r="R257" s="20" t="s">
        <v>697</v>
      </c>
      <c r="W257" s="20">
        <v>0.11</v>
      </c>
      <c r="Y257" s="20">
        <v>0.11</v>
      </c>
      <c r="Z257" s="20" t="s">
        <v>698</v>
      </c>
      <c r="AF257" s="20">
        <v>0</v>
      </c>
      <c r="AG257" s="20" t="s">
        <v>698</v>
      </c>
      <c r="AM257" s="20">
        <v>0</v>
      </c>
      <c r="AN257" s="20" t="s">
        <v>699</v>
      </c>
      <c r="AP257" s="20" t="s">
        <v>700</v>
      </c>
      <c r="AQ257" s="23">
        <v>43556.333333333336</v>
      </c>
      <c r="AR257" s="20" t="s">
        <v>701</v>
      </c>
      <c r="AS257" s="20" t="s">
        <v>702</v>
      </c>
      <c r="AU257" s="20" t="s">
        <v>698</v>
      </c>
      <c r="AV257" s="20" t="s">
        <v>2433</v>
      </c>
      <c r="BC257" s="23">
        <v>43556.333333333336</v>
      </c>
      <c r="BE257" s="23">
        <v>43556.636805555558</v>
      </c>
      <c r="BF257" s="20">
        <v>1241614</v>
      </c>
      <c r="BH257" s="20" t="s">
        <v>698</v>
      </c>
      <c r="BM257" s="20" t="s">
        <v>698</v>
      </c>
      <c r="CA257" s="20">
        <v>0</v>
      </c>
      <c r="CB257" s="20" t="s">
        <v>2434</v>
      </c>
      <c r="CC257" s="20" t="s">
        <v>2435</v>
      </c>
      <c r="CD257" s="20" t="s">
        <v>739</v>
      </c>
      <c r="CE257" s="20">
        <v>73501</v>
      </c>
      <c r="CF257" s="20" t="s">
        <v>2371</v>
      </c>
      <c r="CG257" s="20" t="s">
        <v>2436</v>
      </c>
      <c r="CH257" s="20" t="s">
        <v>1931</v>
      </c>
      <c r="CI257" s="20">
        <v>105.9</v>
      </c>
      <c r="CJ257" s="20" t="s">
        <v>698</v>
      </c>
      <c r="CK257" s="20" t="s">
        <v>891</v>
      </c>
      <c r="CL257" s="20" t="s">
        <v>713</v>
      </c>
      <c r="CM257" s="20" t="s">
        <v>758</v>
      </c>
      <c r="CP257" s="20" t="s">
        <v>698</v>
      </c>
      <c r="DM257" s="20" t="s">
        <v>743</v>
      </c>
      <c r="DN257" s="20" t="s">
        <v>829</v>
      </c>
      <c r="EM257" s="20" t="s">
        <v>830</v>
      </c>
      <c r="FK257" s="20">
        <v>2013</v>
      </c>
      <c r="FM257" s="20" t="s">
        <v>719</v>
      </c>
      <c r="FO257" s="20" t="s">
        <v>766</v>
      </c>
      <c r="FX257" s="20" t="s">
        <v>2437</v>
      </c>
      <c r="FY257" s="20" t="s">
        <v>698</v>
      </c>
      <c r="GC257" s="20" t="s">
        <v>696</v>
      </c>
      <c r="GD257" s="20" t="s">
        <v>698</v>
      </c>
      <c r="GE257" s="20" t="s">
        <v>696</v>
      </c>
      <c r="GH257" s="20" t="s">
        <v>696</v>
      </c>
      <c r="GK257" s="20" t="s">
        <v>696</v>
      </c>
      <c r="GM257" s="20" t="s">
        <v>696</v>
      </c>
      <c r="GR257" s="20">
        <v>0.01</v>
      </c>
      <c r="GS257" s="20" t="s">
        <v>728</v>
      </c>
      <c r="GT257" s="20" t="s">
        <v>696</v>
      </c>
      <c r="GU257" s="20" t="s">
        <v>698</v>
      </c>
      <c r="HF257" s="20">
        <v>5000</v>
      </c>
      <c r="HG257" s="20">
        <v>7</v>
      </c>
      <c r="HH257" s="20">
        <v>0</v>
      </c>
      <c r="HI257" s="20">
        <v>10000</v>
      </c>
      <c r="HJ257" s="20">
        <v>15000</v>
      </c>
      <c r="HK257" s="20">
        <v>0</v>
      </c>
      <c r="HM257" s="20">
        <v>30007</v>
      </c>
      <c r="HR257" s="20">
        <v>493</v>
      </c>
      <c r="HS257" s="20">
        <v>1440</v>
      </c>
      <c r="HY257" s="20" t="s">
        <v>723</v>
      </c>
      <c r="HZ257" s="20" t="s">
        <v>698</v>
      </c>
      <c r="IS257" s="20" t="s">
        <v>724</v>
      </c>
      <c r="IT257" s="20" t="s">
        <v>696</v>
      </c>
      <c r="IU257" s="20" t="s">
        <v>696</v>
      </c>
      <c r="IV257" s="20" t="s">
        <v>696</v>
      </c>
      <c r="IW257" s="20" t="s">
        <v>698</v>
      </c>
      <c r="IX257" s="20" t="s">
        <v>698</v>
      </c>
      <c r="IY257" s="20" t="s">
        <v>696</v>
      </c>
      <c r="IZ257" s="20" t="s">
        <v>696</v>
      </c>
      <c r="JA257" s="20" t="s">
        <v>696</v>
      </c>
      <c r="JB257" s="20" t="s">
        <v>698</v>
      </c>
      <c r="JC257" s="20" t="s">
        <v>698</v>
      </c>
      <c r="JD257" s="20" t="s">
        <v>725</v>
      </c>
      <c r="JE257" s="20" t="s">
        <v>2324</v>
      </c>
      <c r="JR257" s="20" t="s">
        <v>698</v>
      </c>
      <c r="JS257" s="20" t="s">
        <v>698</v>
      </c>
      <c r="JX257" s="20" t="s">
        <v>894</v>
      </c>
      <c r="JY257" s="20" t="s">
        <v>1032</v>
      </c>
      <c r="RM257" s="20" t="s">
        <v>1032</v>
      </c>
      <c r="RP257" s="20" t="s">
        <v>2438</v>
      </c>
      <c r="RS257" s="20" t="s">
        <v>696</v>
      </c>
      <c r="RV257" s="20" t="s">
        <v>2439</v>
      </c>
      <c r="RW257" s="20" t="s">
        <v>696</v>
      </c>
      <c r="RX257" s="20" t="s">
        <v>898</v>
      </c>
      <c r="XL257" s="20" t="s">
        <v>730</v>
      </c>
      <c r="XM257" s="20" t="s">
        <v>2269</v>
      </c>
      <c r="XN257" s="20" t="s">
        <v>732</v>
      </c>
      <c r="XO257" s="20" t="s">
        <v>733</v>
      </c>
      <c r="XP257" s="20" t="s">
        <v>2216</v>
      </c>
      <c r="XQ257" s="24">
        <v>43573</v>
      </c>
      <c r="XU257" s="20" t="s">
        <v>730</v>
      </c>
      <c r="XV257" s="20" t="s">
        <v>733</v>
      </c>
      <c r="XW257" s="20" t="s">
        <v>2269</v>
      </c>
      <c r="XX257" s="20" t="s">
        <v>732</v>
      </c>
      <c r="XY257" s="20" t="s">
        <v>2440</v>
      </c>
    </row>
    <row r="258" spans="1:649" ht="13">
      <c r="A258" s="20">
        <v>1969</v>
      </c>
      <c r="B258" s="21">
        <v>43573</v>
      </c>
      <c r="C258" s="20">
        <v>2019</v>
      </c>
      <c r="D258" s="20">
        <v>20190132</v>
      </c>
      <c r="E258" s="20">
        <v>31991</v>
      </c>
      <c r="F258" s="20" t="s">
        <v>885</v>
      </c>
      <c r="G258" s="20">
        <v>12470</v>
      </c>
      <c r="H258" s="20" t="s">
        <v>1070</v>
      </c>
      <c r="I258" s="20" t="s">
        <v>692</v>
      </c>
      <c r="J258" s="20" t="s">
        <v>693</v>
      </c>
      <c r="K258" s="20" t="s">
        <v>694</v>
      </c>
      <c r="L258" s="20">
        <v>77002</v>
      </c>
      <c r="M258" s="22">
        <v>43546.340277777781</v>
      </c>
      <c r="P258" s="20">
        <v>39.035020000000003</v>
      </c>
      <c r="Q258" s="20">
        <v>-84.690380000000005</v>
      </c>
      <c r="R258" s="20" t="s">
        <v>697</v>
      </c>
      <c r="W258" s="20">
        <v>0.24</v>
      </c>
      <c r="Y258" s="20">
        <v>0.24</v>
      </c>
      <c r="Z258" s="20" t="s">
        <v>698</v>
      </c>
      <c r="AF258" s="20">
        <v>0</v>
      </c>
      <c r="AG258" s="20" t="s">
        <v>698</v>
      </c>
      <c r="AM258" s="20">
        <v>0</v>
      </c>
      <c r="AN258" s="20" t="s">
        <v>699</v>
      </c>
      <c r="AP258" s="20" t="s">
        <v>700</v>
      </c>
      <c r="AQ258" s="23">
        <v>43546.340277777781</v>
      </c>
      <c r="AR258" s="20" t="s">
        <v>701</v>
      </c>
      <c r="AS258" s="20" t="s">
        <v>702</v>
      </c>
      <c r="AU258" s="20" t="s">
        <v>696</v>
      </c>
      <c r="AW258" s="23">
        <v>43546.340277777781</v>
      </c>
      <c r="AX258" s="23">
        <v>43546.356249999997</v>
      </c>
      <c r="BC258" s="23">
        <v>43546.333333333336</v>
      </c>
      <c r="BF258" s="20" t="s">
        <v>754</v>
      </c>
      <c r="BH258" s="20" t="s">
        <v>698</v>
      </c>
      <c r="BM258" s="20" t="s">
        <v>698</v>
      </c>
      <c r="CA258" s="20">
        <v>0</v>
      </c>
      <c r="CB258" s="20" t="s">
        <v>2441</v>
      </c>
      <c r="CC258" s="20" t="s">
        <v>2442</v>
      </c>
      <c r="CD258" s="20" t="s">
        <v>2443</v>
      </c>
      <c r="CE258" s="20">
        <v>41005</v>
      </c>
      <c r="CF258" s="20" t="s">
        <v>2444</v>
      </c>
      <c r="CG258" s="20" t="s">
        <v>2445</v>
      </c>
      <c r="CH258" s="20" t="s">
        <v>1931</v>
      </c>
      <c r="CI258" s="20" t="s">
        <v>711</v>
      </c>
      <c r="CJ258" s="20" t="s">
        <v>698</v>
      </c>
      <c r="CK258" s="20" t="s">
        <v>712</v>
      </c>
      <c r="CL258" s="20" t="s">
        <v>713</v>
      </c>
      <c r="CM258" s="20" t="s">
        <v>758</v>
      </c>
      <c r="CP258" s="20" t="s">
        <v>698</v>
      </c>
      <c r="DM258" s="20" t="s">
        <v>743</v>
      </c>
      <c r="DN258" s="20" t="s">
        <v>1278</v>
      </c>
      <c r="FK258" s="20">
        <v>1952</v>
      </c>
      <c r="FM258" s="20" t="s">
        <v>719</v>
      </c>
      <c r="FO258" s="20" t="s">
        <v>893</v>
      </c>
      <c r="FY258" s="20" t="s">
        <v>698</v>
      </c>
      <c r="GC258" s="20" t="s">
        <v>696</v>
      </c>
      <c r="GD258" s="20" t="s">
        <v>698</v>
      </c>
      <c r="GE258" s="20" t="s">
        <v>698</v>
      </c>
      <c r="GK258" s="20" t="s">
        <v>698</v>
      </c>
      <c r="GT258" s="20" t="s">
        <v>696</v>
      </c>
      <c r="GU258" s="20" t="s">
        <v>696</v>
      </c>
      <c r="GX258" s="20" t="s">
        <v>696</v>
      </c>
      <c r="GY258" s="20" t="s">
        <v>696</v>
      </c>
      <c r="HF258" s="20">
        <v>0</v>
      </c>
      <c r="HG258" s="20">
        <v>30</v>
      </c>
      <c r="HH258" s="20">
        <v>0</v>
      </c>
      <c r="HI258" s="20">
        <v>500</v>
      </c>
      <c r="HJ258" s="20">
        <v>500</v>
      </c>
      <c r="HK258" s="20">
        <v>0</v>
      </c>
      <c r="HM258" s="20">
        <v>1030</v>
      </c>
      <c r="HR258" s="20">
        <v>414</v>
      </c>
      <c r="HS258" s="20">
        <v>936</v>
      </c>
      <c r="HY258" s="20" t="s">
        <v>723</v>
      </c>
      <c r="HZ258" s="20" t="s">
        <v>698</v>
      </c>
      <c r="IS258" s="20" t="s">
        <v>724</v>
      </c>
      <c r="IT258" s="20" t="s">
        <v>696</v>
      </c>
      <c r="IU258" s="20" t="s">
        <v>696</v>
      </c>
      <c r="IV258" s="20" t="s">
        <v>696</v>
      </c>
      <c r="IW258" s="20" t="s">
        <v>698</v>
      </c>
      <c r="IX258" s="20" t="s">
        <v>698</v>
      </c>
      <c r="IY258" s="20" t="s">
        <v>696</v>
      </c>
      <c r="IZ258" s="20" t="s">
        <v>696</v>
      </c>
      <c r="JA258" s="20" t="s">
        <v>696</v>
      </c>
      <c r="JB258" s="20" t="s">
        <v>698</v>
      </c>
      <c r="JC258" s="20" t="s">
        <v>698</v>
      </c>
      <c r="JD258" s="20" t="s">
        <v>725</v>
      </c>
      <c r="JE258" s="20" t="s">
        <v>726</v>
      </c>
      <c r="JR258" s="20" t="s">
        <v>696</v>
      </c>
      <c r="JS258" s="20" t="s">
        <v>698</v>
      </c>
      <c r="JT258" s="20">
        <v>1</v>
      </c>
      <c r="JU258" s="20">
        <v>0</v>
      </c>
      <c r="JX258" s="20" t="s">
        <v>894</v>
      </c>
      <c r="JY258" s="20" t="s">
        <v>895</v>
      </c>
      <c r="RM258" s="20" t="s">
        <v>895</v>
      </c>
      <c r="RN258" s="20" t="s">
        <v>2014</v>
      </c>
      <c r="RS258" s="20" t="s">
        <v>696</v>
      </c>
      <c r="RV258" s="20" t="s">
        <v>897</v>
      </c>
      <c r="RW258" s="20" t="s">
        <v>696</v>
      </c>
      <c r="RX258" s="20" t="s">
        <v>898</v>
      </c>
      <c r="XL258" s="20" t="s">
        <v>730</v>
      </c>
      <c r="XM258" s="20" t="s">
        <v>2269</v>
      </c>
      <c r="XN258" s="20" t="s">
        <v>732</v>
      </c>
      <c r="XO258" s="20" t="s">
        <v>733</v>
      </c>
      <c r="XP258" s="20" t="s">
        <v>2216</v>
      </c>
      <c r="XQ258" s="24">
        <v>43573</v>
      </c>
      <c r="XU258" s="20" t="s">
        <v>730</v>
      </c>
      <c r="XV258" s="20" t="s">
        <v>733</v>
      </c>
      <c r="XW258" s="20" t="s">
        <v>2269</v>
      </c>
      <c r="XX258" s="20" t="s">
        <v>732</v>
      </c>
      <c r="XY258" s="20" t="s">
        <v>2446</v>
      </c>
    </row>
    <row r="259" spans="1:649" ht="13">
      <c r="A259" s="20">
        <v>1972</v>
      </c>
      <c r="B259" s="21">
        <v>43565</v>
      </c>
      <c r="C259" s="20">
        <v>2019</v>
      </c>
      <c r="D259" s="20">
        <v>20190119</v>
      </c>
      <c r="E259" s="20">
        <v>31938</v>
      </c>
      <c r="F259" s="20" t="s">
        <v>825</v>
      </c>
      <c r="G259" s="20">
        <v>12470</v>
      </c>
      <c r="H259" s="20" t="s">
        <v>1070</v>
      </c>
      <c r="I259" s="20" t="s">
        <v>692</v>
      </c>
      <c r="J259" s="20" t="s">
        <v>693</v>
      </c>
      <c r="K259" s="20" t="s">
        <v>694</v>
      </c>
      <c r="L259" s="20">
        <v>77002</v>
      </c>
      <c r="M259" s="22">
        <v>43542.552083333336</v>
      </c>
      <c r="P259" s="20">
        <v>32.48265</v>
      </c>
      <c r="Q259" s="20">
        <v>-94.832719999999995</v>
      </c>
      <c r="R259" s="20" t="s">
        <v>697</v>
      </c>
      <c r="W259" s="20">
        <v>10</v>
      </c>
      <c r="Y259" s="20">
        <v>10</v>
      </c>
      <c r="Z259" s="20" t="s">
        <v>698</v>
      </c>
      <c r="AF259" s="20">
        <v>0</v>
      </c>
      <c r="AG259" s="20" t="s">
        <v>698</v>
      </c>
      <c r="AM259" s="20">
        <v>0</v>
      </c>
      <c r="AN259" s="20" t="s">
        <v>699</v>
      </c>
      <c r="AP259" s="20" t="s">
        <v>700</v>
      </c>
      <c r="AQ259" s="23">
        <v>43542.552083333336</v>
      </c>
      <c r="AR259" s="20" t="s">
        <v>736</v>
      </c>
      <c r="AS259" s="20" t="s">
        <v>702</v>
      </c>
      <c r="AU259" s="20" t="s">
        <v>698</v>
      </c>
      <c r="AV259" s="20" t="s">
        <v>2447</v>
      </c>
      <c r="BC259" s="23">
        <v>43542.552083333336</v>
      </c>
      <c r="BF259" s="20" t="s">
        <v>754</v>
      </c>
      <c r="BH259" s="20" t="s">
        <v>698</v>
      </c>
      <c r="BM259" s="20" t="s">
        <v>698</v>
      </c>
      <c r="CA259" s="20">
        <v>0</v>
      </c>
      <c r="CB259" s="20" t="s">
        <v>2448</v>
      </c>
      <c r="CC259" s="20" t="s">
        <v>1530</v>
      </c>
      <c r="CD259" s="20" t="s">
        <v>694</v>
      </c>
      <c r="CE259" s="20">
        <v>75604</v>
      </c>
      <c r="CF259" s="20" t="s">
        <v>1122</v>
      </c>
      <c r="CG259" s="20" t="s">
        <v>1123</v>
      </c>
      <c r="CH259" s="20" t="s">
        <v>1931</v>
      </c>
      <c r="CI259" s="20" t="s">
        <v>711</v>
      </c>
      <c r="CJ259" s="20" t="s">
        <v>698</v>
      </c>
      <c r="CK259" s="20" t="s">
        <v>712</v>
      </c>
      <c r="CL259" s="20" t="s">
        <v>713</v>
      </c>
      <c r="CM259" s="20" t="s">
        <v>758</v>
      </c>
      <c r="CP259" s="20" t="s">
        <v>698</v>
      </c>
      <c r="DM259" s="20" t="s">
        <v>743</v>
      </c>
      <c r="DN259" s="20" t="s">
        <v>1141</v>
      </c>
      <c r="DQ259" s="20">
        <v>16</v>
      </c>
      <c r="DR259" s="20">
        <v>0.316</v>
      </c>
      <c r="DS259" s="20">
        <v>35000</v>
      </c>
      <c r="DT259" s="20" t="s">
        <v>746</v>
      </c>
      <c r="DU259" s="20" t="s">
        <v>857</v>
      </c>
      <c r="DW259" s="20" t="s">
        <v>728</v>
      </c>
      <c r="DX259" s="20" t="s">
        <v>904</v>
      </c>
      <c r="EA259" s="20" t="s">
        <v>1142</v>
      </c>
      <c r="FK259" s="20">
        <v>1950</v>
      </c>
      <c r="FL259" s="20">
        <v>1950</v>
      </c>
      <c r="FM259" s="20" t="s">
        <v>719</v>
      </c>
      <c r="FO259" s="20" t="s">
        <v>720</v>
      </c>
      <c r="FR259" s="20" t="s">
        <v>749</v>
      </c>
      <c r="FY259" s="20" t="s">
        <v>698</v>
      </c>
      <c r="GC259" s="20" t="s">
        <v>696</v>
      </c>
      <c r="GD259" s="20" t="s">
        <v>698</v>
      </c>
      <c r="GE259" s="20" t="s">
        <v>696</v>
      </c>
      <c r="GH259" s="20" t="s">
        <v>696</v>
      </c>
      <c r="GK259" s="20" t="s">
        <v>698</v>
      </c>
      <c r="GT259" s="20" t="s">
        <v>696</v>
      </c>
      <c r="GU259" s="20" t="s">
        <v>698</v>
      </c>
      <c r="HF259" s="20">
        <v>0</v>
      </c>
      <c r="HG259" s="20">
        <v>600</v>
      </c>
      <c r="HH259" s="20">
        <v>0</v>
      </c>
      <c r="HI259" s="20">
        <v>5000</v>
      </c>
      <c r="HJ259" s="20">
        <v>10119</v>
      </c>
      <c r="HK259" s="20">
        <v>0</v>
      </c>
      <c r="HM259" s="20">
        <v>15719</v>
      </c>
      <c r="HR259" s="20">
        <v>20</v>
      </c>
      <c r="HS259" s="20">
        <v>285</v>
      </c>
      <c r="HY259" s="20" t="s">
        <v>723</v>
      </c>
      <c r="HZ259" s="20" t="s">
        <v>698</v>
      </c>
      <c r="IS259" s="20" t="s">
        <v>808</v>
      </c>
      <c r="IT259" s="20" t="s">
        <v>696</v>
      </c>
      <c r="IU259" s="20" t="s">
        <v>696</v>
      </c>
      <c r="IV259" s="20" t="s">
        <v>696</v>
      </c>
      <c r="IW259" s="20" t="s">
        <v>698</v>
      </c>
      <c r="IX259" s="20" t="s">
        <v>698</v>
      </c>
      <c r="IY259" s="20" t="s">
        <v>698</v>
      </c>
      <c r="JD259" s="20" t="s">
        <v>725</v>
      </c>
      <c r="JE259" s="20" t="s">
        <v>726</v>
      </c>
      <c r="JR259" s="20" t="s">
        <v>698</v>
      </c>
      <c r="JS259" s="20" t="s">
        <v>698</v>
      </c>
      <c r="JX259" s="20" t="s">
        <v>833</v>
      </c>
      <c r="JY259" s="20" t="s">
        <v>834</v>
      </c>
      <c r="JZ259" s="20" t="s">
        <v>834</v>
      </c>
      <c r="LD259" s="20" t="s">
        <v>835</v>
      </c>
      <c r="LG259" s="20" t="s">
        <v>696</v>
      </c>
      <c r="LL259" s="20" t="s">
        <v>696</v>
      </c>
      <c r="LP259" s="20" t="s">
        <v>696</v>
      </c>
      <c r="LU259" s="20" t="s">
        <v>698</v>
      </c>
      <c r="LV259" s="20" t="s">
        <v>698</v>
      </c>
      <c r="LW259" s="20" t="s">
        <v>838</v>
      </c>
      <c r="LX259" s="20" t="s">
        <v>838</v>
      </c>
      <c r="SC259" s="20" t="s">
        <v>698</v>
      </c>
      <c r="UO259" s="20" t="s">
        <v>698</v>
      </c>
      <c r="UR259" s="20" t="s">
        <v>698</v>
      </c>
      <c r="UZ259" s="20" t="s">
        <v>698</v>
      </c>
      <c r="XL259" s="20" t="s">
        <v>730</v>
      </c>
      <c r="XM259" s="20" t="s">
        <v>2269</v>
      </c>
      <c r="XN259" s="20" t="s">
        <v>732</v>
      </c>
      <c r="XO259" s="20" t="s">
        <v>733</v>
      </c>
      <c r="XP259" s="20" t="s">
        <v>2216</v>
      </c>
      <c r="XQ259" s="24">
        <v>43565</v>
      </c>
      <c r="XU259" s="20" t="s">
        <v>730</v>
      </c>
      <c r="XV259" s="20" t="s">
        <v>733</v>
      </c>
      <c r="XW259" s="20" t="s">
        <v>2269</v>
      </c>
      <c r="XX259" s="20" t="s">
        <v>732</v>
      </c>
      <c r="XY259" s="20" t="s">
        <v>2449</v>
      </c>
    </row>
    <row r="260" spans="1:649" ht="13">
      <c r="A260" s="20">
        <v>1998</v>
      </c>
      <c r="B260" s="21">
        <v>43556</v>
      </c>
      <c r="C260" s="20">
        <v>2019</v>
      </c>
      <c r="D260" s="20">
        <v>20190100</v>
      </c>
      <c r="E260" s="20">
        <v>32313</v>
      </c>
      <c r="F260" s="20" t="s">
        <v>825</v>
      </c>
      <c r="G260" s="20">
        <v>18718</v>
      </c>
      <c r="H260" s="20" t="s">
        <v>918</v>
      </c>
      <c r="I260" s="20" t="s">
        <v>692</v>
      </c>
      <c r="J260" s="20" t="s">
        <v>693</v>
      </c>
      <c r="K260" s="20" t="s">
        <v>694</v>
      </c>
      <c r="L260" s="20">
        <v>77002</v>
      </c>
      <c r="M260" s="22">
        <v>43526.697916666664</v>
      </c>
      <c r="P260" s="20">
        <v>31.945779999999999</v>
      </c>
      <c r="Q260" s="20">
        <v>-101.91414</v>
      </c>
      <c r="R260" s="20" t="s">
        <v>697</v>
      </c>
      <c r="W260" s="20">
        <v>0.7</v>
      </c>
      <c r="Y260" s="20">
        <v>0.7</v>
      </c>
      <c r="Z260" s="20" t="s">
        <v>698</v>
      </c>
      <c r="AF260" s="20">
        <v>0</v>
      </c>
      <c r="AG260" s="20" t="s">
        <v>698</v>
      </c>
      <c r="AM260" s="20">
        <v>0</v>
      </c>
      <c r="AN260" s="20" t="s">
        <v>699</v>
      </c>
      <c r="AP260" s="20" t="s">
        <v>700</v>
      </c>
      <c r="AQ260" s="23">
        <v>43526.697916666664</v>
      </c>
      <c r="AR260" s="20" t="s">
        <v>701</v>
      </c>
      <c r="AS260" s="20" t="s">
        <v>702</v>
      </c>
      <c r="AU260" s="20" t="s">
        <v>696</v>
      </c>
      <c r="AW260" s="23">
        <v>43526.697916666664</v>
      </c>
      <c r="AX260" s="23">
        <v>43572.509027777778</v>
      </c>
      <c r="BC260" s="23">
        <v>43526.708333333336</v>
      </c>
      <c r="BF260" s="20" t="s">
        <v>754</v>
      </c>
      <c r="BH260" s="20" t="s">
        <v>698</v>
      </c>
      <c r="BM260" s="20" t="s">
        <v>698</v>
      </c>
      <c r="CA260" s="20">
        <v>0</v>
      </c>
      <c r="CB260" s="20" t="s">
        <v>2450</v>
      </c>
      <c r="CC260" s="20" t="s">
        <v>2451</v>
      </c>
      <c r="CD260" s="20" t="s">
        <v>694</v>
      </c>
      <c r="CE260" s="20">
        <v>79706</v>
      </c>
      <c r="CF260" s="20" t="s">
        <v>757</v>
      </c>
      <c r="CG260" s="20" t="s">
        <v>757</v>
      </c>
      <c r="CH260" s="20" t="s">
        <v>1931</v>
      </c>
      <c r="CI260" s="20" t="s">
        <v>711</v>
      </c>
      <c r="CJ260" s="20" t="s">
        <v>698</v>
      </c>
      <c r="CK260" s="20" t="s">
        <v>712</v>
      </c>
      <c r="CL260" s="20" t="s">
        <v>713</v>
      </c>
      <c r="CM260" s="20" t="s">
        <v>758</v>
      </c>
      <c r="CP260" s="20" t="s">
        <v>698</v>
      </c>
      <c r="DM260" s="20" t="s">
        <v>743</v>
      </c>
      <c r="DN260" s="20" t="s">
        <v>766</v>
      </c>
      <c r="FJ260" s="20" t="s">
        <v>2452</v>
      </c>
      <c r="FK260" s="20">
        <v>2016</v>
      </c>
      <c r="FM260" s="20" t="s">
        <v>719</v>
      </c>
      <c r="FO260" s="20" t="s">
        <v>720</v>
      </c>
      <c r="FR260" s="20" t="s">
        <v>721</v>
      </c>
      <c r="FY260" s="20" t="s">
        <v>698</v>
      </c>
      <c r="GC260" s="20" t="s">
        <v>696</v>
      </c>
      <c r="GD260" s="20" t="s">
        <v>698</v>
      </c>
      <c r="GE260" s="20" t="s">
        <v>696</v>
      </c>
      <c r="GH260" s="20" t="s">
        <v>696</v>
      </c>
      <c r="GK260" s="20" t="s">
        <v>698</v>
      </c>
      <c r="GT260" s="20" t="s">
        <v>698</v>
      </c>
      <c r="GU260" s="20" t="s">
        <v>698</v>
      </c>
      <c r="HF260" s="20">
        <v>0</v>
      </c>
      <c r="HG260" s="20">
        <v>45</v>
      </c>
      <c r="HH260" s="20">
        <v>100</v>
      </c>
      <c r="HI260" s="20">
        <v>2500</v>
      </c>
      <c r="HJ260" s="20">
        <v>1000</v>
      </c>
      <c r="HK260" s="20">
        <v>0</v>
      </c>
      <c r="HM260" s="20">
        <v>3645</v>
      </c>
      <c r="HR260" s="20">
        <v>525</v>
      </c>
      <c r="HS260" s="20">
        <v>285</v>
      </c>
      <c r="HY260" s="20" t="s">
        <v>760</v>
      </c>
      <c r="HZ260" s="20" t="s">
        <v>698</v>
      </c>
      <c r="IS260" s="20" t="s">
        <v>724</v>
      </c>
      <c r="IT260" s="20" t="s">
        <v>696</v>
      </c>
      <c r="IU260" s="20" t="s">
        <v>696</v>
      </c>
      <c r="IV260" s="20" t="s">
        <v>696</v>
      </c>
      <c r="IW260" s="20" t="s">
        <v>696</v>
      </c>
      <c r="IX260" s="20" t="s">
        <v>696</v>
      </c>
      <c r="IY260" s="20" t="s">
        <v>696</v>
      </c>
      <c r="IZ260" s="20" t="s">
        <v>696</v>
      </c>
      <c r="JA260" s="20" t="s">
        <v>696</v>
      </c>
      <c r="JB260" s="20" t="s">
        <v>698</v>
      </c>
      <c r="JC260" s="20" t="s">
        <v>698</v>
      </c>
      <c r="JD260" s="20" t="s">
        <v>859</v>
      </c>
      <c r="JF260" s="20" t="s">
        <v>696</v>
      </c>
      <c r="JI260" s="20" t="s">
        <v>696</v>
      </c>
      <c r="JJ260" s="20" t="s">
        <v>696</v>
      </c>
      <c r="JR260" s="20" t="s">
        <v>698</v>
      </c>
      <c r="JS260" s="20" t="s">
        <v>698</v>
      </c>
      <c r="JX260" s="20" t="s">
        <v>894</v>
      </c>
      <c r="JY260" s="20" t="s">
        <v>1080</v>
      </c>
      <c r="RM260" s="20" t="s">
        <v>1080</v>
      </c>
      <c r="RS260" s="20" t="s">
        <v>696</v>
      </c>
      <c r="RV260" s="20" t="s">
        <v>1436</v>
      </c>
      <c r="RW260" s="20" t="s">
        <v>696</v>
      </c>
      <c r="RX260" s="20" t="s">
        <v>898</v>
      </c>
      <c r="XL260" s="20" t="s">
        <v>730</v>
      </c>
      <c r="XM260" s="20" t="s">
        <v>2269</v>
      </c>
      <c r="XN260" s="20" t="s">
        <v>732</v>
      </c>
      <c r="XO260" s="20" t="s">
        <v>733</v>
      </c>
      <c r="XP260" s="20" t="s">
        <v>2216</v>
      </c>
      <c r="XQ260" s="24">
        <v>43635</v>
      </c>
      <c r="XU260" s="20" t="s">
        <v>730</v>
      </c>
      <c r="XV260" s="20" t="s">
        <v>733</v>
      </c>
      <c r="XW260" s="20" t="s">
        <v>2269</v>
      </c>
      <c r="XX260" s="20" t="s">
        <v>732</v>
      </c>
      <c r="XY260" s="20" t="s">
        <v>2453</v>
      </c>
    </row>
    <row r="261" spans="1:649" ht="13">
      <c r="A261" s="20">
        <v>2005</v>
      </c>
      <c r="B261" s="21">
        <v>43544</v>
      </c>
      <c r="C261" s="20">
        <v>2019</v>
      </c>
      <c r="D261" s="20">
        <v>20190090</v>
      </c>
      <c r="E261" s="20">
        <v>32049</v>
      </c>
      <c r="F261" s="20" t="s">
        <v>825</v>
      </c>
      <c r="G261" s="20">
        <v>18718</v>
      </c>
      <c r="H261" s="20" t="s">
        <v>918</v>
      </c>
      <c r="I261" s="20" t="s">
        <v>692</v>
      </c>
      <c r="J261" s="20" t="s">
        <v>693</v>
      </c>
      <c r="K261" s="20" t="s">
        <v>694</v>
      </c>
      <c r="L261" s="20">
        <v>77002</v>
      </c>
      <c r="M261" s="22">
        <v>43522.464583333334</v>
      </c>
      <c r="P261" s="20">
        <v>29.935306000000001</v>
      </c>
      <c r="Q261" s="20">
        <v>-95.383077</v>
      </c>
      <c r="R261" s="20" t="s">
        <v>697</v>
      </c>
      <c r="W261" s="20">
        <v>0.6</v>
      </c>
      <c r="Y261" s="20">
        <v>0.6</v>
      </c>
      <c r="Z261" s="20" t="s">
        <v>698</v>
      </c>
      <c r="AF261" s="20">
        <v>0</v>
      </c>
      <c r="AG261" s="20" t="s">
        <v>698</v>
      </c>
      <c r="AM261" s="20">
        <v>0</v>
      </c>
      <c r="AN261" s="20" t="s">
        <v>699</v>
      </c>
      <c r="AP261" s="20" t="s">
        <v>700</v>
      </c>
      <c r="AQ261" s="23">
        <v>43522.464583333334</v>
      </c>
      <c r="AR261" s="20" t="s">
        <v>701</v>
      </c>
      <c r="AS261" s="20" t="s">
        <v>702</v>
      </c>
      <c r="AU261" s="20" t="s">
        <v>698</v>
      </c>
      <c r="AV261" s="20" t="s">
        <v>2454</v>
      </c>
      <c r="BC261" s="23">
        <v>43522.464583333334</v>
      </c>
      <c r="BF261" s="20" t="s">
        <v>754</v>
      </c>
      <c r="BH261" s="20" t="s">
        <v>698</v>
      </c>
      <c r="BM261" s="20" t="s">
        <v>698</v>
      </c>
      <c r="CA261" s="20">
        <v>0</v>
      </c>
      <c r="CB261" s="20" t="s">
        <v>1893</v>
      </c>
      <c r="CC261" s="20" t="s">
        <v>2455</v>
      </c>
      <c r="CD261" s="20" t="s">
        <v>694</v>
      </c>
      <c r="CE261" s="20">
        <v>77060</v>
      </c>
      <c r="CF261" s="20" t="s">
        <v>2456</v>
      </c>
      <c r="CG261" s="20" t="s">
        <v>1056</v>
      </c>
      <c r="CH261" s="20" t="s">
        <v>710</v>
      </c>
      <c r="CI261" s="20" t="s">
        <v>2457</v>
      </c>
      <c r="CJ261" s="20" t="s">
        <v>698</v>
      </c>
      <c r="CK261" s="20" t="s">
        <v>712</v>
      </c>
      <c r="CL261" s="20" t="s">
        <v>713</v>
      </c>
      <c r="CM261" s="20" t="s">
        <v>758</v>
      </c>
      <c r="CP261" s="20" t="s">
        <v>698</v>
      </c>
      <c r="DM261" s="20" t="s">
        <v>715</v>
      </c>
      <c r="DN261" s="20" t="s">
        <v>766</v>
      </c>
      <c r="FJ261" s="20" t="s">
        <v>2458</v>
      </c>
      <c r="FK261" s="20" t="s">
        <v>728</v>
      </c>
      <c r="FM261" s="20" t="s">
        <v>719</v>
      </c>
      <c r="FO261" s="20" t="s">
        <v>720</v>
      </c>
      <c r="FR261" s="20" t="s">
        <v>823</v>
      </c>
      <c r="FY261" s="20" t="s">
        <v>698</v>
      </c>
      <c r="GC261" s="20" t="s">
        <v>696</v>
      </c>
      <c r="GD261" s="20" t="s">
        <v>698</v>
      </c>
      <c r="GE261" s="20" t="s">
        <v>696</v>
      </c>
      <c r="GH261" s="20" t="s">
        <v>696</v>
      </c>
      <c r="GK261" s="20" t="s">
        <v>698</v>
      </c>
      <c r="GT261" s="20" t="s">
        <v>696</v>
      </c>
      <c r="GU261" s="20" t="s">
        <v>696</v>
      </c>
      <c r="GX261" s="20" t="s">
        <v>696</v>
      </c>
      <c r="GY261" s="20" t="s">
        <v>696</v>
      </c>
      <c r="HF261" s="20">
        <v>0</v>
      </c>
      <c r="HG261" s="20">
        <v>0</v>
      </c>
      <c r="HH261" s="20">
        <v>6000</v>
      </c>
      <c r="HI261" s="20">
        <v>0</v>
      </c>
      <c r="HJ261" s="20">
        <v>7000</v>
      </c>
      <c r="HK261" s="20">
        <v>0</v>
      </c>
      <c r="HM261" s="20">
        <v>13000</v>
      </c>
      <c r="HR261" s="20">
        <v>310</v>
      </c>
      <c r="HS261" s="20">
        <v>1440</v>
      </c>
      <c r="HY261" s="20" t="s">
        <v>723</v>
      </c>
      <c r="HZ261" s="20" t="s">
        <v>698</v>
      </c>
      <c r="IS261" s="20" t="s">
        <v>724</v>
      </c>
      <c r="IT261" s="20" t="s">
        <v>696</v>
      </c>
      <c r="IU261" s="20" t="s">
        <v>696</v>
      </c>
      <c r="IV261" s="20" t="s">
        <v>696</v>
      </c>
      <c r="IW261" s="20" t="s">
        <v>698</v>
      </c>
      <c r="IX261" s="20" t="s">
        <v>698</v>
      </c>
      <c r="IY261" s="20" t="s">
        <v>696</v>
      </c>
      <c r="IZ261" s="20" t="s">
        <v>696</v>
      </c>
      <c r="JA261" s="20" t="s">
        <v>696</v>
      </c>
      <c r="JB261" s="20" t="s">
        <v>698</v>
      </c>
      <c r="JC261" s="20" t="s">
        <v>698</v>
      </c>
      <c r="JD261" s="20" t="s">
        <v>725</v>
      </c>
      <c r="JE261" s="20" t="s">
        <v>726</v>
      </c>
      <c r="JR261" s="20" t="s">
        <v>698</v>
      </c>
      <c r="JS261" s="20" t="s">
        <v>698</v>
      </c>
      <c r="JX261" s="20" t="s">
        <v>789</v>
      </c>
      <c r="JY261" s="20" t="s">
        <v>953</v>
      </c>
      <c r="QB261" s="20" t="s">
        <v>953</v>
      </c>
      <c r="QQ261" s="20" t="s">
        <v>1374</v>
      </c>
      <c r="RA261" s="20" t="s">
        <v>696</v>
      </c>
      <c r="RH261" s="20" t="s">
        <v>696</v>
      </c>
      <c r="XL261" s="20" t="s">
        <v>730</v>
      </c>
      <c r="XM261" s="20" t="s">
        <v>2269</v>
      </c>
      <c r="XN261" s="20" t="s">
        <v>732</v>
      </c>
      <c r="XO261" s="20" t="s">
        <v>733</v>
      </c>
      <c r="XP261" s="20" t="s">
        <v>2216</v>
      </c>
      <c r="XQ261" s="24">
        <v>43585</v>
      </c>
      <c r="XU261" s="20" t="s">
        <v>730</v>
      </c>
      <c r="XV261" s="20" t="s">
        <v>733</v>
      </c>
      <c r="XW261" s="20" t="s">
        <v>2269</v>
      </c>
      <c r="XX261" s="20" t="s">
        <v>732</v>
      </c>
      <c r="XY261" s="20" t="s">
        <v>2459</v>
      </c>
    </row>
    <row r="262" spans="1:649" ht="13">
      <c r="A262" s="20">
        <v>2007</v>
      </c>
      <c r="B262" s="21">
        <v>43544</v>
      </c>
      <c r="C262" s="20">
        <v>2019</v>
      </c>
      <c r="D262" s="20">
        <v>20190089</v>
      </c>
      <c r="E262" s="20">
        <v>31824</v>
      </c>
      <c r="F262" s="20" t="s">
        <v>885</v>
      </c>
      <c r="G262" s="20">
        <v>39706</v>
      </c>
      <c r="H262" s="20" t="s">
        <v>1943</v>
      </c>
      <c r="I262" s="20" t="s">
        <v>692</v>
      </c>
      <c r="J262" s="20" t="s">
        <v>693</v>
      </c>
      <c r="K262" s="20" t="s">
        <v>694</v>
      </c>
      <c r="L262" s="20">
        <v>77002</v>
      </c>
      <c r="M262" s="22">
        <v>43520.520833333336</v>
      </c>
      <c r="P262" s="20">
        <v>30.00104</v>
      </c>
      <c r="Q262" s="20">
        <v>-93.986599999999996</v>
      </c>
      <c r="R262" s="20" t="s">
        <v>697</v>
      </c>
      <c r="W262" s="20">
        <v>2</v>
      </c>
      <c r="Y262" s="20">
        <v>2</v>
      </c>
      <c r="Z262" s="20" t="s">
        <v>698</v>
      </c>
      <c r="AF262" s="20">
        <v>0</v>
      </c>
      <c r="AG262" s="20" t="s">
        <v>698</v>
      </c>
      <c r="AM262" s="20">
        <v>0</v>
      </c>
      <c r="AN262" s="20" t="s">
        <v>699</v>
      </c>
      <c r="AP262" s="20" t="s">
        <v>700</v>
      </c>
      <c r="AQ262" s="23">
        <v>43520.520833333336</v>
      </c>
      <c r="AR262" s="20" t="s">
        <v>736</v>
      </c>
      <c r="AS262" s="20" t="s">
        <v>702</v>
      </c>
      <c r="AU262" s="20" t="s">
        <v>698</v>
      </c>
      <c r="AV262" s="20" t="s">
        <v>2460</v>
      </c>
      <c r="BC262" s="23">
        <v>43520.520833333336</v>
      </c>
      <c r="BF262" s="20" t="s">
        <v>754</v>
      </c>
      <c r="BH262" s="20" t="s">
        <v>698</v>
      </c>
      <c r="BM262" s="20" t="s">
        <v>698</v>
      </c>
      <c r="CA262" s="20">
        <v>0</v>
      </c>
      <c r="CB262" s="20" t="s">
        <v>818</v>
      </c>
      <c r="CC262" s="20" t="s">
        <v>1662</v>
      </c>
      <c r="CD262" s="20" t="s">
        <v>694</v>
      </c>
      <c r="CE262" s="20">
        <v>77627</v>
      </c>
      <c r="CF262" s="20" t="s">
        <v>820</v>
      </c>
      <c r="CG262" s="20" t="s">
        <v>821</v>
      </c>
      <c r="CH262" s="20" t="s">
        <v>710</v>
      </c>
      <c r="CI262" s="20" t="s">
        <v>711</v>
      </c>
      <c r="CJ262" s="20" t="s">
        <v>698</v>
      </c>
      <c r="CK262" s="20" t="s">
        <v>712</v>
      </c>
      <c r="CL262" s="20" t="s">
        <v>713</v>
      </c>
      <c r="CM262" s="20" t="s">
        <v>758</v>
      </c>
      <c r="CP262" s="20" t="s">
        <v>698</v>
      </c>
      <c r="DM262" s="20" t="s">
        <v>743</v>
      </c>
      <c r="DN262" s="20" t="s">
        <v>892</v>
      </c>
      <c r="FK262" s="20" t="s">
        <v>728</v>
      </c>
      <c r="FM262" s="20" t="s">
        <v>719</v>
      </c>
      <c r="FO262" s="20" t="s">
        <v>893</v>
      </c>
      <c r="FY262" s="20" t="s">
        <v>698</v>
      </c>
      <c r="GC262" s="20" t="s">
        <v>696</v>
      </c>
      <c r="GD262" s="20" t="s">
        <v>698</v>
      </c>
      <c r="GE262" s="20" t="s">
        <v>698</v>
      </c>
      <c r="GK262" s="20" t="s">
        <v>698</v>
      </c>
      <c r="GT262" s="20" t="s">
        <v>698</v>
      </c>
      <c r="GU262" s="20" t="s">
        <v>696</v>
      </c>
      <c r="GX262" s="20" t="s">
        <v>696</v>
      </c>
      <c r="GY262" s="20" t="s">
        <v>698</v>
      </c>
      <c r="HF262" s="20">
        <v>0</v>
      </c>
      <c r="HG262" s="20">
        <v>120</v>
      </c>
      <c r="HH262" s="20">
        <v>0</v>
      </c>
      <c r="HI262" s="20">
        <v>1000</v>
      </c>
      <c r="HJ262" s="20">
        <v>200</v>
      </c>
      <c r="HK262" s="20">
        <v>0</v>
      </c>
      <c r="HM262" s="20">
        <v>1320</v>
      </c>
      <c r="HR262" s="20">
        <v>125</v>
      </c>
      <c r="HS262" s="20">
        <v>150</v>
      </c>
      <c r="HY262" s="20" t="s">
        <v>723</v>
      </c>
      <c r="HZ262" s="20" t="s">
        <v>698</v>
      </c>
      <c r="IS262" s="20" t="s">
        <v>808</v>
      </c>
      <c r="IT262" s="20" t="s">
        <v>696</v>
      </c>
      <c r="IU262" s="20" t="s">
        <v>696</v>
      </c>
      <c r="IV262" s="20" t="s">
        <v>696</v>
      </c>
      <c r="IW262" s="20" t="s">
        <v>698</v>
      </c>
      <c r="IX262" s="20" t="s">
        <v>698</v>
      </c>
      <c r="IY262" s="20" t="s">
        <v>698</v>
      </c>
      <c r="JD262" s="20" t="s">
        <v>725</v>
      </c>
      <c r="JE262" s="20" t="s">
        <v>726</v>
      </c>
      <c r="JR262" s="20" t="s">
        <v>698</v>
      </c>
      <c r="JS262" s="20" t="s">
        <v>698</v>
      </c>
      <c r="JX262" s="20" t="s">
        <v>894</v>
      </c>
      <c r="JY262" s="20" t="s">
        <v>1080</v>
      </c>
      <c r="RM262" s="20" t="s">
        <v>1080</v>
      </c>
      <c r="RS262" s="20" t="s">
        <v>696</v>
      </c>
      <c r="RV262" s="20" t="s">
        <v>897</v>
      </c>
      <c r="RW262" s="20" t="s">
        <v>696</v>
      </c>
      <c r="RX262" s="20" t="s">
        <v>898</v>
      </c>
      <c r="XL262" s="20" t="s">
        <v>730</v>
      </c>
      <c r="XM262" s="20" t="s">
        <v>2269</v>
      </c>
      <c r="XN262" s="20" t="s">
        <v>732</v>
      </c>
      <c r="XO262" s="20" t="s">
        <v>733</v>
      </c>
      <c r="XP262" s="20" t="s">
        <v>2216</v>
      </c>
      <c r="XQ262" s="24">
        <v>43544</v>
      </c>
      <c r="XU262" s="20" t="s">
        <v>730</v>
      </c>
      <c r="XV262" s="20" t="s">
        <v>733</v>
      </c>
      <c r="XW262" s="20" t="s">
        <v>2269</v>
      </c>
      <c r="XX262" s="20" t="s">
        <v>732</v>
      </c>
      <c r="XY262" s="20" t="s">
        <v>2461</v>
      </c>
    </row>
    <row r="263" spans="1:649" ht="13">
      <c r="A263" s="20">
        <v>2053</v>
      </c>
      <c r="B263" s="21">
        <v>43503</v>
      </c>
      <c r="C263" s="20">
        <v>2019</v>
      </c>
      <c r="D263" s="20">
        <v>20190043</v>
      </c>
      <c r="E263" s="20">
        <v>31808</v>
      </c>
      <c r="F263" s="20" t="s">
        <v>825</v>
      </c>
      <c r="G263" s="20">
        <v>32099</v>
      </c>
      <c r="H263" s="20" t="s">
        <v>752</v>
      </c>
      <c r="I263" s="20" t="s">
        <v>692</v>
      </c>
      <c r="J263" s="20" t="s">
        <v>693</v>
      </c>
      <c r="K263" s="20" t="s">
        <v>694</v>
      </c>
      <c r="L263" s="20">
        <v>77002</v>
      </c>
      <c r="M263" s="22">
        <v>43479.378472222219</v>
      </c>
      <c r="P263" s="20">
        <v>31.517399999999999</v>
      </c>
      <c r="Q263" s="20">
        <v>-103.4568</v>
      </c>
      <c r="R263" s="20" t="s">
        <v>697</v>
      </c>
      <c r="W263" s="20">
        <v>0.5</v>
      </c>
      <c r="Y263" s="20">
        <v>0.5</v>
      </c>
      <c r="Z263" s="20" t="s">
        <v>698</v>
      </c>
      <c r="AF263" s="20">
        <v>0</v>
      </c>
      <c r="AG263" s="20" t="s">
        <v>698</v>
      </c>
      <c r="AM263" s="20">
        <v>0</v>
      </c>
      <c r="AN263" s="20" t="s">
        <v>699</v>
      </c>
      <c r="AP263" s="20" t="s">
        <v>700</v>
      </c>
      <c r="AQ263" s="23">
        <v>43479.378472222219</v>
      </c>
      <c r="AR263" s="20" t="s">
        <v>701</v>
      </c>
      <c r="AS263" s="20" t="s">
        <v>702</v>
      </c>
      <c r="AU263" s="20" t="s">
        <v>696</v>
      </c>
      <c r="AW263" s="23">
        <v>43479.416666666664</v>
      </c>
      <c r="AX263" s="23">
        <v>43479.607638888891</v>
      </c>
      <c r="BC263" s="23">
        <v>43479.378472222219</v>
      </c>
      <c r="BF263" s="20" t="s">
        <v>754</v>
      </c>
      <c r="BH263" s="20" t="s">
        <v>698</v>
      </c>
      <c r="BM263" s="20" t="s">
        <v>698</v>
      </c>
      <c r="CA263" s="20">
        <v>0</v>
      </c>
      <c r="CB263" s="20" t="s">
        <v>2462</v>
      </c>
      <c r="CC263" s="20" t="s">
        <v>2463</v>
      </c>
      <c r="CD263" s="20" t="s">
        <v>694</v>
      </c>
      <c r="CE263" s="20">
        <v>79772</v>
      </c>
      <c r="CF263" s="20" t="s">
        <v>2464</v>
      </c>
      <c r="CG263" s="20" t="s">
        <v>2274</v>
      </c>
      <c r="CH263" s="20" t="s">
        <v>1931</v>
      </c>
      <c r="CI263" s="20" t="s">
        <v>711</v>
      </c>
      <c r="CJ263" s="20" t="s">
        <v>698</v>
      </c>
      <c r="CK263" s="20" t="s">
        <v>712</v>
      </c>
      <c r="CL263" s="20" t="s">
        <v>713</v>
      </c>
      <c r="CM263" s="20" t="s">
        <v>758</v>
      </c>
      <c r="CP263" s="20" t="s">
        <v>698</v>
      </c>
      <c r="DM263" s="20" t="s">
        <v>715</v>
      </c>
      <c r="DN263" s="20" t="s">
        <v>766</v>
      </c>
      <c r="FJ263" s="20" t="s">
        <v>2465</v>
      </c>
      <c r="FK263" s="20">
        <v>2018</v>
      </c>
      <c r="FM263" s="20" t="s">
        <v>719</v>
      </c>
      <c r="FO263" s="20" t="s">
        <v>720</v>
      </c>
      <c r="FR263" s="20" t="s">
        <v>768</v>
      </c>
      <c r="FY263" s="20" t="s">
        <v>698</v>
      </c>
      <c r="GC263" s="20" t="s">
        <v>696</v>
      </c>
      <c r="GD263" s="20" t="s">
        <v>698</v>
      </c>
      <c r="GE263" s="20" t="s">
        <v>696</v>
      </c>
      <c r="GH263" s="20" t="s">
        <v>696</v>
      </c>
      <c r="GK263" s="20" t="s">
        <v>698</v>
      </c>
      <c r="GT263" s="20" t="s">
        <v>698</v>
      </c>
      <c r="GU263" s="20" t="s">
        <v>698</v>
      </c>
      <c r="HF263" s="20">
        <v>0</v>
      </c>
      <c r="HG263" s="20">
        <v>25</v>
      </c>
      <c r="HH263" s="20">
        <v>500</v>
      </c>
      <c r="HI263" s="20">
        <v>200</v>
      </c>
      <c r="HJ263" s="20">
        <v>2639</v>
      </c>
      <c r="HK263" s="20">
        <v>0</v>
      </c>
      <c r="HM263" s="20">
        <v>3364</v>
      </c>
      <c r="HR263" s="20">
        <v>12</v>
      </c>
      <c r="HS263" s="20">
        <v>270</v>
      </c>
      <c r="HY263" s="20" t="s">
        <v>723</v>
      </c>
      <c r="HZ263" s="20" t="s">
        <v>698</v>
      </c>
      <c r="IS263" s="20" t="s">
        <v>808</v>
      </c>
      <c r="IT263" s="20" t="s">
        <v>696</v>
      </c>
      <c r="IU263" s="20" t="s">
        <v>696</v>
      </c>
      <c r="IV263" s="20" t="s">
        <v>696</v>
      </c>
      <c r="IW263" s="20" t="s">
        <v>698</v>
      </c>
      <c r="IX263" s="20" t="s">
        <v>698</v>
      </c>
      <c r="IY263" s="20" t="s">
        <v>696</v>
      </c>
      <c r="IZ263" s="20" t="s">
        <v>696</v>
      </c>
      <c r="JA263" s="20" t="s">
        <v>696</v>
      </c>
      <c r="JB263" s="20" t="s">
        <v>698</v>
      </c>
      <c r="JC263" s="20" t="s">
        <v>698</v>
      </c>
      <c r="JD263" s="20" t="s">
        <v>725</v>
      </c>
      <c r="JE263" s="20" t="s">
        <v>726</v>
      </c>
      <c r="JR263" s="20" t="s">
        <v>698</v>
      </c>
      <c r="JS263" s="20" t="s">
        <v>698</v>
      </c>
      <c r="JX263" s="20" t="s">
        <v>789</v>
      </c>
      <c r="JY263" s="20" t="s">
        <v>953</v>
      </c>
      <c r="QB263" s="20" t="s">
        <v>953</v>
      </c>
      <c r="QQ263" s="20" t="s">
        <v>1847</v>
      </c>
      <c r="RK263" s="20" t="s">
        <v>696</v>
      </c>
      <c r="RL263" s="20" t="s">
        <v>2466</v>
      </c>
      <c r="XL263" s="20" t="s">
        <v>730</v>
      </c>
      <c r="XM263" s="20" t="s">
        <v>2269</v>
      </c>
      <c r="XN263" s="20" t="s">
        <v>732</v>
      </c>
      <c r="XO263" s="20" t="s">
        <v>733</v>
      </c>
      <c r="XP263" s="20" t="s">
        <v>2216</v>
      </c>
      <c r="XQ263" s="24">
        <v>43542</v>
      </c>
      <c r="XU263" s="20" t="s">
        <v>730</v>
      </c>
      <c r="XV263" s="20" t="s">
        <v>733</v>
      </c>
      <c r="XW263" s="20" t="s">
        <v>2269</v>
      </c>
      <c r="XX263" s="20" t="s">
        <v>732</v>
      </c>
      <c r="XY263" s="20" t="s">
        <v>2467</v>
      </c>
    </row>
    <row r="264" spans="1:649" ht="13">
      <c r="A264" s="20">
        <v>2080</v>
      </c>
      <c r="B264" s="21">
        <v>43483</v>
      </c>
      <c r="C264" s="20">
        <v>2018</v>
      </c>
      <c r="D264" s="20">
        <v>20190016</v>
      </c>
      <c r="E264" s="20">
        <v>32288</v>
      </c>
      <c r="F264" s="20" t="s">
        <v>825</v>
      </c>
      <c r="G264" s="20">
        <v>39706</v>
      </c>
      <c r="H264" s="20" t="s">
        <v>1943</v>
      </c>
      <c r="I264" s="20" t="s">
        <v>692</v>
      </c>
      <c r="J264" s="20" t="s">
        <v>693</v>
      </c>
      <c r="K264" s="20" t="s">
        <v>694</v>
      </c>
      <c r="L264" s="20">
        <v>77002</v>
      </c>
      <c r="M264" s="22">
        <v>43455.963194444441</v>
      </c>
      <c r="P264" s="20">
        <v>29.996700000000001</v>
      </c>
      <c r="Q264" s="20">
        <v>-93.997649999999993</v>
      </c>
      <c r="R264" s="20" t="s">
        <v>697</v>
      </c>
      <c r="W264" s="20">
        <v>15</v>
      </c>
      <c r="Y264" s="20">
        <v>15</v>
      </c>
      <c r="Z264" s="20" t="s">
        <v>698</v>
      </c>
      <c r="AF264" s="20">
        <v>0</v>
      </c>
      <c r="AG264" s="20" t="s">
        <v>698</v>
      </c>
      <c r="AM264" s="20">
        <v>0</v>
      </c>
      <c r="AN264" s="20" t="s">
        <v>699</v>
      </c>
      <c r="AP264" s="20" t="s">
        <v>700</v>
      </c>
      <c r="AQ264" s="23">
        <v>43455.963194444441</v>
      </c>
      <c r="AR264" s="20" t="s">
        <v>907</v>
      </c>
      <c r="AS264" s="20" t="s">
        <v>702</v>
      </c>
      <c r="AU264" s="20" t="s">
        <v>698</v>
      </c>
      <c r="AV264" s="20" t="s">
        <v>2415</v>
      </c>
      <c r="BC264" s="23">
        <v>43455.963194444441</v>
      </c>
      <c r="BE264" s="23">
        <v>43456.520833333336</v>
      </c>
      <c r="BF264" s="20">
        <v>1233756</v>
      </c>
      <c r="BH264" s="20" t="s">
        <v>698</v>
      </c>
      <c r="BM264" s="20" t="s">
        <v>698</v>
      </c>
      <c r="CA264" s="20">
        <v>0</v>
      </c>
      <c r="CB264" s="20" t="s">
        <v>818</v>
      </c>
      <c r="CC264" s="20" t="s">
        <v>2416</v>
      </c>
      <c r="CD264" s="20" t="s">
        <v>694</v>
      </c>
      <c r="CE264" s="20">
        <v>77627</v>
      </c>
      <c r="CF264" s="20" t="s">
        <v>820</v>
      </c>
      <c r="CG264" s="20" t="s">
        <v>821</v>
      </c>
      <c r="CH264" s="20" t="s">
        <v>710</v>
      </c>
      <c r="CI264" s="20" t="s">
        <v>711</v>
      </c>
      <c r="CJ264" s="20" t="s">
        <v>698</v>
      </c>
      <c r="CK264" s="20" t="s">
        <v>712</v>
      </c>
      <c r="CL264" s="20" t="s">
        <v>910</v>
      </c>
      <c r="CP264" s="20" t="s">
        <v>698</v>
      </c>
      <c r="DM264" s="20" t="s">
        <v>743</v>
      </c>
      <c r="DN264" s="20" t="s">
        <v>911</v>
      </c>
      <c r="EW264" s="20" t="s">
        <v>1156</v>
      </c>
      <c r="EY264" s="20" t="s">
        <v>913</v>
      </c>
      <c r="FF264" s="20">
        <v>2002</v>
      </c>
      <c r="FH264" s="20">
        <v>2014</v>
      </c>
      <c r="FK264" s="20">
        <v>1956</v>
      </c>
      <c r="FM264" s="20" t="s">
        <v>719</v>
      </c>
      <c r="FO264" s="20" t="s">
        <v>720</v>
      </c>
      <c r="FR264" s="20" t="s">
        <v>749</v>
      </c>
      <c r="FY264" s="20" t="s">
        <v>698</v>
      </c>
      <c r="GC264" s="20" t="s">
        <v>696</v>
      </c>
      <c r="GD264" s="20" t="s">
        <v>698</v>
      </c>
      <c r="GE264" s="20" t="s">
        <v>696</v>
      </c>
      <c r="GH264" s="20" t="s">
        <v>696</v>
      </c>
      <c r="GK264" s="20" t="s">
        <v>698</v>
      </c>
      <c r="GT264" s="20" t="s">
        <v>698</v>
      </c>
      <c r="GU264" s="20" t="s">
        <v>696</v>
      </c>
      <c r="GX264" s="20" t="s">
        <v>696</v>
      </c>
      <c r="GY264" s="20" t="s">
        <v>698</v>
      </c>
      <c r="HB264" s="20" t="s">
        <v>696</v>
      </c>
      <c r="HC264" s="20" t="s">
        <v>698</v>
      </c>
      <c r="HF264" s="20">
        <v>0</v>
      </c>
      <c r="HG264" s="20">
        <v>900</v>
      </c>
      <c r="HH264" s="20">
        <v>2092</v>
      </c>
      <c r="HI264" s="20">
        <v>20000</v>
      </c>
      <c r="HJ264" s="20">
        <v>20000</v>
      </c>
      <c r="HK264" s="20">
        <v>0</v>
      </c>
      <c r="HM264" s="20">
        <v>42992</v>
      </c>
      <c r="HR264" s="20">
        <v>15</v>
      </c>
      <c r="HS264" s="20">
        <v>285</v>
      </c>
      <c r="HY264" s="20" t="s">
        <v>723</v>
      </c>
      <c r="HZ264" s="20" t="s">
        <v>698</v>
      </c>
      <c r="IS264" s="20" t="s">
        <v>808</v>
      </c>
      <c r="IT264" s="20" t="s">
        <v>696</v>
      </c>
      <c r="IU264" s="20" t="s">
        <v>696</v>
      </c>
      <c r="IV264" s="20" t="s">
        <v>696</v>
      </c>
      <c r="IW264" s="20" t="s">
        <v>698</v>
      </c>
      <c r="IX264" s="20" t="s">
        <v>698</v>
      </c>
      <c r="IY264" s="20" t="s">
        <v>698</v>
      </c>
      <c r="JD264" s="20" t="s">
        <v>725</v>
      </c>
      <c r="JE264" s="20" t="s">
        <v>2238</v>
      </c>
      <c r="JR264" s="20" t="s">
        <v>698</v>
      </c>
      <c r="JS264" s="20" t="s">
        <v>698</v>
      </c>
      <c r="JX264" s="20" t="s">
        <v>833</v>
      </c>
      <c r="JY264" s="20" t="s">
        <v>860</v>
      </c>
      <c r="JZ264" s="20" t="s">
        <v>860</v>
      </c>
      <c r="KA264" s="20" t="s">
        <v>835</v>
      </c>
      <c r="KD264" s="20" t="s">
        <v>696</v>
      </c>
      <c r="KL264" s="20" t="s">
        <v>696</v>
      </c>
      <c r="KP264" s="20" t="s">
        <v>698</v>
      </c>
      <c r="LB264" s="20" t="s">
        <v>696</v>
      </c>
      <c r="LC264" s="20" t="s">
        <v>698</v>
      </c>
      <c r="XL264" s="20" t="s">
        <v>730</v>
      </c>
      <c r="XM264" s="20" t="s">
        <v>2269</v>
      </c>
      <c r="XN264" s="20" t="s">
        <v>732</v>
      </c>
      <c r="XO264" s="20" t="s">
        <v>733</v>
      </c>
      <c r="XP264" s="20" t="s">
        <v>2216</v>
      </c>
      <c r="XQ264" s="24">
        <v>43631</v>
      </c>
      <c r="XU264" s="20" t="s">
        <v>730</v>
      </c>
      <c r="XV264" s="20" t="s">
        <v>733</v>
      </c>
      <c r="XW264" s="20" t="s">
        <v>2269</v>
      </c>
      <c r="XX264" s="20" t="s">
        <v>732</v>
      </c>
      <c r="XY264" s="20" t="s">
        <v>2468</v>
      </c>
    </row>
    <row r="265" spans="1:649" ht="13">
      <c r="A265" s="20">
        <v>2081</v>
      </c>
      <c r="B265" s="21">
        <v>43483</v>
      </c>
      <c r="C265" s="20">
        <v>2018</v>
      </c>
      <c r="D265" s="20">
        <v>20190015</v>
      </c>
      <c r="E265" s="20">
        <v>31510</v>
      </c>
      <c r="F265" s="20" t="s">
        <v>885</v>
      </c>
      <c r="G265" s="20">
        <v>39706</v>
      </c>
      <c r="H265" s="20" t="s">
        <v>1943</v>
      </c>
      <c r="I265" s="20" t="s">
        <v>692</v>
      </c>
      <c r="J265" s="20" t="s">
        <v>693</v>
      </c>
      <c r="K265" s="20" t="s">
        <v>694</v>
      </c>
      <c r="L265" s="20">
        <v>77002</v>
      </c>
      <c r="M265" s="22">
        <v>43455.923611111109</v>
      </c>
      <c r="P265" s="20">
        <v>29.997015999999999</v>
      </c>
      <c r="Q265" s="20">
        <v>-93.992067000000006</v>
      </c>
      <c r="R265" s="20" t="s">
        <v>697</v>
      </c>
      <c r="W265" s="20">
        <v>4</v>
      </c>
      <c r="Y265" s="20">
        <v>4</v>
      </c>
      <c r="Z265" s="20" t="s">
        <v>698</v>
      </c>
      <c r="AF265" s="20">
        <v>0</v>
      </c>
      <c r="AG265" s="20" t="s">
        <v>698</v>
      </c>
      <c r="AM265" s="20">
        <v>0</v>
      </c>
      <c r="AN265" s="20" t="s">
        <v>699</v>
      </c>
      <c r="AP265" s="20" t="s">
        <v>700</v>
      </c>
      <c r="AQ265" s="23">
        <v>43455.923611111109</v>
      </c>
      <c r="AR265" s="20" t="s">
        <v>736</v>
      </c>
      <c r="AS265" s="20" t="s">
        <v>702</v>
      </c>
      <c r="AU265" s="20" t="s">
        <v>698</v>
      </c>
      <c r="AV265" s="20" t="s">
        <v>2469</v>
      </c>
      <c r="BC265" s="23">
        <v>43455.923611111109</v>
      </c>
      <c r="BF265" s="20" t="s">
        <v>754</v>
      </c>
      <c r="BH265" s="20" t="s">
        <v>698</v>
      </c>
      <c r="BM265" s="20" t="s">
        <v>698</v>
      </c>
      <c r="CA265" s="20">
        <v>0</v>
      </c>
      <c r="CB265" s="20" t="s">
        <v>818</v>
      </c>
      <c r="CC265" s="20" t="s">
        <v>2470</v>
      </c>
      <c r="CD265" s="20" t="s">
        <v>694</v>
      </c>
      <c r="CE265" s="20">
        <v>77627</v>
      </c>
      <c r="CF265" s="20" t="s">
        <v>820</v>
      </c>
      <c r="CG265" s="20" t="s">
        <v>821</v>
      </c>
      <c r="CH265" s="20" t="s">
        <v>710</v>
      </c>
      <c r="CI265" s="20" t="s">
        <v>711</v>
      </c>
      <c r="CJ265" s="20" t="s">
        <v>698</v>
      </c>
      <c r="CK265" s="20" t="s">
        <v>712</v>
      </c>
      <c r="CL265" s="20" t="s">
        <v>741</v>
      </c>
      <c r="CM265" s="20" t="s">
        <v>742</v>
      </c>
      <c r="CO265" s="20">
        <v>24</v>
      </c>
      <c r="CP265" s="20" t="s">
        <v>698</v>
      </c>
      <c r="DM265" s="20" t="s">
        <v>743</v>
      </c>
      <c r="DN265" s="20" t="s">
        <v>744</v>
      </c>
      <c r="DO265" s="20" t="s">
        <v>745</v>
      </c>
      <c r="DQ265" s="20">
        <v>10</v>
      </c>
      <c r="DR265" s="20" t="s">
        <v>728</v>
      </c>
      <c r="DS265" s="20" t="s">
        <v>728</v>
      </c>
      <c r="DT265" s="20">
        <v>24000</v>
      </c>
      <c r="DU265" s="20" t="s">
        <v>766</v>
      </c>
      <c r="DV265" s="20" t="s">
        <v>728</v>
      </c>
      <c r="DW265" s="20" t="s">
        <v>728</v>
      </c>
      <c r="DX265" s="20" t="s">
        <v>805</v>
      </c>
      <c r="FK265" s="20">
        <v>1983</v>
      </c>
      <c r="FL265" s="20">
        <v>1983</v>
      </c>
      <c r="FM265" s="20" t="s">
        <v>719</v>
      </c>
      <c r="FO265" s="20" t="s">
        <v>720</v>
      </c>
      <c r="FR265" s="20" t="s">
        <v>749</v>
      </c>
      <c r="FY265" s="20" t="s">
        <v>698</v>
      </c>
      <c r="GC265" s="20" t="s">
        <v>696</v>
      </c>
      <c r="GD265" s="20" t="s">
        <v>698</v>
      </c>
      <c r="GE265" s="20" t="s">
        <v>698</v>
      </c>
      <c r="GK265" s="20" t="s">
        <v>698</v>
      </c>
      <c r="GT265" s="20" t="s">
        <v>698</v>
      </c>
      <c r="GU265" s="20" t="s">
        <v>696</v>
      </c>
      <c r="GX265" s="20" t="s">
        <v>696</v>
      </c>
      <c r="GY265" s="20" t="s">
        <v>698</v>
      </c>
      <c r="HF265" s="20">
        <v>0</v>
      </c>
      <c r="HG265" s="20">
        <v>120</v>
      </c>
      <c r="HH265" s="20">
        <v>15000</v>
      </c>
      <c r="HI265" s="20">
        <v>10000</v>
      </c>
      <c r="HJ265" s="20">
        <v>10000</v>
      </c>
      <c r="HK265" s="20">
        <v>0</v>
      </c>
      <c r="HM265" s="20">
        <v>35120</v>
      </c>
      <c r="HR265" s="20">
        <v>40</v>
      </c>
      <c r="HS265" s="20">
        <v>225</v>
      </c>
      <c r="HY265" s="20" t="s">
        <v>723</v>
      </c>
      <c r="HZ265" s="20" t="s">
        <v>698</v>
      </c>
      <c r="IS265" s="20" t="s">
        <v>808</v>
      </c>
      <c r="IT265" s="20" t="s">
        <v>696</v>
      </c>
      <c r="IU265" s="20" t="s">
        <v>696</v>
      </c>
      <c r="IV265" s="20" t="s">
        <v>696</v>
      </c>
      <c r="IW265" s="20" t="s">
        <v>698</v>
      </c>
      <c r="IX265" s="20" t="s">
        <v>698</v>
      </c>
      <c r="IY265" s="20" t="s">
        <v>698</v>
      </c>
      <c r="JD265" s="20" t="s">
        <v>725</v>
      </c>
      <c r="JE265" s="20" t="s">
        <v>2238</v>
      </c>
      <c r="JR265" s="20" t="s">
        <v>698</v>
      </c>
      <c r="JS265" s="20" t="s">
        <v>698</v>
      </c>
      <c r="JX265" s="20" t="s">
        <v>833</v>
      </c>
      <c r="JY265" s="20" t="s">
        <v>834</v>
      </c>
      <c r="JZ265" s="20" t="s">
        <v>834</v>
      </c>
      <c r="LD265" s="20" t="s">
        <v>1442</v>
      </c>
      <c r="LG265" s="20" t="s">
        <v>696</v>
      </c>
      <c r="LL265" s="20" t="s">
        <v>696</v>
      </c>
      <c r="LP265" s="20" t="s">
        <v>696</v>
      </c>
      <c r="LU265" s="20" t="s">
        <v>698</v>
      </c>
      <c r="LV265" s="20" t="s">
        <v>698</v>
      </c>
      <c r="LW265" s="20" t="s">
        <v>838</v>
      </c>
      <c r="LX265" s="20" t="s">
        <v>838</v>
      </c>
      <c r="SC265" s="20" t="s">
        <v>698</v>
      </c>
      <c r="UO265" s="20" t="s">
        <v>698</v>
      </c>
      <c r="UR265" s="20" t="s">
        <v>698</v>
      </c>
      <c r="UZ265" s="20" t="s">
        <v>698</v>
      </c>
      <c r="XL265" s="20" t="s">
        <v>730</v>
      </c>
      <c r="XM265" s="20" t="s">
        <v>2269</v>
      </c>
      <c r="XN265" s="20" t="s">
        <v>732</v>
      </c>
      <c r="XO265" s="20" t="s">
        <v>733</v>
      </c>
      <c r="XP265" s="20" t="s">
        <v>2216</v>
      </c>
      <c r="XQ265" s="24">
        <v>43483</v>
      </c>
      <c r="XU265" s="20" t="s">
        <v>730</v>
      </c>
      <c r="XV265" s="20" t="s">
        <v>733</v>
      </c>
      <c r="XW265" s="20" t="s">
        <v>2269</v>
      </c>
      <c r="XX265" s="20" t="s">
        <v>732</v>
      </c>
      <c r="XY265" s="20" t="s">
        <v>2471</v>
      </c>
    </row>
    <row r="266" spans="1:649" ht="13">
      <c r="A266" s="20">
        <v>2105</v>
      </c>
      <c r="B266" s="21">
        <v>43455</v>
      </c>
      <c r="C266" s="20">
        <v>2018</v>
      </c>
      <c r="D266" s="20">
        <v>20180407</v>
      </c>
      <c r="E266" s="20">
        <v>31383</v>
      </c>
      <c r="F266" s="20" t="s">
        <v>885</v>
      </c>
      <c r="G266" s="20">
        <v>32099</v>
      </c>
      <c r="H266" s="20" t="s">
        <v>752</v>
      </c>
      <c r="I266" s="20" t="s">
        <v>692</v>
      </c>
      <c r="J266" s="20" t="s">
        <v>693</v>
      </c>
      <c r="K266" s="20" t="s">
        <v>694</v>
      </c>
      <c r="L266" s="20">
        <v>77002</v>
      </c>
      <c r="M266" s="22">
        <v>43433.416666666664</v>
      </c>
      <c r="P266" s="20">
        <v>32.20252</v>
      </c>
      <c r="Q266" s="20">
        <v>-100.55267000000001</v>
      </c>
      <c r="R266" s="20" t="s">
        <v>773</v>
      </c>
      <c r="S266" s="20" t="s">
        <v>1098</v>
      </c>
      <c r="W266" s="20">
        <v>1150</v>
      </c>
      <c r="X266" s="20">
        <v>0</v>
      </c>
      <c r="Y266" s="20">
        <v>0</v>
      </c>
      <c r="Z266" s="20" t="s">
        <v>698</v>
      </c>
      <c r="AF266" s="20">
        <v>0</v>
      </c>
      <c r="AG266" s="20" t="s">
        <v>698</v>
      </c>
      <c r="AM266" s="20">
        <v>0</v>
      </c>
      <c r="AN266" s="20" t="s">
        <v>699</v>
      </c>
      <c r="AP266" s="20" t="s">
        <v>700</v>
      </c>
      <c r="AQ266" s="23">
        <v>43433.42083333333</v>
      </c>
      <c r="AR266" s="20" t="s">
        <v>776</v>
      </c>
      <c r="AS266" s="20" t="s">
        <v>702</v>
      </c>
      <c r="AU266" s="20" t="s">
        <v>696</v>
      </c>
      <c r="AW266" s="23">
        <v>43433.416666666664</v>
      </c>
      <c r="AX266" s="23">
        <v>43435.416666666664</v>
      </c>
      <c r="BC266" s="23">
        <v>43433.431944444441</v>
      </c>
      <c r="BF266" s="20" t="s">
        <v>754</v>
      </c>
      <c r="BH266" s="20" t="s">
        <v>698</v>
      </c>
      <c r="BM266" s="20" t="s">
        <v>698</v>
      </c>
      <c r="BQ266" s="20" t="s">
        <v>779</v>
      </c>
      <c r="BU266" s="20" t="s">
        <v>779</v>
      </c>
      <c r="CA266" s="20">
        <v>0</v>
      </c>
      <c r="CB266" s="20" t="s">
        <v>2472</v>
      </c>
      <c r="CC266" s="20" t="s">
        <v>2472</v>
      </c>
      <c r="CD266" s="20" t="s">
        <v>694</v>
      </c>
      <c r="CE266" s="20">
        <v>79535</v>
      </c>
      <c r="CF266" s="20" t="s">
        <v>2473</v>
      </c>
      <c r="CG266" s="20" t="s">
        <v>2125</v>
      </c>
      <c r="CH266" s="20" t="s">
        <v>1931</v>
      </c>
      <c r="CI266" s="20">
        <v>19.59</v>
      </c>
      <c r="CJ266" s="20" t="s">
        <v>698</v>
      </c>
      <c r="CK266" s="20" t="s">
        <v>785</v>
      </c>
      <c r="CL266" s="20" t="s">
        <v>741</v>
      </c>
      <c r="CM266" s="20" t="s">
        <v>1541</v>
      </c>
      <c r="CO266" s="20">
        <v>36</v>
      </c>
      <c r="CP266" s="20" t="s">
        <v>698</v>
      </c>
      <c r="DM266" s="20" t="s">
        <v>715</v>
      </c>
      <c r="DN266" s="20" t="s">
        <v>744</v>
      </c>
      <c r="DO266" s="20" t="s">
        <v>745</v>
      </c>
      <c r="DQ266" s="20">
        <v>4</v>
      </c>
      <c r="DR266" s="20">
        <v>0.188</v>
      </c>
      <c r="DS266" s="20">
        <v>35000</v>
      </c>
      <c r="DT266" s="20" t="s">
        <v>1103</v>
      </c>
      <c r="DU266" s="20" t="s">
        <v>804</v>
      </c>
      <c r="DW266" s="20" t="s">
        <v>728</v>
      </c>
      <c r="DX266" s="20" t="s">
        <v>805</v>
      </c>
      <c r="FK266" s="20">
        <v>1956</v>
      </c>
      <c r="FL266" s="20">
        <v>1956</v>
      </c>
      <c r="FM266" s="20" t="s">
        <v>719</v>
      </c>
      <c r="FO266" s="20" t="s">
        <v>1061</v>
      </c>
      <c r="FP266" s="20">
        <v>2</v>
      </c>
      <c r="FQ266" s="20">
        <v>0.5</v>
      </c>
      <c r="FY266" s="20" t="s">
        <v>698</v>
      </c>
      <c r="GC266" s="20" t="s">
        <v>698</v>
      </c>
      <c r="GD266" s="20" t="s">
        <v>698</v>
      </c>
      <c r="GE266" s="20" t="s">
        <v>698</v>
      </c>
      <c r="GK266" s="20" t="s">
        <v>698</v>
      </c>
      <c r="GT266" s="20" t="s">
        <v>698</v>
      </c>
      <c r="GU266" s="20" t="s">
        <v>698</v>
      </c>
      <c r="HF266" s="20">
        <v>0</v>
      </c>
      <c r="HG266" s="20">
        <v>24000</v>
      </c>
      <c r="HH266" s="20">
        <v>45450</v>
      </c>
      <c r="HI266" s="20">
        <v>0</v>
      </c>
      <c r="HJ266" s="20">
        <v>0</v>
      </c>
      <c r="HK266" s="20">
        <v>0</v>
      </c>
      <c r="HM266" s="20">
        <v>69450</v>
      </c>
      <c r="HR266" s="20">
        <v>560</v>
      </c>
      <c r="HS266" s="20">
        <v>720</v>
      </c>
      <c r="HY266" s="20" t="s">
        <v>723</v>
      </c>
      <c r="HZ266" s="20" t="s">
        <v>698</v>
      </c>
      <c r="IC266" s="20">
        <v>56390</v>
      </c>
      <c r="ID266" s="20" t="s">
        <v>696</v>
      </c>
      <c r="IL266" s="20" t="s">
        <v>698</v>
      </c>
      <c r="IS266" s="20" t="s">
        <v>724</v>
      </c>
      <c r="IT266" s="20" t="s">
        <v>696</v>
      </c>
      <c r="IU266" s="20" t="s">
        <v>696</v>
      </c>
      <c r="IV266" s="20" t="s">
        <v>696</v>
      </c>
      <c r="IW266" s="20" t="s">
        <v>698</v>
      </c>
      <c r="IX266" s="20" t="s">
        <v>698</v>
      </c>
      <c r="IY266" s="20" t="s">
        <v>698</v>
      </c>
      <c r="JD266" s="20" t="s">
        <v>725</v>
      </c>
      <c r="JE266" s="20" t="s">
        <v>2474</v>
      </c>
      <c r="JR266" s="20" t="s">
        <v>698</v>
      </c>
      <c r="JS266" s="20" t="s">
        <v>698</v>
      </c>
      <c r="JX266" s="20" t="s">
        <v>990</v>
      </c>
      <c r="JY266" s="20" t="s">
        <v>1454</v>
      </c>
      <c r="MK266" s="20" t="s">
        <v>1454</v>
      </c>
      <c r="ML266" s="20" t="s">
        <v>696</v>
      </c>
      <c r="MM266" s="20" t="s">
        <v>696</v>
      </c>
      <c r="MV266" s="20" t="s">
        <v>698</v>
      </c>
      <c r="MY266" s="20" t="s">
        <v>696</v>
      </c>
      <c r="MZ266" s="20" t="s">
        <v>992</v>
      </c>
      <c r="NK266" s="20" t="s">
        <v>1785</v>
      </c>
      <c r="NL266" s="20" t="s">
        <v>2475</v>
      </c>
      <c r="NM266" s="20" t="s">
        <v>2476</v>
      </c>
      <c r="NN266" s="20" t="s">
        <v>696</v>
      </c>
      <c r="NO266" s="20">
        <v>1882519236</v>
      </c>
      <c r="NP266" s="20">
        <v>811</v>
      </c>
      <c r="NR266" s="20" t="s">
        <v>2477</v>
      </c>
      <c r="NS266" s="20" t="s">
        <v>696</v>
      </c>
      <c r="NT266" s="20" t="s">
        <v>696</v>
      </c>
      <c r="NU266" s="20">
        <v>48</v>
      </c>
      <c r="NV266" s="20" t="s">
        <v>2478</v>
      </c>
      <c r="NW266" s="20" t="s">
        <v>2479</v>
      </c>
      <c r="XL266" s="20" t="s">
        <v>1712</v>
      </c>
      <c r="XM266" s="20" t="s">
        <v>2291</v>
      </c>
      <c r="XN266" s="20" t="s">
        <v>1714</v>
      </c>
      <c r="XO266" s="20" t="s">
        <v>1715</v>
      </c>
      <c r="XQ266" s="24">
        <v>43455</v>
      </c>
      <c r="XU266" s="20" t="s">
        <v>2206</v>
      </c>
      <c r="XV266" s="20" t="s">
        <v>1625</v>
      </c>
      <c r="XW266" s="20" t="s">
        <v>2292</v>
      </c>
      <c r="XX266" s="20" t="s">
        <v>1627</v>
      </c>
      <c r="XY266" s="20" t="s">
        <v>2480</v>
      </c>
    </row>
    <row r="267" spans="1:649" ht="13">
      <c r="A267" s="20">
        <v>2106</v>
      </c>
      <c r="B267" s="21">
        <v>43454</v>
      </c>
      <c r="C267" s="20">
        <v>2018</v>
      </c>
      <c r="D267" s="20">
        <v>20180400</v>
      </c>
      <c r="E267" s="20">
        <v>31371</v>
      </c>
      <c r="F267" s="20" t="s">
        <v>885</v>
      </c>
      <c r="G267" s="20">
        <v>39706</v>
      </c>
      <c r="H267" s="20" t="s">
        <v>1943</v>
      </c>
      <c r="I267" s="20" t="s">
        <v>692</v>
      </c>
      <c r="J267" s="20" t="s">
        <v>693</v>
      </c>
      <c r="K267" s="20" t="s">
        <v>694</v>
      </c>
      <c r="L267" s="20">
        <v>77002</v>
      </c>
      <c r="M267" s="22">
        <v>43432.708333333336</v>
      </c>
      <c r="P267" s="20">
        <v>30.001110000000001</v>
      </c>
      <c r="Q267" s="20">
        <v>-93.992500000000007</v>
      </c>
      <c r="R267" s="20" t="s">
        <v>697</v>
      </c>
      <c r="W267" s="20">
        <v>3</v>
      </c>
      <c r="Y267" s="20">
        <v>3</v>
      </c>
      <c r="Z267" s="20" t="s">
        <v>698</v>
      </c>
      <c r="AF267" s="20">
        <v>0</v>
      </c>
      <c r="AG267" s="20" t="s">
        <v>698</v>
      </c>
      <c r="AM267" s="20">
        <v>0</v>
      </c>
      <c r="AN267" s="20" t="s">
        <v>699</v>
      </c>
      <c r="AP267" s="20" t="s">
        <v>700</v>
      </c>
      <c r="AQ267" s="23">
        <v>43432.708333333336</v>
      </c>
      <c r="AR267" s="20" t="s">
        <v>736</v>
      </c>
      <c r="AS267" s="20" t="s">
        <v>702</v>
      </c>
      <c r="AU267" s="20" t="s">
        <v>698</v>
      </c>
      <c r="AV267" s="20" t="s">
        <v>2481</v>
      </c>
      <c r="BC267" s="23">
        <v>43432.708333333336</v>
      </c>
      <c r="BF267" s="20" t="s">
        <v>754</v>
      </c>
      <c r="BH267" s="20" t="s">
        <v>698</v>
      </c>
      <c r="BM267" s="20" t="s">
        <v>698</v>
      </c>
      <c r="CA267" s="20">
        <v>0</v>
      </c>
      <c r="CB267" s="20" t="s">
        <v>818</v>
      </c>
      <c r="CC267" s="20" t="s">
        <v>819</v>
      </c>
      <c r="CD267" s="20" t="s">
        <v>694</v>
      </c>
      <c r="CE267" s="20">
        <v>77627</v>
      </c>
      <c r="CF267" s="20" t="s">
        <v>820</v>
      </c>
      <c r="CG267" s="20" t="s">
        <v>821</v>
      </c>
      <c r="CH267" s="20" t="s">
        <v>710</v>
      </c>
      <c r="CI267" s="20" t="s">
        <v>711</v>
      </c>
      <c r="CJ267" s="20" t="s">
        <v>698</v>
      </c>
      <c r="CK267" s="20" t="s">
        <v>712</v>
      </c>
      <c r="CL267" s="20" t="s">
        <v>713</v>
      </c>
      <c r="CM267" s="20" t="s">
        <v>758</v>
      </c>
      <c r="CP267" s="20" t="s">
        <v>698</v>
      </c>
      <c r="DM267" s="20" t="s">
        <v>743</v>
      </c>
      <c r="DN267" s="20" t="s">
        <v>1170</v>
      </c>
      <c r="FK267" s="20" t="s">
        <v>728</v>
      </c>
      <c r="FM267" s="20" t="s">
        <v>719</v>
      </c>
      <c r="FO267" s="20" t="s">
        <v>720</v>
      </c>
      <c r="FR267" s="20" t="s">
        <v>768</v>
      </c>
      <c r="FY267" s="20" t="s">
        <v>698</v>
      </c>
      <c r="GC267" s="20" t="s">
        <v>696</v>
      </c>
      <c r="GD267" s="20" t="s">
        <v>698</v>
      </c>
      <c r="GE267" s="20" t="s">
        <v>696</v>
      </c>
      <c r="GH267" s="20" t="s">
        <v>696</v>
      </c>
      <c r="GK267" s="20" t="s">
        <v>698</v>
      </c>
      <c r="GT267" s="20" t="s">
        <v>698</v>
      </c>
      <c r="GU267" s="20" t="s">
        <v>696</v>
      </c>
      <c r="GX267" s="20" t="s">
        <v>696</v>
      </c>
      <c r="GY267" s="20" t="s">
        <v>698</v>
      </c>
      <c r="HF267" s="20">
        <v>0</v>
      </c>
      <c r="HG267" s="20">
        <v>140</v>
      </c>
      <c r="HH267" s="20">
        <v>200</v>
      </c>
      <c r="HI267" s="20">
        <v>11840</v>
      </c>
      <c r="HJ267" s="20">
        <v>3500</v>
      </c>
      <c r="HK267" s="20">
        <v>0</v>
      </c>
      <c r="HM267" s="20">
        <v>15680</v>
      </c>
      <c r="HR267" s="20">
        <v>15</v>
      </c>
      <c r="HS267" s="20">
        <v>285</v>
      </c>
      <c r="HY267" s="20" t="s">
        <v>723</v>
      </c>
      <c r="HZ267" s="20" t="s">
        <v>698</v>
      </c>
      <c r="IS267" s="20" t="s">
        <v>724</v>
      </c>
      <c r="IT267" s="20" t="s">
        <v>696</v>
      </c>
      <c r="IU267" s="20" t="s">
        <v>696</v>
      </c>
      <c r="IV267" s="20" t="s">
        <v>696</v>
      </c>
      <c r="IW267" s="20" t="s">
        <v>698</v>
      </c>
      <c r="IX267" s="20" t="s">
        <v>698</v>
      </c>
      <c r="IY267" s="20" t="s">
        <v>698</v>
      </c>
      <c r="JD267" s="20" t="s">
        <v>725</v>
      </c>
      <c r="JE267" s="20" t="s">
        <v>726</v>
      </c>
      <c r="JR267" s="20" t="s">
        <v>698</v>
      </c>
      <c r="JS267" s="20" t="s">
        <v>698</v>
      </c>
      <c r="JX267" s="20" t="s">
        <v>789</v>
      </c>
      <c r="JY267" s="20" t="s">
        <v>964</v>
      </c>
      <c r="QB267" s="20" t="s">
        <v>964</v>
      </c>
      <c r="QU267" s="20" t="s">
        <v>2482</v>
      </c>
      <c r="QV267" s="20" t="s">
        <v>696</v>
      </c>
      <c r="QX267" s="20" t="s">
        <v>696</v>
      </c>
      <c r="XL267" s="20" t="s">
        <v>730</v>
      </c>
      <c r="XM267" s="20" t="s">
        <v>2269</v>
      </c>
      <c r="XN267" s="20" t="s">
        <v>732</v>
      </c>
      <c r="XO267" s="20" t="s">
        <v>733</v>
      </c>
      <c r="XP267" s="20" t="s">
        <v>2216</v>
      </c>
      <c r="XQ267" s="24">
        <v>43454</v>
      </c>
      <c r="XU267" s="20" t="s">
        <v>730</v>
      </c>
      <c r="XV267" s="20" t="s">
        <v>733</v>
      </c>
      <c r="XW267" s="20" t="s">
        <v>2269</v>
      </c>
      <c r="XX267" s="20" t="s">
        <v>732</v>
      </c>
      <c r="XY267" s="20" t="s">
        <v>2483</v>
      </c>
    </row>
    <row r="268" spans="1:649" ht="13">
      <c r="A268" s="20">
        <v>2108</v>
      </c>
      <c r="B268" s="21">
        <v>43454</v>
      </c>
      <c r="C268" s="20">
        <v>2018</v>
      </c>
      <c r="D268" s="20">
        <v>20180399</v>
      </c>
      <c r="E268" s="20">
        <v>31369</v>
      </c>
      <c r="F268" s="20" t="s">
        <v>885</v>
      </c>
      <c r="G268" s="20">
        <v>39706</v>
      </c>
      <c r="H268" s="20" t="s">
        <v>1943</v>
      </c>
      <c r="I268" s="20" t="s">
        <v>692</v>
      </c>
      <c r="J268" s="20" t="s">
        <v>693</v>
      </c>
      <c r="K268" s="20" t="s">
        <v>694</v>
      </c>
      <c r="L268" s="20">
        <v>77002</v>
      </c>
      <c r="M268" s="22">
        <v>43425.664583333331</v>
      </c>
      <c r="P268" s="20">
        <v>29.991667</v>
      </c>
      <c r="Q268" s="20">
        <v>-93.991388000000001</v>
      </c>
      <c r="R268" s="20" t="s">
        <v>697</v>
      </c>
      <c r="W268" s="20">
        <v>3</v>
      </c>
      <c r="Y268" s="20">
        <v>3</v>
      </c>
      <c r="Z268" s="20" t="s">
        <v>698</v>
      </c>
      <c r="AF268" s="20">
        <v>0</v>
      </c>
      <c r="AG268" s="20" t="s">
        <v>698</v>
      </c>
      <c r="AM268" s="20">
        <v>0</v>
      </c>
      <c r="AN268" s="20" t="s">
        <v>699</v>
      </c>
      <c r="AP268" s="20" t="s">
        <v>700</v>
      </c>
      <c r="AQ268" s="23">
        <v>43425.664583333331</v>
      </c>
      <c r="AR268" s="20" t="s">
        <v>736</v>
      </c>
      <c r="AS268" s="20" t="s">
        <v>702</v>
      </c>
      <c r="AU268" s="20" t="s">
        <v>698</v>
      </c>
      <c r="AV268" s="20" t="s">
        <v>2469</v>
      </c>
      <c r="BC268" s="23">
        <v>43425.664583333331</v>
      </c>
      <c r="BF268" s="20" t="s">
        <v>754</v>
      </c>
      <c r="BH268" s="20" t="s">
        <v>698</v>
      </c>
      <c r="BM268" s="20" t="s">
        <v>698</v>
      </c>
      <c r="CA268" s="20">
        <v>0</v>
      </c>
      <c r="CB268" s="20" t="s">
        <v>818</v>
      </c>
      <c r="CC268" s="20" t="s">
        <v>1440</v>
      </c>
      <c r="CD268" s="20" t="s">
        <v>694</v>
      </c>
      <c r="CE268" s="20">
        <v>77627</v>
      </c>
      <c r="CF268" s="20" t="s">
        <v>820</v>
      </c>
      <c r="CG268" s="20" t="s">
        <v>821</v>
      </c>
      <c r="CH268" s="20" t="s">
        <v>710</v>
      </c>
      <c r="CI268" s="20" t="s">
        <v>711</v>
      </c>
      <c r="CJ268" s="20" t="s">
        <v>698</v>
      </c>
      <c r="CK268" s="20" t="s">
        <v>712</v>
      </c>
      <c r="CL268" s="20" t="s">
        <v>713</v>
      </c>
      <c r="CM268" s="20" t="s">
        <v>758</v>
      </c>
      <c r="CP268" s="20" t="s">
        <v>698</v>
      </c>
      <c r="DM268" s="20" t="s">
        <v>743</v>
      </c>
      <c r="DN268" s="20" t="s">
        <v>1932</v>
      </c>
      <c r="FK268" s="20">
        <v>2018</v>
      </c>
      <c r="FM268" s="20" t="s">
        <v>719</v>
      </c>
      <c r="FO268" s="20" t="s">
        <v>720</v>
      </c>
      <c r="FR268" s="20" t="s">
        <v>721</v>
      </c>
      <c r="FY268" s="20" t="s">
        <v>698</v>
      </c>
      <c r="GC268" s="20" t="s">
        <v>698</v>
      </c>
      <c r="GD268" s="20" t="s">
        <v>698</v>
      </c>
      <c r="GE268" s="20" t="s">
        <v>698</v>
      </c>
      <c r="GK268" s="20" t="s">
        <v>698</v>
      </c>
      <c r="GT268" s="20" t="s">
        <v>698</v>
      </c>
      <c r="GU268" s="20" t="s">
        <v>696</v>
      </c>
      <c r="GX268" s="20" t="s">
        <v>696</v>
      </c>
      <c r="GY268" s="20" t="s">
        <v>698</v>
      </c>
      <c r="HF268" s="20">
        <v>0</v>
      </c>
      <c r="HG268" s="20">
        <v>210</v>
      </c>
      <c r="HH268" s="20">
        <v>200</v>
      </c>
      <c r="HI268" s="20">
        <v>11840</v>
      </c>
      <c r="HJ268" s="20">
        <v>2700</v>
      </c>
      <c r="HK268" s="20">
        <v>0</v>
      </c>
      <c r="HM268" s="20">
        <v>14950</v>
      </c>
      <c r="HR268" s="20">
        <v>25</v>
      </c>
      <c r="HS268" s="20">
        <v>285</v>
      </c>
      <c r="HY268" s="20" t="s">
        <v>723</v>
      </c>
      <c r="HZ268" s="20" t="s">
        <v>698</v>
      </c>
      <c r="IS268" s="20" t="s">
        <v>724</v>
      </c>
      <c r="IT268" s="20" t="s">
        <v>696</v>
      </c>
      <c r="IU268" s="20" t="s">
        <v>696</v>
      </c>
      <c r="IV268" s="20" t="s">
        <v>696</v>
      </c>
      <c r="IW268" s="20" t="s">
        <v>698</v>
      </c>
      <c r="IX268" s="20" t="s">
        <v>698</v>
      </c>
      <c r="IY268" s="20" t="s">
        <v>698</v>
      </c>
      <c r="JD268" s="20" t="s">
        <v>725</v>
      </c>
      <c r="JE268" s="20" t="s">
        <v>726</v>
      </c>
      <c r="JR268" s="20" t="s">
        <v>698</v>
      </c>
      <c r="JS268" s="20" t="s">
        <v>698</v>
      </c>
      <c r="JX268" s="20" t="s">
        <v>1173</v>
      </c>
      <c r="JY268" s="20" t="s">
        <v>1351</v>
      </c>
      <c r="LY268" s="20" t="s">
        <v>1351</v>
      </c>
      <c r="MC268" s="20" t="s">
        <v>2484</v>
      </c>
      <c r="ME268" s="20" t="s">
        <v>698</v>
      </c>
      <c r="XL268" s="20" t="s">
        <v>730</v>
      </c>
      <c r="XM268" s="20" t="s">
        <v>2269</v>
      </c>
      <c r="XN268" s="20" t="s">
        <v>732</v>
      </c>
      <c r="XO268" s="20" t="s">
        <v>733</v>
      </c>
      <c r="XP268" s="20" t="s">
        <v>2216</v>
      </c>
      <c r="XQ268" s="24">
        <v>43454</v>
      </c>
      <c r="XU268" s="20" t="s">
        <v>730</v>
      </c>
      <c r="XV268" s="20" t="s">
        <v>733</v>
      </c>
      <c r="XW268" s="20" t="s">
        <v>2269</v>
      </c>
      <c r="XX268" s="20" t="s">
        <v>732</v>
      </c>
      <c r="XY268" s="20" t="s">
        <v>2485</v>
      </c>
    </row>
    <row r="269" spans="1:649" ht="13">
      <c r="A269" s="20">
        <v>2120</v>
      </c>
      <c r="B269" s="21">
        <v>43446</v>
      </c>
      <c r="C269" s="20">
        <v>2018</v>
      </c>
      <c r="D269" s="20">
        <v>20180384</v>
      </c>
      <c r="E269" s="20">
        <v>31455</v>
      </c>
      <c r="F269" s="20" t="s">
        <v>825</v>
      </c>
      <c r="G269" s="20">
        <v>18718</v>
      </c>
      <c r="H269" s="20" t="s">
        <v>918</v>
      </c>
      <c r="I269" s="20" t="s">
        <v>692</v>
      </c>
      <c r="J269" s="20" t="s">
        <v>693</v>
      </c>
      <c r="K269" s="20" t="s">
        <v>694</v>
      </c>
      <c r="L269" s="20">
        <v>77002</v>
      </c>
      <c r="M269" s="22">
        <v>43416.510416666664</v>
      </c>
      <c r="P269" s="20">
        <v>33.221105999999999</v>
      </c>
      <c r="Q269" s="20">
        <v>-99.872603999999995</v>
      </c>
      <c r="R269" s="20" t="s">
        <v>697</v>
      </c>
      <c r="W269" s="20">
        <v>100</v>
      </c>
      <c r="Y269" s="20">
        <v>90</v>
      </c>
      <c r="Z269" s="20" t="s">
        <v>698</v>
      </c>
      <c r="AF269" s="20">
        <v>0</v>
      </c>
      <c r="AG269" s="20" t="s">
        <v>698</v>
      </c>
      <c r="AM269" s="20">
        <v>0</v>
      </c>
      <c r="AN269" s="20" t="s">
        <v>766</v>
      </c>
      <c r="AO269" s="20" t="s">
        <v>2486</v>
      </c>
      <c r="AQ269" s="23">
        <v>43416.510416666664</v>
      </c>
      <c r="AR269" s="20" t="s">
        <v>776</v>
      </c>
      <c r="AS269" s="20" t="s">
        <v>702</v>
      </c>
      <c r="AU269" s="20" t="s">
        <v>696</v>
      </c>
      <c r="AW269" s="23">
        <v>43416.510416666664</v>
      </c>
      <c r="AX269" s="23">
        <v>43418.59652777778</v>
      </c>
      <c r="BC269" s="23">
        <v>43416.522222222222</v>
      </c>
      <c r="BE269" s="23">
        <v>43416.568749999999</v>
      </c>
      <c r="BF269" s="20">
        <v>1230168</v>
      </c>
      <c r="BH269" s="20" t="s">
        <v>698</v>
      </c>
      <c r="BM269" s="20" t="s">
        <v>698</v>
      </c>
      <c r="BQ269" s="20" t="s">
        <v>779</v>
      </c>
      <c r="BU269" s="20" t="s">
        <v>779</v>
      </c>
      <c r="CA269" s="20">
        <v>0</v>
      </c>
      <c r="CB269" s="20" t="s">
        <v>2487</v>
      </c>
      <c r="CC269" s="20" t="s">
        <v>2487</v>
      </c>
      <c r="CD269" s="20" t="s">
        <v>694</v>
      </c>
      <c r="CE269" s="20">
        <v>79547</v>
      </c>
      <c r="CF269" s="20" t="s">
        <v>2488</v>
      </c>
      <c r="CG269" s="20" t="s">
        <v>2489</v>
      </c>
      <c r="CH269" s="20" t="s">
        <v>1931</v>
      </c>
      <c r="CI269" s="20">
        <v>41</v>
      </c>
      <c r="CJ269" s="20" t="s">
        <v>698</v>
      </c>
      <c r="CK269" s="20" t="s">
        <v>785</v>
      </c>
      <c r="CL269" s="20" t="s">
        <v>741</v>
      </c>
      <c r="CM269" s="20" t="s">
        <v>742</v>
      </c>
      <c r="CO269" s="20">
        <v>48</v>
      </c>
      <c r="CP269" s="20" t="s">
        <v>698</v>
      </c>
      <c r="DM269" s="20" t="s">
        <v>715</v>
      </c>
      <c r="DN269" s="20" t="s">
        <v>1141</v>
      </c>
      <c r="DQ269" s="20">
        <v>10</v>
      </c>
      <c r="DR269" s="20">
        <v>0.36499999999999999</v>
      </c>
      <c r="DS269" s="20">
        <v>25000</v>
      </c>
      <c r="DT269" s="20" t="s">
        <v>1689</v>
      </c>
      <c r="DU269" s="20" t="s">
        <v>1048</v>
      </c>
      <c r="DW269" s="20" t="s">
        <v>728</v>
      </c>
      <c r="DX269" s="20" t="s">
        <v>805</v>
      </c>
      <c r="EA269" s="20" t="s">
        <v>1142</v>
      </c>
      <c r="FK269" s="20">
        <v>1927</v>
      </c>
      <c r="FL269" s="20" t="s">
        <v>728</v>
      </c>
      <c r="FM269" s="20" t="s">
        <v>719</v>
      </c>
      <c r="FO269" s="20" t="s">
        <v>720</v>
      </c>
      <c r="FR269" s="20" t="s">
        <v>823</v>
      </c>
      <c r="FY269" s="20" t="s">
        <v>698</v>
      </c>
      <c r="GC269" s="20" t="s">
        <v>696</v>
      </c>
      <c r="GD269" s="20" t="s">
        <v>698</v>
      </c>
      <c r="GE269" s="20" t="s">
        <v>696</v>
      </c>
      <c r="GH269" s="20" t="s">
        <v>696</v>
      </c>
      <c r="GK269" s="20" t="s">
        <v>698</v>
      </c>
      <c r="GT269" s="20" t="s">
        <v>698</v>
      </c>
      <c r="GU269" s="20" t="s">
        <v>698</v>
      </c>
      <c r="HF269" s="20">
        <v>0</v>
      </c>
      <c r="HG269" s="20">
        <v>520</v>
      </c>
      <c r="HH269" s="20">
        <v>56235</v>
      </c>
      <c r="HI269" s="20">
        <v>20000</v>
      </c>
      <c r="HJ269" s="20">
        <v>130000</v>
      </c>
      <c r="HK269" s="20">
        <v>0</v>
      </c>
      <c r="HM269" s="20">
        <v>206755</v>
      </c>
      <c r="HR269" s="20">
        <v>55</v>
      </c>
      <c r="HS269" s="20">
        <v>540</v>
      </c>
      <c r="HY269" s="20" t="s">
        <v>723</v>
      </c>
      <c r="HZ269" s="20" t="s">
        <v>698</v>
      </c>
      <c r="IC269" s="20">
        <v>73647</v>
      </c>
      <c r="ID269" s="20" t="s">
        <v>696</v>
      </c>
      <c r="IL269" s="20" t="s">
        <v>698</v>
      </c>
      <c r="IS269" s="20" t="s">
        <v>724</v>
      </c>
      <c r="IT269" s="20" t="s">
        <v>696</v>
      </c>
      <c r="IU269" s="20" t="s">
        <v>696</v>
      </c>
      <c r="IV269" s="20" t="s">
        <v>696</v>
      </c>
      <c r="IW269" s="20" t="s">
        <v>698</v>
      </c>
      <c r="IX269" s="20" t="s">
        <v>698</v>
      </c>
      <c r="IY269" s="20" t="s">
        <v>696</v>
      </c>
      <c r="IZ269" s="20" t="s">
        <v>696</v>
      </c>
      <c r="JA269" s="20" t="s">
        <v>696</v>
      </c>
      <c r="JB269" s="20" t="s">
        <v>698</v>
      </c>
      <c r="JC269" s="20" t="s">
        <v>698</v>
      </c>
      <c r="JD269" s="20" t="s">
        <v>859</v>
      </c>
      <c r="JF269" s="20" t="s">
        <v>696</v>
      </c>
      <c r="JI269" s="20" t="s">
        <v>696</v>
      </c>
      <c r="JJ269" s="20" t="s">
        <v>696</v>
      </c>
      <c r="JR269" s="20" t="s">
        <v>698</v>
      </c>
      <c r="JS269" s="20" t="s">
        <v>698</v>
      </c>
      <c r="JX269" s="20" t="s">
        <v>929</v>
      </c>
      <c r="JY269" s="20" t="s">
        <v>1500</v>
      </c>
      <c r="PB269" s="20" t="s">
        <v>696</v>
      </c>
      <c r="PC269" s="20" t="s">
        <v>696</v>
      </c>
      <c r="PG269" s="20" t="s">
        <v>1500</v>
      </c>
      <c r="PK269" s="20" t="s">
        <v>696</v>
      </c>
      <c r="PL269" s="20" t="s">
        <v>696</v>
      </c>
      <c r="PM269" s="20" t="s">
        <v>2490</v>
      </c>
      <c r="PU269" s="20" t="s">
        <v>696</v>
      </c>
      <c r="QA269" s="20" t="s">
        <v>696</v>
      </c>
      <c r="SC269" s="20" t="s">
        <v>696</v>
      </c>
      <c r="SD269" s="20" t="s">
        <v>696</v>
      </c>
      <c r="SG269" s="20" t="s">
        <v>696</v>
      </c>
      <c r="SK269" s="20">
        <v>2016</v>
      </c>
      <c r="TQ269" s="20">
        <v>2016</v>
      </c>
      <c r="UO269" s="20" t="s">
        <v>696</v>
      </c>
      <c r="UP269" s="20">
        <v>1976</v>
      </c>
      <c r="UQ269" s="20">
        <v>906</v>
      </c>
      <c r="UR269" s="20" t="s">
        <v>698</v>
      </c>
      <c r="UZ269" s="20" t="s">
        <v>698</v>
      </c>
      <c r="XL269" s="20" t="s">
        <v>730</v>
      </c>
      <c r="XM269" s="20" t="s">
        <v>2269</v>
      </c>
      <c r="XN269" s="20" t="s">
        <v>732</v>
      </c>
      <c r="XO269" s="20" t="s">
        <v>733</v>
      </c>
      <c r="XP269" s="20" t="s">
        <v>2216</v>
      </c>
      <c r="XQ269" s="24">
        <v>43474</v>
      </c>
      <c r="XU269" s="20" t="s">
        <v>730</v>
      </c>
      <c r="XV269" s="20" t="s">
        <v>733</v>
      </c>
      <c r="XW269" s="20" t="s">
        <v>2269</v>
      </c>
      <c r="XX269" s="20" t="s">
        <v>732</v>
      </c>
      <c r="XY269" s="20" t="s">
        <v>2491</v>
      </c>
    </row>
    <row r="270" spans="1:649" ht="13">
      <c r="A270" s="20">
        <v>2125</v>
      </c>
      <c r="B270" s="21">
        <v>43454</v>
      </c>
      <c r="C270" s="20">
        <v>2018</v>
      </c>
      <c r="D270" s="20">
        <v>20180401</v>
      </c>
      <c r="E270" s="20">
        <v>31372</v>
      </c>
      <c r="F270" s="20" t="s">
        <v>885</v>
      </c>
      <c r="G270" s="20">
        <v>39706</v>
      </c>
      <c r="H270" s="20" t="s">
        <v>1943</v>
      </c>
      <c r="I270" s="20" t="s">
        <v>692</v>
      </c>
      <c r="J270" s="20" t="s">
        <v>693</v>
      </c>
      <c r="K270" s="20" t="s">
        <v>694</v>
      </c>
      <c r="L270" s="20">
        <v>77002</v>
      </c>
      <c r="M270" s="22">
        <v>43412.083333333336</v>
      </c>
      <c r="P270" s="20">
        <v>29.991667</v>
      </c>
      <c r="Q270" s="20">
        <v>-93.991388000000001</v>
      </c>
      <c r="R270" s="20" t="s">
        <v>697</v>
      </c>
      <c r="W270" s="20">
        <v>2</v>
      </c>
      <c r="Y270" s="20">
        <v>2</v>
      </c>
      <c r="Z270" s="20" t="s">
        <v>698</v>
      </c>
      <c r="AF270" s="20">
        <v>0</v>
      </c>
      <c r="AG270" s="20" t="s">
        <v>698</v>
      </c>
      <c r="AM270" s="20">
        <v>0</v>
      </c>
      <c r="AN270" s="20" t="s">
        <v>699</v>
      </c>
      <c r="AP270" s="20" t="s">
        <v>700</v>
      </c>
      <c r="AQ270" s="23">
        <v>43412.083333333336</v>
      </c>
      <c r="AR270" s="20" t="s">
        <v>736</v>
      </c>
      <c r="AS270" s="20" t="s">
        <v>702</v>
      </c>
      <c r="AU270" s="20" t="s">
        <v>698</v>
      </c>
      <c r="AV270" s="20" t="s">
        <v>2240</v>
      </c>
      <c r="BC270" s="23">
        <v>43412.083333333336</v>
      </c>
      <c r="BF270" s="20" t="s">
        <v>754</v>
      </c>
      <c r="BH270" s="20" t="s">
        <v>698</v>
      </c>
      <c r="BM270" s="20" t="s">
        <v>698</v>
      </c>
      <c r="CA270" s="20">
        <v>0</v>
      </c>
      <c r="CB270" s="20" t="s">
        <v>818</v>
      </c>
      <c r="CC270" s="20" t="s">
        <v>1440</v>
      </c>
      <c r="CD270" s="20" t="s">
        <v>694</v>
      </c>
      <c r="CE270" s="20">
        <v>77627</v>
      </c>
      <c r="CF270" s="20" t="s">
        <v>820</v>
      </c>
      <c r="CG270" s="20" t="s">
        <v>821</v>
      </c>
      <c r="CH270" s="20" t="s">
        <v>710</v>
      </c>
      <c r="CI270" s="20" t="s">
        <v>711</v>
      </c>
      <c r="CJ270" s="20" t="s">
        <v>698</v>
      </c>
      <c r="CK270" s="20" t="s">
        <v>712</v>
      </c>
      <c r="CL270" s="20" t="s">
        <v>713</v>
      </c>
      <c r="CM270" s="20" t="s">
        <v>758</v>
      </c>
      <c r="CP270" s="20" t="s">
        <v>698</v>
      </c>
      <c r="DM270" s="20" t="s">
        <v>743</v>
      </c>
      <c r="DN270" s="20" t="s">
        <v>892</v>
      </c>
      <c r="FK270" s="20" t="s">
        <v>728</v>
      </c>
      <c r="FM270" s="20" t="s">
        <v>719</v>
      </c>
      <c r="FO270" s="20" t="s">
        <v>893</v>
      </c>
      <c r="FY270" s="20" t="s">
        <v>698</v>
      </c>
      <c r="GC270" s="20" t="s">
        <v>696</v>
      </c>
      <c r="GD270" s="20" t="s">
        <v>698</v>
      </c>
      <c r="GE270" s="20" t="s">
        <v>696</v>
      </c>
      <c r="GH270" s="20" t="s">
        <v>696</v>
      </c>
      <c r="GK270" s="20" t="s">
        <v>698</v>
      </c>
      <c r="GT270" s="20" t="s">
        <v>698</v>
      </c>
      <c r="GU270" s="20" t="s">
        <v>696</v>
      </c>
      <c r="GX270" s="20" t="s">
        <v>696</v>
      </c>
      <c r="GY270" s="20" t="s">
        <v>698</v>
      </c>
      <c r="HF270" s="20">
        <v>0</v>
      </c>
      <c r="HG270" s="20">
        <v>35</v>
      </c>
      <c r="HH270" s="20">
        <v>140</v>
      </c>
      <c r="HI270" s="20">
        <v>1200</v>
      </c>
      <c r="HJ270" s="20">
        <v>2800</v>
      </c>
      <c r="HK270" s="20">
        <v>0</v>
      </c>
      <c r="HM270" s="20">
        <v>4175</v>
      </c>
      <c r="HR270" s="20">
        <v>15</v>
      </c>
      <c r="HS270" s="20">
        <v>285</v>
      </c>
      <c r="HY270" s="20" t="s">
        <v>723</v>
      </c>
      <c r="HZ270" s="20" t="s">
        <v>698</v>
      </c>
      <c r="IS270" s="20" t="s">
        <v>724</v>
      </c>
      <c r="IT270" s="20" t="s">
        <v>696</v>
      </c>
      <c r="IU270" s="20" t="s">
        <v>696</v>
      </c>
      <c r="IV270" s="20" t="s">
        <v>696</v>
      </c>
      <c r="IW270" s="20" t="s">
        <v>698</v>
      </c>
      <c r="IX270" s="20" t="s">
        <v>698</v>
      </c>
      <c r="IY270" s="20" t="s">
        <v>698</v>
      </c>
      <c r="JD270" s="20" t="s">
        <v>725</v>
      </c>
      <c r="JE270" s="20" t="s">
        <v>2238</v>
      </c>
      <c r="JR270" s="20" t="s">
        <v>698</v>
      </c>
      <c r="JS270" s="20" t="s">
        <v>698</v>
      </c>
      <c r="JX270" s="20" t="s">
        <v>789</v>
      </c>
      <c r="JY270" s="20" t="s">
        <v>790</v>
      </c>
      <c r="QB270" s="20" t="s">
        <v>790</v>
      </c>
      <c r="QD270" s="20" t="s">
        <v>696</v>
      </c>
      <c r="QZ270" s="20" t="s">
        <v>696</v>
      </c>
      <c r="RK270" s="20" t="s">
        <v>696</v>
      </c>
      <c r="RL270" s="20" t="s">
        <v>2492</v>
      </c>
      <c r="XL270" s="20" t="s">
        <v>730</v>
      </c>
      <c r="XM270" s="20" t="s">
        <v>2269</v>
      </c>
      <c r="XN270" s="20" t="s">
        <v>732</v>
      </c>
      <c r="XO270" s="20" t="s">
        <v>733</v>
      </c>
      <c r="XP270" s="20" t="s">
        <v>2216</v>
      </c>
      <c r="XQ270" s="24">
        <v>43454</v>
      </c>
      <c r="XU270" s="20" t="s">
        <v>730</v>
      </c>
      <c r="XV270" s="20" t="s">
        <v>733</v>
      </c>
      <c r="XW270" s="20" t="s">
        <v>2269</v>
      </c>
      <c r="XX270" s="20" t="s">
        <v>732</v>
      </c>
      <c r="XY270" s="20" t="s">
        <v>2493</v>
      </c>
    </row>
    <row r="271" spans="1:649" ht="13">
      <c r="A271" s="20">
        <v>2126</v>
      </c>
      <c r="B271" s="21">
        <v>43454</v>
      </c>
      <c r="C271" s="20">
        <v>2018</v>
      </c>
      <c r="D271" s="20">
        <v>20180402</v>
      </c>
      <c r="E271" s="20">
        <v>31373</v>
      </c>
      <c r="F271" s="20" t="s">
        <v>885</v>
      </c>
      <c r="G271" s="20">
        <v>39706</v>
      </c>
      <c r="H271" s="20" t="s">
        <v>1943</v>
      </c>
      <c r="I271" s="20" t="s">
        <v>692</v>
      </c>
      <c r="J271" s="20" t="s">
        <v>693</v>
      </c>
      <c r="K271" s="20" t="s">
        <v>694</v>
      </c>
      <c r="L271" s="20">
        <v>77002</v>
      </c>
      <c r="M271" s="22">
        <v>43412.041666666664</v>
      </c>
      <c r="P271" s="20">
        <v>29.997174999999999</v>
      </c>
      <c r="Q271" s="20">
        <v>-93.991901999999996</v>
      </c>
      <c r="R271" s="20" t="s">
        <v>697</v>
      </c>
      <c r="W271" s="20">
        <v>0.5</v>
      </c>
      <c r="Y271" s="20">
        <v>0.5</v>
      </c>
      <c r="Z271" s="20" t="s">
        <v>698</v>
      </c>
      <c r="AF271" s="20">
        <v>0</v>
      </c>
      <c r="AG271" s="20" t="s">
        <v>698</v>
      </c>
      <c r="AM271" s="20">
        <v>0</v>
      </c>
      <c r="AN271" s="20" t="s">
        <v>699</v>
      </c>
      <c r="AP271" s="20" t="s">
        <v>700</v>
      </c>
      <c r="AQ271" s="23">
        <v>43412.041666666664</v>
      </c>
      <c r="AR271" s="20" t="s">
        <v>736</v>
      </c>
      <c r="AS271" s="20" t="s">
        <v>702</v>
      </c>
      <c r="AU271" s="20" t="s">
        <v>698</v>
      </c>
      <c r="AV271" s="20" t="s">
        <v>2494</v>
      </c>
      <c r="BC271" s="23">
        <v>43412.041666666664</v>
      </c>
      <c r="BF271" s="20" t="s">
        <v>754</v>
      </c>
      <c r="BH271" s="20" t="s">
        <v>698</v>
      </c>
      <c r="BM271" s="20" t="s">
        <v>698</v>
      </c>
      <c r="CA271" s="20">
        <v>0</v>
      </c>
      <c r="CB271" s="20" t="s">
        <v>818</v>
      </c>
      <c r="CC271" s="20" t="s">
        <v>2495</v>
      </c>
      <c r="CD271" s="20" t="s">
        <v>694</v>
      </c>
      <c r="CE271" s="20">
        <v>77627</v>
      </c>
      <c r="CF271" s="20" t="s">
        <v>820</v>
      </c>
      <c r="CG271" s="20" t="s">
        <v>821</v>
      </c>
      <c r="CH271" s="20" t="s">
        <v>710</v>
      </c>
      <c r="CI271" s="20" t="s">
        <v>711</v>
      </c>
      <c r="CJ271" s="20" t="s">
        <v>698</v>
      </c>
      <c r="CK271" s="20" t="s">
        <v>712</v>
      </c>
      <c r="CL271" s="20" t="s">
        <v>713</v>
      </c>
      <c r="CM271" s="20" t="s">
        <v>758</v>
      </c>
      <c r="CP271" s="20" t="s">
        <v>698</v>
      </c>
      <c r="DM271" s="20" t="s">
        <v>743</v>
      </c>
      <c r="DN271" s="20" t="s">
        <v>829</v>
      </c>
      <c r="EM271" s="20" t="s">
        <v>830</v>
      </c>
      <c r="FK271" s="20">
        <v>2018</v>
      </c>
      <c r="FM271" s="20" t="s">
        <v>719</v>
      </c>
      <c r="FO271" s="20" t="s">
        <v>720</v>
      </c>
      <c r="FR271" s="20" t="s">
        <v>721</v>
      </c>
      <c r="FY271" s="20" t="s">
        <v>698</v>
      </c>
      <c r="GC271" s="20" t="s">
        <v>696</v>
      </c>
      <c r="GD271" s="20" t="s">
        <v>698</v>
      </c>
      <c r="GE271" s="20" t="s">
        <v>696</v>
      </c>
      <c r="GH271" s="20" t="s">
        <v>696</v>
      </c>
      <c r="GK271" s="20" t="s">
        <v>698</v>
      </c>
      <c r="GT271" s="20" t="s">
        <v>698</v>
      </c>
      <c r="GU271" s="20" t="s">
        <v>696</v>
      </c>
      <c r="GX271" s="20" t="s">
        <v>696</v>
      </c>
      <c r="GY271" s="20" t="s">
        <v>698</v>
      </c>
      <c r="HF271" s="20">
        <v>0</v>
      </c>
      <c r="HG271" s="20">
        <v>70</v>
      </c>
      <c r="HH271" s="20">
        <v>5000</v>
      </c>
      <c r="HI271" s="20">
        <v>4320</v>
      </c>
      <c r="HJ271" s="20">
        <v>1000</v>
      </c>
      <c r="HK271" s="20">
        <v>0</v>
      </c>
      <c r="HM271" s="20">
        <v>10390</v>
      </c>
      <c r="HR271" s="20">
        <v>15</v>
      </c>
      <c r="HS271" s="20">
        <v>285</v>
      </c>
      <c r="HY271" s="20" t="s">
        <v>723</v>
      </c>
      <c r="HZ271" s="20" t="s">
        <v>698</v>
      </c>
      <c r="IS271" s="20" t="s">
        <v>724</v>
      </c>
      <c r="IT271" s="20" t="s">
        <v>696</v>
      </c>
      <c r="IU271" s="20" t="s">
        <v>696</v>
      </c>
      <c r="IV271" s="20" t="s">
        <v>696</v>
      </c>
      <c r="IW271" s="20" t="s">
        <v>698</v>
      </c>
      <c r="IX271" s="20" t="s">
        <v>698</v>
      </c>
      <c r="IY271" s="20" t="s">
        <v>698</v>
      </c>
      <c r="JD271" s="20" t="s">
        <v>725</v>
      </c>
      <c r="JE271" s="20" t="s">
        <v>726</v>
      </c>
      <c r="JR271" s="20" t="s">
        <v>698</v>
      </c>
      <c r="JS271" s="20" t="s">
        <v>698</v>
      </c>
      <c r="JX271" s="20" t="s">
        <v>789</v>
      </c>
      <c r="JY271" s="20" t="s">
        <v>914</v>
      </c>
      <c r="QB271" s="20" t="s">
        <v>914</v>
      </c>
      <c r="QS271" s="20" t="s">
        <v>915</v>
      </c>
      <c r="RK271" s="20" t="s">
        <v>696</v>
      </c>
      <c r="RL271" s="20" t="s">
        <v>2496</v>
      </c>
      <c r="XL271" s="20" t="s">
        <v>730</v>
      </c>
      <c r="XM271" s="20" t="s">
        <v>2269</v>
      </c>
      <c r="XN271" s="20" t="s">
        <v>732</v>
      </c>
      <c r="XO271" s="20" t="s">
        <v>733</v>
      </c>
      <c r="XP271" s="20" t="s">
        <v>2216</v>
      </c>
      <c r="XQ271" s="24">
        <v>43454</v>
      </c>
      <c r="XU271" s="20" t="s">
        <v>730</v>
      </c>
      <c r="XV271" s="20" t="s">
        <v>733</v>
      </c>
      <c r="XW271" s="20" t="s">
        <v>2269</v>
      </c>
      <c r="XX271" s="20" t="s">
        <v>732</v>
      </c>
      <c r="XY271" s="20" t="s">
        <v>2497</v>
      </c>
    </row>
    <row r="272" spans="1:649" ht="13">
      <c r="A272" s="20">
        <v>2139</v>
      </c>
      <c r="B272" s="21">
        <v>43424</v>
      </c>
      <c r="C272" s="20">
        <v>2018</v>
      </c>
      <c r="D272" s="20">
        <v>20180360</v>
      </c>
      <c r="E272" s="20">
        <v>31226</v>
      </c>
      <c r="F272" s="20" t="s">
        <v>825</v>
      </c>
      <c r="G272" s="20">
        <v>39205</v>
      </c>
      <c r="H272" s="20" t="s">
        <v>957</v>
      </c>
      <c r="I272" s="20" t="s">
        <v>692</v>
      </c>
      <c r="J272" s="20" t="s">
        <v>693</v>
      </c>
      <c r="K272" s="20" t="s">
        <v>694</v>
      </c>
      <c r="L272" s="20">
        <v>77002</v>
      </c>
      <c r="M272" s="22">
        <v>43402.291666666664</v>
      </c>
      <c r="P272" s="20">
        <v>44.779000000000003</v>
      </c>
      <c r="Q272" s="20">
        <v>-98.458539999999999</v>
      </c>
      <c r="R272" s="20" t="s">
        <v>697</v>
      </c>
      <c r="W272" s="20">
        <v>0.4</v>
      </c>
      <c r="Y272" s="20">
        <v>0.4</v>
      </c>
      <c r="Z272" s="20" t="s">
        <v>698</v>
      </c>
      <c r="AF272" s="20">
        <v>0</v>
      </c>
      <c r="AG272" s="20" t="s">
        <v>698</v>
      </c>
      <c r="AM272" s="20">
        <v>0</v>
      </c>
      <c r="AN272" s="20" t="s">
        <v>699</v>
      </c>
      <c r="AP272" s="20" t="s">
        <v>700</v>
      </c>
      <c r="AQ272" s="23">
        <v>43402.291666666664</v>
      </c>
      <c r="AR272" s="20" t="s">
        <v>701</v>
      </c>
      <c r="AS272" s="20" t="s">
        <v>702</v>
      </c>
      <c r="AU272" s="20" t="s">
        <v>698</v>
      </c>
      <c r="AV272" s="20" t="s">
        <v>2498</v>
      </c>
      <c r="BC272" s="23">
        <v>43402.291666666664</v>
      </c>
      <c r="BF272" s="20" t="s">
        <v>754</v>
      </c>
      <c r="BH272" s="20" t="s">
        <v>698</v>
      </c>
      <c r="BM272" s="20" t="s">
        <v>698</v>
      </c>
      <c r="CA272" s="20">
        <v>0</v>
      </c>
      <c r="CB272" s="20" t="s">
        <v>2499</v>
      </c>
      <c r="CC272" s="20" t="s">
        <v>2500</v>
      </c>
      <c r="CD272" s="20" t="s">
        <v>941</v>
      </c>
      <c r="CE272" s="20">
        <v>57476</v>
      </c>
      <c r="CF272" s="20" t="s">
        <v>2501</v>
      </c>
      <c r="CG272" s="20" t="s">
        <v>2502</v>
      </c>
      <c r="CH272" s="20" t="s">
        <v>710</v>
      </c>
      <c r="CI272" s="20" t="s">
        <v>2503</v>
      </c>
      <c r="CJ272" s="20" t="s">
        <v>698</v>
      </c>
      <c r="CK272" s="20" t="s">
        <v>712</v>
      </c>
      <c r="CL272" s="20" t="s">
        <v>713</v>
      </c>
      <c r="CM272" s="20" t="s">
        <v>758</v>
      </c>
      <c r="CP272" s="20" t="s">
        <v>698</v>
      </c>
      <c r="DM272" s="20" t="s">
        <v>743</v>
      </c>
      <c r="DN272" s="20" t="s">
        <v>1170</v>
      </c>
      <c r="FK272" s="20">
        <v>2016</v>
      </c>
      <c r="FM272" s="20" t="s">
        <v>962</v>
      </c>
      <c r="FN272" s="20" t="s">
        <v>1171</v>
      </c>
      <c r="FO272" s="20" t="s">
        <v>720</v>
      </c>
      <c r="FR272" s="20" t="s">
        <v>768</v>
      </c>
      <c r="FY272" s="20" t="s">
        <v>698</v>
      </c>
      <c r="GC272" s="20" t="s">
        <v>698</v>
      </c>
      <c r="GD272" s="20" t="s">
        <v>698</v>
      </c>
      <c r="GE272" s="20" t="s">
        <v>698</v>
      </c>
      <c r="GK272" s="20" t="s">
        <v>698</v>
      </c>
      <c r="GT272" s="20" t="s">
        <v>698</v>
      </c>
      <c r="GU272" s="20" t="s">
        <v>698</v>
      </c>
      <c r="HF272" s="20">
        <v>0</v>
      </c>
      <c r="HG272" s="20">
        <v>0</v>
      </c>
      <c r="HH272" s="20">
        <v>500</v>
      </c>
      <c r="HI272" s="20">
        <v>1000</v>
      </c>
      <c r="HJ272" s="20">
        <v>0</v>
      </c>
      <c r="HK272" s="20">
        <v>0</v>
      </c>
      <c r="HM272" s="20">
        <v>1500</v>
      </c>
      <c r="HR272" s="20">
        <v>600</v>
      </c>
      <c r="HS272" s="20">
        <v>1440</v>
      </c>
      <c r="HY272" s="20" t="s">
        <v>723</v>
      </c>
      <c r="HZ272" s="20" t="s">
        <v>698</v>
      </c>
      <c r="IS272" s="20" t="s">
        <v>724</v>
      </c>
      <c r="IT272" s="20" t="s">
        <v>696</v>
      </c>
      <c r="IU272" s="20" t="s">
        <v>696</v>
      </c>
      <c r="IV272" s="20" t="s">
        <v>696</v>
      </c>
      <c r="IW272" s="20" t="s">
        <v>698</v>
      </c>
      <c r="IX272" s="20" t="s">
        <v>698</v>
      </c>
      <c r="IY272" s="20" t="s">
        <v>696</v>
      </c>
      <c r="IZ272" s="20" t="s">
        <v>696</v>
      </c>
      <c r="JA272" s="20" t="s">
        <v>696</v>
      </c>
      <c r="JB272" s="20" t="s">
        <v>698</v>
      </c>
      <c r="JC272" s="20" t="s">
        <v>698</v>
      </c>
      <c r="JD272" s="20" t="s">
        <v>725</v>
      </c>
      <c r="JE272" s="20" t="s">
        <v>726</v>
      </c>
      <c r="JR272" s="20" t="s">
        <v>698</v>
      </c>
      <c r="JS272" s="20" t="s">
        <v>698</v>
      </c>
      <c r="JX272" s="20" t="s">
        <v>789</v>
      </c>
      <c r="JY272" s="20" t="s">
        <v>953</v>
      </c>
      <c r="QB272" s="20" t="s">
        <v>953</v>
      </c>
      <c r="QQ272" s="20" t="s">
        <v>1847</v>
      </c>
      <c r="RA272" s="20" t="s">
        <v>696</v>
      </c>
      <c r="XL272" s="20" t="s">
        <v>730</v>
      </c>
      <c r="XM272" s="20" t="s">
        <v>2269</v>
      </c>
      <c r="XN272" s="20" t="s">
        <v>732</v>
      </c>
      <c r="XO272" s="20" t="s">
        <v>733</v>
      </c>
      <c r="XP272" s="20" t="s">
        <v>2216</v>
      </c>
      <c r="XQ272" s="24">
        <v>43430</v>
      </c>
      <c r="XU272" s="20" t="s">
        <v>730</v>
      </c>
      <c r="XV272" s="20" t="s">
        <v>733</v>
      </c>
      <c r="XW272" s="20" t="s">
        <v>2269</v>
      </c>
      <c r="XX272" s="20" t="s">
        <v>732</v>
      </c>
      <c r="XY272" s="20" t="s">
        <v>2504</v>
      </c>
    </row>
    <row r="273" spans="1:649" ht="13">
      <c r="A273" s="20">
        <v>2150</v>
      </c>
      <c r="B273" s="21">
        <v>43423</v>
      </c>
      <c r="C273" s="20">
        <v>2018</v>
      </c>
      <c r="D273" s="20">
        <v>20180359</v>
      </c>
      <c r="E273" s="20">
        <v>31620</v>
      </c>
      <c r="F273" s="20" t="s">
        <v>825</v>
      </c>
      <c r="G273" s="20">
        <v>22442</v>
      </c>
      <c r="H273" s="20" t="s">
        <v>886</v>
      </c>
      <c r="I273" s="20" t="s">
        <v>692</v>
      </c>
      <c r="J273" s="20" t="s">
        <v>693</v>
      </c>
      <c r="K273" s="20" t="s">
        <v>694</v>
      </c>
      <c r="L273" s="20">
        <v>77002</v>
      </c>
      <c r="M273" s="22">
        <v>43393.583333333336</v>
      </c>
      <c r="P273" s="20">
        <v>32.439145000000003</v>
      </c>
      <c r="Q273" s="20">
        <v>-100.422595</v>
      </c>
      <c r="R273" s="20" t="s">
        <v>697</v>
      </c>
      <c r="W273" s="20">
        <v>10</v>
      </c>
      <c r="Y273" s="20">
        <v>10</v>
      </c>
      <c r="Z273" s="20" t="s">
        <v>698</v>
      </c>
      <c r="AF273" s="20">
        <v>0</v>
      </c>
      <c r="AG273" s="20" t="s">
        <v>698</v>
      </c>
      <c r="AM273" s="20">
        <v>0</v>
      </c>
      <c r="AN273" s="20" t="s">
        <v>699</v>
      </c>
      <c r="AP273" s="20" t="s">
        <v>700</v>
      </c>
      <c r="AQ273" s="23">
        <v>43393.666666666664</v>
      </c>
      <c r="AR273" s="20" t="s">
        <v>776</v>
      </c>
      <c r="AS273" s="20" t="s">
        <v>702</v>
      </c>
      <c r="AU273" s="20" t="s">
        <v>696</v>
      </c>
      <c r="AW273" s="23">
        <v>43383.298611111109</v>
      </c>
      <c r="AX273" s="23">
        <v>43405.652777777781</v>
      </c>
      <c r="BC273" s="23">
        <v>43393.666666666664</v>
      </c>
      <c r="BE273" s="23">
        <v>43393.720833333333</v>
      </c>
      <c r="BF273" s="20">
        <v>1228043</v>
      </c>
      <c r="BH273" s="20" t="s">
        <v>698</v>
      </c>
      <c r="BM273" s="20" t="s">
        <v>698</v>
      </c>
      <c r="BQ273" s="20" t="s">
        <v>779</v>
      </c>
      <c r="BU273" s="20" t="s">
        <v>779</v>
      </c>
      <c r="CA273" s="20">
        <v>0</v>
      </c>
      <c r="CB273" s="20" t="s">
        <v>2505</v>
      </c>
      <c r="CC273" s="20" t="s">
        <v>2506</v>
      </c>
      <c r="CD273" s="20" t="s">
        <v>694</v>
      </c>
      <c r="CE273" s="20">
        <v>79556</v>
      </c>
      <c r="CF273" s="20" t="s">
        <v>2124</v>
      </c>
      <c r="CG273" s="20" t="s">
        <v>2125</v>
      </c>
      <c r="CH273" s="20" t="s">
        <v>1931</v>
      </c>
      <c r="CI273" s="20">
        <v>25.1</v>
      </c>
      <c r="CJ273" s="20" t="s">
        <v>698</v>
      </c>
      <c r="CK273" s="20" t="s">
        <v>785</v>
      </c>
      <c r="CL273" s="20" t="s">
        <v>741</v>
      </c>
      <c r="CM273" s="20" t="s">
        <v>742</v>
      </c>
      <c r="CO273" s="20">
        <v>38</v>
      </c>
      <c r="CP273" s="20" t="s">
        <v>698</v>
      </c>
      <c r="DM273" s="20" t="s">
        <v>743</v>
      </c>
      <c r="DN273" s="20" t="s">
        <v>1932</v>
      </c>
      <c r="FK273" s="20">
        <v>2018</v>
      </c>
      <c r="FM273" s="20" t="s">
        <v>719</v>
      </c>
      <c r="FO273" s="20" t="s">
        <v>720</v>
      </c>
      <c r="FR273" s="20" t="s">
        <v>721</v>
      </c>
      <c r="FY273" s="20" t="s">
        <v>698</v>
      </c>
      <c r="GC273" s="20" t="s">
        <v>696</v>
      </c>
      <c r="GD273" s="20" t="s">
        <v>698</v>
      </c>
      <c r="GE273" s="20" t="s">
        <v>696</v>
      </c>
      <c r="GH273" s="20" t="s">
        <v>696</v>
      </c>
      <c r="GK273" s="20" t="s">
        <v>698</v>
      </c>
      <c r="GT273" s="20" t="s">
        <v>696</v>
      </c>
      <c r="GU273" s="20" t="s">
        <v>698</v>
      </c>
      <c r="HF273" s="20">
        <v>2500</v>
      </c>
      <c r="HG273" s="20">
        <v>630</v>
      </c>
      <c r="HH273" s="20">
        <v>85000</v>
      </c>
      <c r="HI273" s="20">
        <v>2500</v>
      </c>
      <c r="HJ273" s="20">
        <v>20000</v>
      </c>
      <c r="HK273" s="20">
        <v>0</v>
      </c>
      <c r="HM273" s="20">
        <v>110630</v>
      </c>
      <c r="HR273" s="20">
        <v>388</v>
      </c>
      <c r="HS273" s="20">
        <v>750</v>
      </c>
      <c r="HY273" s="20" t="s">
        <v>723</v>
      </c>
      <c r="HZ273" s="20" t="s">
        <v>698</v>
      </c>
      <c r="IC273" s="20">
        <v>179893</v>
      </c>
      <c r="ID273" s="20" t="s">
        <v>696</v>
      </c>
      <c r="IL273" s="20" t="s">
        <v>698</v>
      </c>
      <c r="IS273" s="20" t="s">
        <v>724</v>
      </c>
      <c r="IT273" s="20" t="s">
        <v>698</v>
      </c>
      <c r="IY273" s="20" t="s">
        <v>698</v>
      </c>
      <c r="JD273" s="20" t="s">
        <v>832</v>
      </c>
      <c r="JR273" s="20" t="s">
        <v>698</v>
      </c>
      <c r="JS273" s="20" t="s">
        <v>698</v>
      </c>
      <c r="JX273" s="20" t="s">
        <v>894</v>
      </c>
      <c r="JY273" s="20" t="s">
        <v>1080</v>
      </c>
      <c r="RM273" s="20" t="s">
        <v>1080</v>
      </c>
      <c r="RT273" s="20" t="s">
        <v>696</v>
      </c>
      <c r="RU273" s="20" t="s">
        <v>2507</v>
      </c>
      <c r="RV273" s="20" t="s">
        <v>1034</v>
      </c>
      <c r="RW273" s="20" t="s">
        <v>696</v>
      </c>
      <c r="RX273" s="20" t="s">
        <v>898</v>
      </c>
      <c r="XL273" s="20" t="s">
        <v>730</v>
      </c>
      <c r="XM273" s="20" t="s">
        <v>2269</v>
      </c>
      <c r="XN273" s="20" t="s">
        <v>732</v>
      </c>
      <c r="XO273" s="20" t="s">
        <v>733</v>
      </c>
      <c r="XP273" s="20" t="s">
        <v>2216</v>
      </c>
      <c r="XQ273" s="24">
        <v>43502</v>
      </c>
      <c r="XU273" s="20" t="s">
        <v>730</v>
      </c>
      <c r="XV273" s="20" t="s">
        <v>733</v>
      </c>
      <c r="XW273" s="20" t="s">
        <v>2269</v>
      </c>
      <c r="XX273" s="20" t="s">
        <v>732</v>
      </c>
      <c r="XY273" s="20" t="s">
        <v>2508</v>
      </c>
    </row>
    <row r="274" spans="1:649" ht="13">
      <c r="A274" s="20">
        <v>2160</v>
      </c>
      <c r="B274" s="21">
        <v>43417</v>
      </c>
      <c r="C274" s="20">
        <v>2018</v>
      </c>
      <c r="D274" s="20">
        <v>20180347</v>
      </c>
      <c r="E274" s="20">
        <v>31599</v>
      </c>
      <c r="F274" s="20" t="s">
        <v>825</v>
      </c>
      <c r="G274" s="20">
        <v>22442</v>
      </c>
      <c r="H274" s="20" t="s">
        <v>886</v>
      </c>
      <c r="I274" s="20" t="s">
        <v>692</v>
      </c>
      <c r="J274" s="20" t="s">
        <v>693</v>
      </c>
      <c r="K274" s="20" t="s">
        <v>694</v>
      </c>
      <c r="L274" s="20">
        <v>77002</v>
      </c>
      <c r="M274" s="22">
        <v>43387.423611111109</v>
      </c>
      <c r="P274" s="20">
        <v>32.386733</v>
      </c>
      <c r="Q274" s="20">
        <v>-99.763045000000005</v>
      </c>
      <c r="R274" s="20" t="s">
        <v>697</v>
      </c>
      <c r="W274" s="20">
        <v>8</v>
      </c>
      <c r="Y274" s="20">
        <v>8</v>
      </c>
      <c r="Z274" s="20" t="s">
        <v>698</v>
      </c>
      <c r="AF274" s="20">
        <v>0</v>
      </c>
      <c r="AG274" s="20" t="s">
        <v>698</v>
      </c>
      <c r="AM274" s="20">
        <v>0</v>
      </c>
      <c r="AN274" s="20" t="s">
        <v>2509</v>
      </c>
      <c r="AQ274" s="23">
        <v>43387.423611111109</v>
      </c>
      <c r="AR274" s="20" t="s">
        <v>776</v>
      </c>
      <c r="AS274" s="20" t="s">
        <v>702</v>
      </c>
      <c r="AU274" s="20" t="s">
        <v>696</v>
      </c>
      <c r="AW274" s="23">
        <v>43383.298611111109</v>
      </c>
      <c r="AX274" s="23">
        <v>43405.652777777781</v>
      </c>
      <c r="BC274" s="23">
        <v>43387.458333333336</v>
      </c>
      <c r="BE274" s="23">
        <v>43387.504861111112</v>
      </c>
      <c r="BF274" s="20">
        <v>1227441</v>
      </c>
      <c r="BH274" s="20" t="s">
        <v>698</v>
      </c>
      <c r="BM274" s="20" t="s">
        <v>698</v>
      </c>
      <c r="BQ274" s="20" t="s">
        <v>779</v>
      </c>
      <c r="BU274" s="20" t="s">
        <v>779</v>
      </c>
      <c r="CA274" s="20">
        <v>0</v>
      </c>
      <c r="CB274" s="20" t="s">
        <v>2505</v>
      </c>
      <c r="CC274" s="20" t="s">
        <v>2506</v>
      </c>
      <c r="CD274" s="20" t="s">
        <v>694</v>
      </c>
      <c r="CE274" s="20">
        <v>79606</v>
      </c>
      <c r="CF274" s="20" t="s">
        <v>2510</v>
      </c>
      <c r="CG274" s="20" t="s">
        <v>2511</v>
      </c>
      <c r="CH274" s="20" t="s">
        <v>1931</v>
      </c>
      <c r="CI274" s="20">
        <v>64.2</v>
      </c>
      <c r="CJ274" s="20" t="s">
        <v>698</v>
      </c>
      <c r="CK274" s="20" t="s">
        <v>785</v>
      </c>
      <c r="CL274" s="20" t="s">
        <v>741</v>
      </c>
      <c r="CM274" s="20" t="s">
        <v>742</v>
      </c>
      <c r="CO274" s="20">
        <v>48</v>
      </c>
      <c r="CP274" s="20" t="s">
        <v>698</v>
      </c>
      <c r="DM274" s="20" t="s">
        <v>743</v>
      </c>
      <c r="DN274" s="20" t="s">
        <v>744</v>
      </c>
      <c r="DO274" s="20" t="s">
        <v>745</v>
      </c>
      <c r="DQ274" s="20">
        <v>26</v>
      </c>
      <c r="DR274" s="20">
        <v>0.312</v>
      </c>
      <c r="DS274" s="20">
        <v>52000</v>
      </c>
      <c r="DT274" s="20" t="s">
        <v>1103</v>
      </c>
      <c r="DU274" s="20" t="s">
        <v>766</v>
      </c>
      <c r="DV274" s="20" t="s">
        <v>2512</v>
      </c>
      <c r="DW274" s="20" t="s">
        <v>2513</v>
      </c>
      <c r="DX274" s="20" t="s">
        <v>766</v>
      </c>
      <c r="DY274" s="20" t="s">
        <v>2514</v>
      </c>
      <c r="FK274" s="20">
        <v>1952</v>
      </c>
      <c r="FL274" s="20">
        <v>1952</v>
      </c>
      <c r="FM274" s="20" t="s">
        <v>719</v>
      </c>
      <c r="FO274" s="20" t="s">
        <v>1569</v>
      </c>
      <c r="FT274" s="20" t="s">
        <v>1570</v>
      </c>
      <c r="FV274" s="20">
        <v>10</v>
      </c>
      <c r="FW274" s="20">
        <v>63</v>
      </c>
      <c r="FY274" s="20" t="s">
        <v>698</v>
      </c>
      <c r="GC274" s="20" t="s">
        <v>696</v>
      </c>
      <c r="GD274" s="20" t="s">
        <v>698</v>
      </c>
      <c r="GE274" s="20" t="s">
        <v>696</v>
      </c>
      <c r="GH274" s="20" t="s">
        <v>696</v>
      </c>
      <c r="GK274" s="20" t="s">
        <v>696</v>
      </c>
      <c r="GM274" s="20" t="s">
        <v>696</v>
      </c>
      <c r="GR274" s="20">
        <v>7</v>
      </c>
      <c r="GS274" s="20" t="s">
        <v>2515</v>
      </c>
      <c r="GT274" s="20" t="s">
        <v>696</v>
      </c>
      <c r="GU274" s="20" t="s">
        <v>696</v>
      </c>
      <c r="GX274" s="20" t="s">
        <v>696</v>
      </c>
      <c r="GY274" s="20" t="s">
        <v>696</v>
      </c>
      <c r="HF274" s="20">
        <v>0</v>
      </c>
      <c r="HG274" s="20">
        <v>576</v>
      </c>
      <c r="HH274" s="20">
        <v>225000</v>
      </c>
      <c r="HI274" s="20">
        <v>15000</v>
      </c>
      <c r="HJ274" s="20">
        <v>375000</v>
      </c>
      <c r="HK274" s="20">
        <v>0</v>
      </c>
      <c r="HM274" s="20">
        <v>615576</v>
      </c>
      <c r="HR274" s="20">
        <v>1104</v>
      </c>
      <c r="HS274" s="20">
        <v>750</v>
      </c>
      <c r="HY274" s="20" t="s">
        <v>760</v>
      </c>
      <c r="HZ274" s="20" t="s">
        <v>698</v>
      </c>
      <c r="IC274" s="20">
        <v>108265</v>
      </c>
      <c r="ID274" s="20" t="s">
        <v>696</v>
      </c>
      <c r="IL274" s="20" t="s">
        <v>698</v>
      </c>
      <c r="IS274" s="20" t="s">
        <v>724</v>
      </c>
      <c r="IT274" s="20" t="s">
        <v>698</v>
      </c>
      <c r="IY274" s="20" t="s">
        <v>698</v>
      </c>
      <c r="JD274" s="20" t="s">
        <v>832</v>
      </c>
      <c r="JR274" s="20" t="s">
        <v>698</v>
      </c>
      <c r="JS274" s="20" t="s">
        <v>698</v>
      </c>
      <c r="JX274" s="20" t="s">
        <v>833</v>
      </c>
      <c r="JY274" s="20" t="s">
        <v>860</v>
      </c>
      <c r="JZ274" s="20" t="s">
        <v>860</v>
      </c>
      <c r="KA274" s="20" t="s">
        <v>835</v>
      </c>
      <c r="KC274" s="20" t="s">
        <v>696</v>
      </c>
      <c r="KF274" s="20" t="s">
        <v>696</v>
      </c>
      <c r="KL274" s="20" t="s">
        <v>696</v>
      </c>
      <c r="KM274" s="20" t="s">
        <v>696</v>
      </c>
      <c r="KP274" s="20" t="s">
        <v>696</v>
      </c>
      <c r="KQ274" s="20" t="s">
        <v>696</v>
      </c>
      <c r="KR274" s="20">
        <v>1952</v>
      </c>
      <c r="KS274" s="20" t="s">
        <v>696</v>
      </c>
      <c r="KT274" s="20" t="s">
        <v>696</v>
      </c>
      <c r="KU274" s="20" t="s">
        <v>696</v>
      </c>
      <c r="KV274" s="20" t="s">
        <v>696</v>
      </c>
      <c r="KX274" s="20">
        <v>2018</v>
      </c>
      <c r="KY274" s="20">
        <v>2014</v>
      </c>
      <c r="LC274" s="20" t="s">
        <v>698</v>
      </c>
      <c r="SC274" s="20" t="s">
        <v>696</v>
      </c>
      <c r="SD274" s="20" t="s">
        <v>696</v>
      </c>
      <c r="SG274" s="20" t="s">
        <v>696</v>
      </c>
      <c r="SH274" s="20" t="s">
        <v>696</v>
      </c>
      <c r="SJ274" s="20" t="s">
        <v>696</v>
      </c>
      <c r="SK274" s="20">
        <v>2015</v>
      </c>
      <c r="TQ274" s="20">
        <v>2015</v>
      </c>
      <c r="UA274" s="20">
        <v>2016</v>
      </c>
      <c r="UI274" s="20" t="s">
        <v>2516</v>
      </c>
      <c r="UJ274" s="20">
        <v>2017</v>
      </c>
      <c r="UO274" s="20" t="s">
        <v>696</v>
      </c>
      <c r="UP274" s="20">
        <v>2018</v>
      </c>
      <c r="UQ274" s="20">
        <v>980</v>
      </c>
      <c r="UR274" s="20" t="s">
        <v>698</v>
      </c>
      <c r="UZ274" s="20" t="s">
        <v>698</v>
      </c>
      <c r="XL274" s="20" t="s">
        <v>730</v>
      </c>
      <c r="XM274" s="20" t="s">
        <v>2269</v>
      </c>
      <c r="XN274" s="20" t="s">
        <v>732</v>
      </c>
      <c r="XO274" s="20" t="s">
        <v>733</v>
      </c>
      <c r="XP274" s="20" t="s">
        <v>2216</v>
      </c>
      <c r="XQ274" s="24">
        <v>43497</v>
      </c>
      <c r="XU274" s="20" t="s">
        <v>730</v>
      </c>
      <c r="XV274" s="20" t="s">
        <v>733</v>
      </c>
      <c r="XW274" s="20" t="s">
        <v>2269</v>
      </c>
      <c r="XX274" s="20" t="s">
        <v>732</v>
      </c>
      <c r="XY274" s="20" t="s">
        <v>2517</v>
      </c>
    </row>
    <row r="275" spans="1:649" ht="13">
      <c r="A275" s="20">
        <v>2179</v>
      </c>
      <c r="B275" s="21">
        <v>43454</v>
      </c>
      <c r="C275" s="20">
        <v>2018</v>
      </c>
      <c r="D275" s="20">
        <v>20180406</v>
      </c>
      <c r="E275" s="20">
        <v>31382</v>
      </c>
      <c r="F275" s="20" t="s">
        <v>885</v>
      </c>
      <c r="G275" s="20">
        <v>39706</v>
      </c>
      <c r="H275" s="20" t="s">
        <v>1943</v>
      </c>
      <c r="I275" s="20" t="s">
        <v>692</v>
      </c>
      <c r="J275" s="20" t="s">
        <v>693</v>
      </c>
      <c r="K275" s="20" t="s">
        <v>694</v>
      </c>
      <c r="L275" s="20">
        <v>77002</v>
      </c>
      <c r="M275" s="22">
        <v>43373.479166666664</v>
      </c>
      <c r="P275" s="20">
        <v>29.991667</v>
      </c>
      <c r="Q275" s="20">
        <v>-93.991388000000001</v>
      </c>
      <c r="R275" s="20" t="s">
        <v>697</v>
      </c>
      <c r="W275" s="20">
        <v>1</v>
      </c>
      <c r="Y275" s="20">
        <v>1</v>
      </c>
      <c r="Z275" s="20" t="s">
        <v>698</v>
      </c>
      <c r="AF275" s="20">
        <v>0</v>
      </c>
      <c r="AG275" s="20" t="s">
        <v>698</v>
      </c>
      <c r="AM275" s="20">
        <v>0</v>
      </c>
      <c r="AN275" s="20" t="s">
        <v>699</v>
      </c>
      <c r="AP275" s="20" t="s">
        <v>1013</v>
      </c>
      <c r="AQ275" s="23">
        <v>43373.479166666664</v>
      </c>
      <c r="AR275" s="20" t="s">
        <v>736</v>
      </c>
      <c r="AS275" s="20" t="s">
        <v>702</v>
      </c>
      <c r="AU275" s="20" t="s">
        <v>698</v>
      </c>
      <c r="AV275" s="20" t="s">
        <v>2494</v>
      </c>
      <c r="BC275" s="23">
        <v>43373.479166666664</v>
      </c>
      <c r="BF275" s="20" t="s">
        <v>754</v>
      </c>
      <c r="BH275" s="20" t="s">
        <v>698</v>
      </c>
      <c r="BM275" s="20" t="s">
        <v>698</v>
      </c>
      <c r="CA275" s="20">
        <v>0</v>
      </c>
      <c r="CB275" s="20" t="s">
        <v>818</v>
      </c>
      <c r="CC275" s="20" t="s">
        <v>1662</v>
      </c>
      <c r="CD275" s="20" t="s">
        <v>694</v>
      </c>
      <c r="CE275" s="20">
        <v>77627</v>
      </c>
      <c r="CF275" s="20" t="s">
        <v>820</v>
      </c>
      <c r="CG275" s="20" t="s">
        <v>821</v>
      </c>
      <c r="CH275" s="20" t="s">
        <v>710</v>
      </c>
      <c r="CI275" s="20" t="s">
        <v>711</v>
      </c>
      <c r="CJ275" s="20" t="s">
        <v>698</v>
      </c>
      <c r="CK275" s="20" t="s">
        <v>712</v>
      </c>
      <c r="CL275" s="20" t="s">
        <v>713</v>
      </c>
      <c r="CM275" s="20" t="s">
        <v>758</v>
      </c>
      <c r="CP275" s="20" t="s">
        <v>698</v>
      </c>
      <c r="DM275" s="20" t="s">
        <v>743</v>
      </c>
      <c r="DN275" s="20" t="s">
        <v>829</v>
      </c>
      <c r="EM275" s="20" t="s">
        <v>830</v>
      </c>
      <c r="FK275" s="20" t="s">
        <v>728</v>
      </c>
      <c r="FM275" s="20" t="s">
        <v>719</v>
      </c>
      <c r="FO275" s="20" t="s">
        <v>720</v>
      </c>
      <c r="FR275" s="20" t="s">
        <v>721</v>
      </c>
      <c r="FY275" s="20" t="s">
        <v>698</v>
      </c>
      <c r="GC275" s="20" t="s">
        <v>696</v>
      </c>
      <c r="GD275" s="20" t="s">
        <v>698</v>
      </c>
      <c r="GE275" s="20" t="s">
        <v>696</v>
      </c>
      <c r="GH275" s="20" t="s">
        <v>696</v>
      </c>
      <c r="GK275" s="20" t="s">
        <v>698</v>
      </c>
      <c r="GT275" s="20" t="s">
        <v>698</v>
      </c>
      <c r="GU275" s="20" t="s">
        <v>696</v>
      </c>
      <c r="GX275" s="20" t="s">
        <v>696</v>
      </c>
      <c r="GY275" s="20" t="s">
        <v>698</v>
      </c>
      <c r="HF275" s="20">
        <v>0</v>
      </c>
      <c r="HG275" s="20">
        <v>70</v>
      </c>
      <c r="HH275" s="20">
        <v>8200</v>
      </c>
      <c r="HI275" s="20">
        <v>7500</v>
      </c>
      <c r="HJ275" s="20">
        <v>500</v>
      </c>
      <c r="HK275" s="20">
        <v>0</v>
      </c>
      <c r="HM275" s="20">
        <v>16270</v>
      </c>
      <c r="HR275" s="20">
        <v>15</v>
      </c>
      <c r="HS275" s="20">
        <v>285</v>
      </c>
      <c r="HY275" s="20" t="s">
        <v>723</v>
      </c>
      <c r="HZ275" s="20" t="s">
        <v>698</v>
      </c>
      <c r="IS275" s="20" t="s">
        <v>724</v>
      </c>
      <c r="IT275" s="20" t="s">
        <v>696</v>
      </c>
      <c r="IU275" s="20" t="s">
        <v>696</v>
      </c>
      <c r="IV275" s="20" t="s">
        <v>696</v>
      </c>
      <c r="IW275" s="20" t="s">
        <v>698</v>
      </c>
      <c r="IX275" s="20" t="s">
        <v>698</v>
      </c>
      <c r="IY275" s="20" t="s">
        <v>698</v>
      </c>
      <c r="JD275" s="20" t="s">
        <v>725</v>
      </c>
      <c r="JE275" s="20" t="s">
        <v>726</v>
      </c>
      <c r="JR275" s="20" t="s">
        <v>698</v>
      </c>
      <c r="JS275" s="20" t="s">
        <v>698</v>
      </c>
      <c r="JX275" s="20" t="s">
        <v>789</v>
      </c>
      <c r="JY275" s="20" t="s">
        <v>914</v>
      </c>
      <c r="QB275" s="20" t="s">
        <v>914</v>
      </c>
      <c r="QS275" s="20" t="s">
        <v>915</v>
      </c>
      <c r="RK275" s="20" t="s">
        <v>696</v>
      </c>
      <c r="RL275" s="20" t="s">
        <v>2496</v>
      </c>
      <c r="XL275" s="20" t="s">
        <v>730</v>
      </c>
      <c r="XM275" s="20" t="s">
        <v>2269</v>
      </c>
      <c r="XN275" s="20" t="s">
        <v>732</v>
      </c>
      <c r="XO275" s="20" t="s">
        <v>733</v>
      </c>
      <c r="XP275" s="20" t="s">
        <v>2216</v>
      </c>
      <c r="XQ275" s="24">
        <v>43454</v>
      </c>
      <c r="XU275" s="20" t="s">
        <v>730</v>
      </c>
      <c r="XV275" s="20" t="s">
        <v>733</v>
      </c>
      <c r="XW275" s="20" t="s">
        <v>2269</v>
      </c>
      <c r="XX275" s="20" t="s">
        <v>732</v>
      </c>
      <c r="XY275" s="20" t="s">
        <v>2518</v>
      </c>
    </row>
    <row r="276" spans="1:649" ht="13">
      <c r="A276" s="20">
        <v>2183</v>
      </c>
      <c r="B276" s="21">
        <v>43454</v>
      </c>
      <c r="C276" s="20">
        <v>2018</v>
      </c>
      <c r="D276" s="20">
        <v>20180405</v>
      </c>
      <c r="E276" s="20">
        <v>31381</v>
      </c>
      <c r="F276" s="20" t="s">
        <v>885</v>
      </c>
      <c r="G276" s="20">
        <v>39706</v>
      </c>
      <c r="H276" s="20" t="s">
        <v>1943</v>
      </c>
      <c r="I276" s="20" t="s">
        <v>692</v>
      </c>
      <c r="J276" s="20" t="s">
        <v>693</v>
      </c>
      <c r="K276" s="20" t="s">
        <v>694</v>
      </c>
      <c r="L276" s="20">
        <v>77002</v>
      </c>
      <c r="M276" s="22">
        <v>43370.6875</v>
      </c>
      <c r="P276" s="20">
        <v>30.001110000000001</v>
      </c>
      <c r="Q276" s="20">
        <v>-93.992500000000007</v>
      </c>
      <c r="R276" s="20" t="s">
        <v>697</v>
      </c>
      <c r="W276" s="20">
        <v>2</v>
      </c>
      <c r="Y276" s="20">
        <v>2</v>
      </c>
      <c r="Z276" s="20" t="s">
        <v>698</v>
      </c>
      <c r="AF276" s="20">
        <v>0</v>
      </c>
      <c r="AG276" s="20" t="s">
        <v>698</v>
      </c>
      <c r="AM276" s="20">
        <v>0</v>
      </c>
      <c r="AN276" s="20" t="s">
        <v>699</v>
      </c>
      <c r="AP276" s="20" t="s">
        <v>700</v>
      </c>
      <c r="AQ276" s="23">
        <v>43370.6875</v>
      </c>
      <c r="AR276" s="20" t="s">
        <v>736</v>
      </c>
      <c r="AS276" s="20" t="s">
        <v>702</v>
      </c>
      <c r="AU276" s="20" t="s">
        <v>698</v>
      </c>
      <c r="AV276" s="20" t="s">
        <v>2347</v>
      </c>
      <c r="BC276" s="23">
        <v>43370.6875</v>
      </c>
      <c r="BF276" s="20" t="s">
        <v>754</v>
      </c>
      <c r="BH276" s="20" t="s">
        <v>698</v>
      </c>
      <c r="BM276" s="20" t="s">
        <v>698</v>
      </c>
      <c r="CA276" s="20">
        <v>0</v>
      </c>
      <c r="CB276" s="20" t="s">
        <v>818</v>
      </c>
      <c r="CC276" s="20" t="s">
        <v>819</v>
      </c>
      <c r="CD276" s="20" t="s">
        <v>694</v>
      </c>
      <c r="CE276" s="20">
        <v>77627</v>
      </c>
      <c r="CF276" s="20" t="s">
        <v>820</v>
      </c>
      <c r="CG276" s="20" t="s">
        <v>821</v>
      </c>
      <c r="CH276" s="20" t="s">
        <v>710</v>
      </c>
      <c r="CI276" s="20" t="s">
        <v>711</v>
      </c>
      <c r="CJ276" s="20" t="s">
        <v>698</v>
      </c>
      <c r="CK276" s="20" t="s">
        <v>712</v>
      </c>
      <c r="CL276" s="20" t="s">
        <v>713</v>
      </c>
      <c r="CM276" s="20" t="s">
        <v>758</v>
      </c>
      <c r="CP276" s="20" t="s">
        <v>698</v>
      </c>
      <c r="DM276" s="20" t="s">
        <v>743</v>
      </c>
      <c r="DN276" s="20" t="s">
        <v>1170</v>
      </c>
      <c r="FK276" s="20" t="s">
        <v>728</v>
      </c>
      <c r="FM276" s="20" t="s">
        <v>962</v>
      </c>
      <c r="FN276" s="20" t="s">
        <v>1171</v>
      </c>
      <c r="FO276" s="20" t="s">
        <v>720</v>
      </c>
      <c r="FR276" s="20" t="s">
        <v>768</v>
      </c>
      <c r="FY276" s="20" t="s">
        <v>698</v>
      </c>
      <c r="GC276" s="20" t="s">
        <v>696</v>
      </c>
      <c r="GD276" s="20" t="s">
        <v>698</v>
      </c>
      <c r="GE276" s="20" t="s">
        <v>696</v>
      </c>
      <c r="GH276" s="20" t="s">
        <v>696</v>
      </c>
      <c r="GK276" s="20" t="s">
        <v>698</v>
      </c>
      <c r="GT276" s="20" t="s">
        <v>698</v>
      </c>
      <c r="GU276" s="20" t="s">
        <v>696</v>
      </c>
      <c r="GX276" s="20" t="s">
        <v>696</v>
      </c>
      <c r="GY276" s="20" t="s">
        <v>698</v>
      </c>
      <c r="HF276" s="20">
        <v>0</v>
      </c>
      <c r="HG276" s="20">
        <v>140</v>
      </c>
      <c r="HH276" s="20">
        <v>200</v>
      </c>
      <c r="HI276" s="20">
        <v>3000</v>
      </c>
      <c r="HJ276" s="20">
        <v>15500</v>
      </c>
      <c r="HK276" s="20">
        <v>0</v>
      </c>
      <c r="HM276" s="20">
        <v>18840</v>
      </c>
      <c r="HR276" s="20">
        <v>15</v>
      </c>
      <c r="HS276" s="20">
        <v>285</v>
      </c>
      <c r="HY276" s="20" t="s">
        <v>723</v>
      </c>
      <c r="HZ276" s="20" t="s">
        <v>698</v>
      </c>
      <c r="IS276" s="20" t="s">
        <v>724</v>
      </c>
      <c r="IT276" s="20" t="s">
        <v>696</v>
      </c>
      <c r="IU276" s="20" t="s">
        <v>696</v>
      </c>
      <c r="IV276" s="20" t="s">
        <v>696</v>
      </c>
      <c r="IW276" s="20" t="s">
        <v>698</v>
      </c>
      <c r="IX276" s="20" t="s">
        <v>698</v>
      </c>
      <c r="IY276" s="20" t="s">
        <v>698</v>
      </c>
      <c r="JD276" s="20" t="s">
        <v>725</v>
      </c>
      <c r="JE276" s="20" t="s">
        <v>726</v>
      </c>
      <c r="JR276" s="20" t="s">
        <v>698</v>
      </c>
      <c r="JS276" s="20" t="s">
        <v>698</v>
      </c>
      <c r="JX276" s="20" t="s">
        <v>789</v>
      </c>
      <c r="JY276" s="20" t="s">
        <v>964</v>
      </c>
      <c r="QB276" s="20" t="s">
        <v>964</v>
      </c>
      <c r="QU276" s="20" t="s">
        <v>2482</v>
      </c>
      <c r="QV276" s="20" t="s">
        <v>696</v>
      </c>
      <c r="QX276" s="20" t="s">
        <v>696</v>
      </c>
      <c r="XL276" s="20" t="s">
        <v>730</v>
      </c>
      <c r="XM276" s="20" t="s">
        <v>2269</v>
      </c>
      <c r="XN276" s="20" t="s">
        <v>732</v>
      </c>
      <c r="XO276" s="20" t="s">
        <v>733</v>
      </c>
      <c r="XP276" s="20" t="s">
        <v>2216</v>
      </c>
      <c r="XQ276" s="24">
        <v>43454</v>
      </c>
      <c r="XU276" s="20" t="s">
        <v>730</v>
      </c>
      <c r="XV276" s="20" t="s">
        <v>733</v>
      </c>
      <c r="XW276" s="20" t="s">
        <v>2269</v>
      </c>
      <c r="XX276" s="20" t="s">
        <v>732</v>
      </c>
      <c r="XY276" s="20" t="s">
        <v>2519</v>
      </c>
    </row>
    <row r="277" spans="1:649" ht="13">
      <c r="A277" s="20">
        <v>2184</v>
      </c>
      <c r="B277" s="21">
        <v>43398</v>
      </c>
      <c r="C277" s="20">
        <v>2018</v>
      </c>
      <c r="D277" s="20">
        <v>20180325</v>
      </c>
      <c r="E277" s="20">
        <v>32101</v>
      </c>
      <c r="F277" s="20" t="s">
        <v>825</v>
      </c>
      <c r="G277" s="20">
        <v>18718</v>
      </c>
      <c r="H277" s="20" t="s">
        <v>918</v>
      </c>
      <c r="I277" s="20" t="s">
        <v>692</v>
      </c>
      <c r="J277" s="20" t="s">
        <v>693</v>
      </c>
      <c r="K277" s="20" t="s">
        <v>694</v>
      </c>
      <c r="L277" s="20">
        <v>77002</v>
      </c>
      <c r="M277" s="22">
        <v>43370.291666666664</v>
      </c>
      <c r="P277" s="20">
        <v>32.066904999999998</v>
      </c>
      <c r="Q277" s="20">
        <v>-96.474230000000006</v>
      </c>
      <c r="R277" s="20" t="s">
        <v>697</v>
      </c>
      <c r="W277" s="20">
        <v>30</v>
      </c>
      <c r="Y277" s="20">
        <v>30</v>
      </c>
      <c r="Z277" s="20" t="s">
        <v>698</v>
      </c>
      <c r="AF277" s="20">
        <v>0</v>
      </c>
      <c r="AG277" s="20" t="s">
        <v>698</v>
      </c>
      <c r="AM277" s="20">
        <v>0</v>
      </c>
      <c r="AN277" s="20" t="s">
        <v>699</v>
      </c>
      <c r="AP277" s="20" t="s">
        <v>700</v>
      </c>
      <c r="AQ277" s="23">
        <v>43370.302083333336</v>
      </c>
      <c r="AR277" s="20" t="s">
        <v>907</v>
      </c>
      <c r="AS277" s="20" t="s">
        <v>702</v>
      </c>
      <c r="AU277" s="20" t="s">
        <v>698</v>
      </c>
      <c r="AV277" s="20" t="s">
        <v>2520</v>
      </c>
      <c r="BC277" s="23">
        <v>43370.302083333336</v>
      </c>
      <c r="BE277" s="23">
        <v>43370.388888888891</v>
      </c>
      <c r="BF277" s="20">
        <v>1225843</v>
      </c>
      <c r="BH277" s="20" t="s">
        <v>698</v>
      </c>
      <c r="BM277" s="20" t="s">
        <v>698</v>
      </c>
      <c r="CA277" s="20">
        <v>0</v>
      </c>
      <c r="CB277" s="20" t="s">
        <v>1281</v>
      </c>
      <c r="CC277" s="20" t="s">
        <v>2521</v>
      </c>
      <c r="CD277" s="20" t="s">
        <v>694</v>
      </c>
      <c r="CE277" s="20">
        <v>75110</v>
      </c>
      <c r="CF277" s="20" t="s">
        <v>1296</v>
      </c>
      <c r="CG277" s="20" t="s">
        <v>1283</v>
      </c>
      <c r="CH277" s="20" t="s">
        <v>710</v>
      </c>
      <c r="CI277" s="20" t="s">
        <v>711</v>
      </c>
      <c r="CJ277" s="20" t="s">
        <v>698</v>
      </c>
      <c r="CK277" s="20" t="s">
        <v>712</v>
      </c>
      <c r="CL277" s="20" t="s">
        <v>910</v>
      </c>
      <c r="CP277" s="20" t="s">
        <v>698</v>
      </c>
      <c r="DM277" s="20" t="s">
        <v>743</v>
      </c>
      <c r="DN277" s="20" t="s">
        <v>911</v>
      </c>
      <c r="EW277" s="20" t="s">
        <v>1289</v>
      </c>
      <c r="EY277" s="20" t="s">
        <v>913</v>
      </c>
      <c r="FF277" s="20">
        <v>2006</v>
      </c>
      <c r="FH277" s="20">
        <v>2016</v>
      </c>
      <c r="FK277" s="20">
        <v>1952</v>
      </c>
      <c r="FM277" s="20" t="s">
        <v>719</v>
      </c>
      <c r="FO277" s="20" t="s">
        <v>720</v>
      </c>
      <c r="FR277" s="20" t="s">
        <v>766</v>
      </c>
      <c r="FS277" s="20" t="s">
        <v>1157</v>
      </c>
      <c r="FY277" s="20" t="s">
        <v>698</v>
      </c>
      <c r="GC277" s="20" t="s">
        <v>696</v>
      </c>
      <c r="GD277" s="20" t="s">
        <v>698</v>
      </c>
      <c r="GE277" s="20" t="s">
        <v>696</v>
      </c>
      <c r="GH277" s="20" t="s">
        <v>696</v>
      </c>
      <c r="GK277" s="20" t="s">
        <v>698</v>
      </c>
      <c r="GT277" s="20" t="s">
        <v>696</v>
      </c>
      <c r="GU277" s="20" t="s">
        <v>696</v>
      </c>
      <c r="GZ277" s="20" t="s">
        <v>696</v>
      </c>
      <c r="HA277" s="20" t="s">
        <v>696</v>
      </c>
      <c r="HF277" s="20">
        <v>0</v>
      </c>
      <c r="HG277" s="20">
        <v>120</v>
      </c>
      <c r="HH277" s="20">
        <v>0</v>
      </c>
      <c r="HI277" s="20">
        <v>5000</v>
      </c>
      <c r="HJ277" s="20">
        <v>17848</v>
      </c>
      <c r="HK277" s="20">
        <v>368754</v>
      </c>
      <c r="HL277" s="20" t="s">
        <v>2522</v>
      </c>
      <c r="HM277" s="20">
        <v>391722</v>
      </c>
      <c r="HR277" s="20">
        <v>27.5</v>
      </c>
      <c r="HS277" s="20">
        <v>285</v>
      </c>
      <c r="HY277" s="20" t="s">
        <v>723</v>
      </c>
      <c r="HZ277" s="20" t="s">
        <v>698</v>
      </c>
      <c r="IS277" s="20" t="s">
        <v>808</v>
      </c>
      <c r="IT277" s="20" t="s">
        <v>696</v>
      </c>
      <c r="IU277" s="20" t="s">
        <v>696</v>
      </c>
      <c r="IV277" s="20" t="s">
        <v>696</v>
      </c>
      <c r="IW277" s="20" t="s">
        <v>698</v>
      </c>
      <c r="IX277" s="20" t="s">
        <v>698</v>
      </c>
      <c r="IY277" s="20" t="s">
        <v>698</v>
      </c>
      <c r="JD277" s="20" t="s">
        <v>725</v>
      </c>
      <c r="JE277" s="20" t="s">
        <v>726</v>
      </c>
      <c r="JR277" s="20" t="s">
        <v>698</v>
      </c>
      <c r="JS277" s="20" t="s">
        <v>698</v>
      </c>
      <c r="JX277" s="20" t="s">
        <v>833</v>
      </c>
      <c r="JY277" s="20" t="s">
        <v>834</v>
      </c>
      <c r="JZ277" s="20" t="s">
        <v>834</v>
      </c>
      <c r="LD277" s="20" t="s">
        <v>835</v>
      </c>
      <c r="LG277" s="20" t="s">
        <v>696</v>
      </c>
      <c r="LL277" s="20" t="s">
        <v>696</v>
      </c>
      <c r="LS277" s="20" t="s">
        <v>696</v>
      </c>
      <c r="LT277" s="20" t="s">
        <v>2523</v>
      </c>
      <c r="LU277" s="20" t="s">
        <v>698</v>
      </c>
      <c r="LV277" s="20" t="s">
        <v>696</v>
      </c>
      <c r="LW277" s="20" t="s">
        <v>838</v>
      </c>
      <c r="LX277" s="20" t="s">
        <v>838</v>
      </c>
      <c r="XL277" s="20" t="s">
        <v>730</v>
      </c>
      <c r="XM277" s="20" t="s">
        <v>2269</v>
      </c>
      <c r="XN277" s="20" t="s">
        <v>732</v>
      </c>
      <c r="XO277" s="20" t="s">
        <v>733</v>
      </c>
      <c r="XP277" s="20" t="s">
        <v>2216</v>
      </c>
      <c r="XQ277" s="24">
        <v>43593</v>
      </c>
      <c r="XU277" s="20" t="s">
        <v>730</v>
      </c>
      <c r="XV277" s="20" t="s">
        <v>733</v>
      </c>
      <c r="XW277" s="20" t="s">
        <v>2269</v>
      </c>
      <c r="XX277" s="20" t="s">
        <v>732</v>
      </c>
      <c r="XY277" s="20" t="s">
        <v>2524</v>
      </c>
    </row>
    <row r="278" spans="1:649" ht="13">
      <c r="A278" s="20">
        <v>2186</v>
      </c>
      <c r="B278" s="21">
        <v>43454</v>
      </c>
      <c r="C278" s="20">
        <v>2018</v>
      </c>
      <c r="D278" s="20">
        <v>20180404</v>
      </c>
      <c r="E278" s="20">
        <v>31380</v>
      </c>
      <c r="F278" s="20" t="s">
        <v>885</v>
      </c>
      <c r="G278" s="20">
        <v>39706</v>
      </c>
      <c r="H278" s="20" t="s">
        <v>1943</v>
      </c>
      <c r="I278" s="20" t="s">
        <v>692</v>
      </c>
      <c r="J278" s="20" t="s">
        <v>693</v>
      </c>
      <c r="K278" s="20" t="s">
        <v>694</v>
      </c>
      <c r="L278" s="20">
        <v>77002</v>
      </c>
      <c r="M278" s="22">
        <v>43368.784722222219</v>
      </c>
      <c r="P278" s="20">
        <v>29.991667</v>
      </c>
      <c r="Q278" s="20">
        <v>-93.991388000000001</v>
      </c>
      <c r="R278" s="20" t="s">
        <v>697</v>
      </c>
      <c r="W278" s="20">
        <v>2</v>
      </c>
      <c r="Y278" s="20">
        <v>2</v>
      </c>
      <c r="Z278" s="20" t="s">
        <v>698</v>
      </c>
      <c r="AF278" s="20">
        <v>0</v>
      </c>
      <c r="AG278" s="20" t="s">
        <v>698</v>
      </c>
      <c r="AM278" s="20">
        <v>0</v>
      </c>
      <c r="AN278" s="20" t="s">
        <v>699</v>
      </c>
      <c r="AP278" s="20" t="s">
        <v>700</v>
      </c>
      <c r="AQ278" s="23">
        <v>43368.784722222219</v>
      </c>
      <c r="AR278" s="20" t="s">
        <v>736</v>
      </c>
      <c r="AS278" s="20" t="s">
        <v>702</v>
      </c>
      <c r="AU278" s="20" t="s">
        <v>698</v>
      </c>
      <c r="AV278" s="20" t="s">
        <v>2525</v>
      </c>
      <c r="BC278" s="23">
        <v>43368.784722222219</v>
      </c>
      <c r="BF278" s="20" t="s">
        <v>754</v>
      </c>
      <c r="BH278" s="20" t="s">
        <v>698</v>
      </c>
      <c r="BM278" s="20" t="s">
        <v>698</v>
      </c>
      <c r="CA278" s="20">
        <v>0</v>
      </c>
      <c r="CB278" s="20" t="s">
        <v>818</v>
      </c>
      <c r="CC278" s="20" t="s">
        <v>2526</v>
      </c>
      <c r="CD278" s="20" t="s">
        <v>694</v>
      </c>
      <c r="CE278" s="20">
        <v>77627</v>
      </c>
      <c r="CF278" s="20" t="s">
        <v>820</v>
      </c>
      <c r="CG278" s="20" t="s">
        <v>821</v>
      </c>
      <c r="CH278" s="20" t="s">
        <v>710</v>
      </c>
      <c r="CI278" s="20" t="s">
        <v>711</v>
      </c>
      <c r="CJ278" s="20" t="s">
        <v>698</v>
      </c>
      <c r="CK278" s="20" t="s">
        <v>712</v>
      </c>
      <c r="CL278" s="20" t="s">
        <v>713</v>
      </c>
      <c r="CM278" s="20" t="s">
        <v>758</v>
      </c>
      <c r="CP278" s="20" t="s">
        <v>698</v>
      </c>
      <c r="DM278" s="20" t="s">
        <v>743</v>
      </c>
      <c r="DN278" s="20" t="s">
        <v>759</v>
      </c>
      <c r="FK278" s="20">
        <v>2018</v>
      </c>
      <c r="FM278" s="20" t="s">
        <v>719</v>
      </c>
      <c r="FO278" s="20" t="s">
        <v>720</v>
      </c>
      <c r="FR278" s="20" t="s">
        <v>823</v>
      </c>
      <c r="FY278" s="20" t="s">
        <v>698</v>
      </c>
      <c r="GC278" s="20" t="s">
        <v>696</v>
      </c>
      <c r="GD278" s="20" t="s">
        <v>698</v>
      </c>
      <c r="GE278" s="20" t="s">
        <v>696</v>
      </c>
      <c r="GH278" s="20" t="s">
        <v>696</v>
      </c>
      <c r="GK278" s="20" t="s">
        <v>698</v>
      </c>
      <c r="GT278" s="20" t="s">
        <v>698</v>
      </c>
      <c r="GU278" s="20" t="s">
        <v>696</v>
      </c>
      <c r="GX278" s="20" t="s">
        <v>696</v>
      </c>
      <c r="GY278" s="20" t="s">
        <v>698</v>
      </c>
      <c r="HF278" s="20">
        <v>0</v>
      </c>
      <c r="HG278" s="20">
        <v>140</v>
      </c>
      <c r="HH278" s="20">
        <v>0</v>
      </c>
      <c r="HI278" s="20">
        <v>100</v>
      </c>
      <c r="HJ278" s="20">
        <v>1200</v>
      </c>
      <c r="HK278" s="20">
        <v>0</v>
      </c>
      <c r="HM278" s="20">
        <v>1440</v>
      </c>
      <c r="HR278" s="20">
        <v>35</v>
      </c>
      <c r="HS278" s="20">
        <v>285</v>
      </c>
      <c r="HY278" s="20" t="s">
        <v>723</v>
      </c>
      <c r="HZ278" s="20" t="s">
        <v>698</v>
      </c>
      <c r="IS278" s="20" t="s">
        <v>724</v>
      </c>
      <c r="IT278" s="20" t="s">
        <v>696</v>
      </c>
      <c r="IU278" s="20" t="s">
        <v>696</v>
      </c>
      <c r="IV278" s="20" t="s">
        <v>696</v>
      </c>
      <c r="IW278" s="20" t="s">
        <v>698</v>
      </c>
      <c r="IX278" s="20" t="s">
        <v>698</v>
      </c>
      <c r="IY278" s="20" t="s">
        <v>698</v>
      </c>
      <c r="JD278" s="20" t="s">
        <v>725</v>
      </c>
      <c r="JE278" s="20" t="s">
        <v>726</v>
      </c>
      <c r="JR278" s="20" t="s">
        <v>698</v>
      </c>
      <c r="JS278" s="20" t="s">
        <v>698</v>
      </c>
      <c r="JX278" s="20" t="s">
        <v>894</v>
      </c>
      <c r="JY278" s="20" t="s">
        <v>1080</v>
      </c>
      <c r="RM278" s="20" t="s">
        <v>1080</v>
      </c>
      <c r="RS278" s="20" t="s">
        <v>696</v>
      </c>
      <c r="RV278" s="20" t="s">
        <v>1809</v>
      </c>
      <c r="RW278" s="20" t="s">
        <v>696</v>
      </c>
      <c r="RX278" s="20" t="s">
        <v>898</v>
      </c>
      <c r="XL278" s="20" t="s">
        <v>730</v>
      </c>
      <c r="XM278" s="20" t="s">
        <v>2269</v>
      </c>
      <c r="XN278" s="20" t="s">
        <v>732</v>
      </c>
      <c r="XO278" s="20" t="s">
        <v>733</v>
      </c>
      <c r="XP278" s="20" t="s">
        <v>2216</v>
      </c>
      <c r="XQ278" s="24">
        <v>43454</v>
      </c>
      <c r="XU278" s="20" t="s">
        <v>730</v>
      </c>
      <c r="XV278" s="20" t="s">
        <v>733</v>
      </c>
      <c r="XW278" s="20" t="s">
        <v>2269</v>
      </c>
      <c r="XX278" s="20" t="s">
        <v>732</v>
      </c>
      <c r="XY278" s="20" t="s">
        <v>2527</v>
      </c>
    </row>
    <row r="279" spans="1:649" ht="13">
      <c r="A279" s="20">
        <v>2198</v>
      </c>
      <c r="B279" s="21">
        <v>43388</v>
      </c>
      <c r="C279" s="20">
        <v>2018</v>
      </c>
      <c r="D279" s="20">
        <v>20180309</v>
      </c>
      <c r="E279" s="20">
        <v>31077</v>
      </c>
      <c r="F279" s="20" t="s">
        <v>885</v>
      </c>
      <c r="G279" s="20">
        <v>18718</v>
      </c>
      <c r="H279" s="20" t="s">
        <v>918</v>
      </c>
      <c r="I279" s="20" t="s">
        <v>692</v>
      </c>
      <c r="J279" s="20" t="s">
        <v>693</v>
      </c>
      <c r="K279" s="20" t="s">
        <v>694</v>
      </c>
      <c r="L279" s="20">
        <v>77002</v>
      </c>
      <c r="M279" s="22">
        <v>43360.5625</v>
      </c>
      <c r="P279" s="20">
        <v>29.788335</v>
      </c>
      <c r="Q279" s="20">
        <v>-94.400935000000004</v>
      </c>
      <c r="R279" s="20" t="s">
        <v>697</v>
      </c>
      <c r="W279" s="20">
        <v>4</v>
      </c>
      <c r="Y279" s="20">
        <v>4</v>
      </c>
      <c r="Z279" s="20" t="s">
        <v>698</v>
      </c>
      <c r="AF279" s="20">
        <v>0</v>
      </c>
      <c r="AG279" s="20" t="s">
        <v>698</v>
      </c>
      <c r="AM279" s="20">
        <v>0</v>
      </c>
      <c r="AN279" s="20" t="s">
        <v>699</v>
      </c>
      <c r="AP279" s="20" t="s">
        <v>700</v>
      </c>
      <c r="AQ279" s="23">
        <v>43360.5625</v>
      </c>
      <c r="AR279" s="20" t="s">
        <v>907</v>
      </c>
      <c r="AS279" s="20" t="s">
        <v>702</v>
      </c>
      <c r="AU279" s="20" t="s">
        <v>698</v>
      </c>
      <c r="AV279" s="20" t="s">
        <v>2528</v>
      </c>
      <c r="BC279" s="23">
        <v>43360.5625</v>
      </c>
      <c r="BF279" s="20" t="s">
        <v>754</v>
      </c>
      <c r="BH279" s="20" t="s">
        <v>698</v>
      </c>
      <c r="BM279" s="20" t="s">
        <v>698</v>
      </c>
      <c r="CA279" s="20">
        <v>0</v>
      </c>
      <c r="CB279" s="20" t="s">
        <v>2529</v>
      </c>
      <c r="CC279" s="20" t="s">
        <v>2530</v>
      </c>
      <c r="CD279" s="20" t="s">
        <v>694</v>
      </c>
      <c r="CE279" s="20">
        <v>77695</v>
      </c>
      <c r="CF279" s="20" t="s">
        <v>2531</v>
      </c>
      <c r="CG279" s="20" t="s">
        <v>2532</v>
      </c>
      <c r="CH279" s="20" t="s">
        <v>710</v>
      </c>
      <c r="CI279" s="20" t="s">
        <v>711</v>
      </c>
      <c r="CJ279" s="20" t="s">
        <v>698</v>
      </c>
      <c r="CK279" s="20" t="s">
        <v>712</v>
      </c>
      <c r="CL279" s="20" t="s">
        <v>910</v>
      </c>
      <c r="CP279" s="20" t="s">
        <v>698</v>
      </c>
      <c r="DM279" s="20" t="s">
        <v>715</v>
      </c>
      <c r="DN279" s="20" t="s">
        <v>911</v>
      </c>
      <c r="EW279" s="20" t="s">
        <v>912</v>
      </c>
      <c r="EY279" s="20" t="s">
        <v>913</v>
      </c>
      <c r="FK279" s="20">
        <v>2015</v>
      </c>
      <c r="FM279" s="20" t="s">
        <v>962</v>
      </c>
      <c r="FN279" s="20" t="s">
        <v>1171</v>
      </c>
      <c r="FO279" s="20" t="s">
        <v>720</v>
      </c>
      <c r="FR279" s="20" t="s">
        <v>721</v>
      </c>
      <c r="FY279" s="20" t="s">
        <v>698</v>
      </c>
      <c r="GC279" s="20" t="s">
        <v>698</v>
      </c>
      <c r="GD279" s="20" t="s">
        <v>698</v>
      </c>
      <c r="GE279" s="20" t="s">
        <v>696</v>
      </c>
      <c r="GH279" s="20" t="s">
        <v>696</v>
      </c>
      <c r="GK279" s="20" t="s">
        <v>698</v>
      </c>
      <c r="GT279" s="20" t="s">
        <v>696</v>
      </c>
      <c r="GU279" s="20" t="s">
        <v>696</v>
      </c>
      <c r="GZ279" s="20" t="s">
        <v>696</v>
      </c>
      <c r="HA279" s="20" t="s">
        <v>696</v>
      </c>
      <c r="HF279" s="20">
        <v>0</v>
      </c>
      <c r="HG279" s="20">
        <v>180</v>
      </c>
      <c r="HH279" s="20">
        <v>17000</v>
      </c>
      <c r="HI279" s="20">
        <v>15000</v>
      </c>
      <c r="HJ279" s="20">
        <v>4000</v>
      </c>
      <c r="HK279" s="20">
        <v>0</v>
      </c>
      <c r="HM279" s="20">
        <v>36180</v>
      </c>
      <c r="HR279" s="20">
        <v>15</v>
      </c>
      <c r="HS279" s="20">
        <v>285</v>
      </c>
      <c r="HY279" s="20" t="s">
        <v>723</v>
      </c>
      <c r="HZ279" s="20" t="s">
        <v>698</v>
      </c>
      <c r="IS279" s="20" t="s">
        <v>724</v>
      </c>
      <c r="IT279" s="20" t="s">
        <v>696</v>
      </c>
      <c r="IU279" s="20" t="s">
        <v>696</v>
      </c>
      <c r="IV279" s="20" t="s">
        <v>696</v>
      </c>
      <c r="IW279" s="20" t="s">
        <v>698</v>
      </c>
      <c r="IX279" s="20" t="s">
        <v>698</v>
      </c>
      <c r="IY279" s="20" t="s">
        <v>696</v>
      </c>
      <c r="IZ279" s="20" t="s">
        <v>696</v>
      </c>
      <c r="JA279" s="20" t="s">
        <v>696</v>
      </c>
      <c r="JB279" s="20" t="s">
        <v>698</v>
      </c>
      <c r="JC279" s="20" t="s">
        <v>698</v>
      </c>
      <c r="JD279" s="20" t="s">
        <v>725</v>
      </c>
      <c r="JE279" s="20" t="s">
        <v>726</v>
      </c>
      <c r="JR279" s="20" t="s">
        <v>698</v>
      </c>
      <c r="JS279" s="20" t="s">
        <v>698</v>
      </c>
      <c r="JX279" s="20" t="s">
        <v>789</v>
      </c>
      <c r="JY279" s="20" t="s">
        <v>964</v>
      </c>
      <c r="QB279" s="20" t="s">
        <v>964</v>
      </c>
      <c r="QU279" s="20" t="s">
        <v>2533</v>
      </c>
      <c r="RH279" s="20" t="s">
        <v>696</v>
      </c>
      <c r="XL279" s="20" t="s">
        <v>730</v>
      </c>
      <c r="XM279" s="20" t="s">
        <v>2269</v>
      </c>
      <c r="XN279" s="20" t="s">
        <v>732</v>
      </c>
      <c r="XO279" s="20" t="s">
        <v>733</v>
      </c>
      <c r="XP279" s="20" t="s">
        <v>2216</v>
      </c>
      <c r="XQ279" s="24">
        <v>43388</v>
      </c>
      <c r="XU279" s="20" t="s">
        <v>730</v>
      </c>
      <c r="XV279" s="20" t="s">
        <v>733</v>
      </c>
      <c r="XW279" s="20" t="s">
        <v>2269</v>
      </c>
      <c r="XX279" s="20" t="s">
        <v>732</v>
      </c>
      <c r="XY279" s="20" t="s">
        <v>2534</v>
      </c>
    </row>
    <row r="280" spans="1:649" ht="13">
      <c r="A280" s="20">
        <v>2206</v>
      </c>
      <c r="B280" s="21">
        <v>43385</v>
      </c>
      <c r="C280" s="20">
        <v>2018</v>
      </c>
      <c r="D280" s="20">
        <v>20180303</v>
      </c>
      <c r="E280" s="20">
        <v>31064</v>
      </c>
      <c r="F280" s="20" t="s">
        <v>885</v>
      </c>
      <c r="G280" s="20">
        <v>32099</v>
      </c>
      <c r="H280" s="20" t="s">
        <v>752</v>
      </c>
      <c r="I280" s="20" t="s">
        <v>692</v>
      </c>
      <c r="J280" s="20" t="s">
        <v>693</v>
      </c>
      <c r="K280" s="20" t="s">
        <v>694</v>
      </c>
      <c r="L280" s="20">
        <v>77002</v>
      </c>
      <c r="M280" s="22">
        <v>43357.395833333336</v>
      </c>
      <c r="P280" s="20">
        <v>31.248032299999998</v>
      </c>
      <c r="Q280" s="20">
        <v>-103.3510149</v>
      </c>
      <c r="R280" s="20" t="s">
        <v>697</v>
      </c>
      <c r="W280" s="20">
        <v>0.4</v>
      </c>
      <c r="Y280" s="20">
        <v>0.02</v>
      </c>
      <c r="Z280" s="20" t="s">
        <v>698</v>
      </c>
      <c r="AF280" s="20">
        <v>0</v>
      </c>
      <c r="AG280" s="20" t="s">
        <v>698</v>
      </c>
      <c r="AM280" s="20">
        <v>0</v>
      </c>
      <c r="AN280" s="20" t="s">
        <v>766</v>
      </c>
      <c r="AO280" s="20" t="s">
        <v>2535</v>
      </c>
      <c r="AQ280" s="23">
        <v>43357.395833333336</v>
      </c>
      <c r="AR280" s="20" t="s">
        <v>701</v>
      </c>
      <c r="AS280" s="20" t="s">
        <v>702</v>
      </c>
      <c r="AU280" s="20" t="s">
        <v>696</v>
      </c>
      <c r="AW280" s="23">
        <v>43357.395833333336</v>
      </c>
      <c r="AX280" s="23">
        <v>43357.54791666667</v>
      </c>
      <c r="BC280" s="23">
        <v>43357.458333333336</v>
      </c>
      <c r="BF280" s="20" t="s">
        <v>754</v>
      </c>
      <c r="BH280" s="20" t="s">
        <v>698</v>
      </c>
      <c r="BM280" s="20" t="s">
        <v>698</v>
      </c>
      <c r="CA280" s="20">
        <v>0</v>
      </c>
      <c r="CB280" s="20" t="s">
        <v>2536</v>
      </c>
      <c r="CC280" s="20" t="s">
        <v>2537</v>
      </c>
      <c r="CD280" s="20" t="s">
        <v>694</v>
      </c>
      <c r="CE280" s="20">
        <v>79772</v>
      </c>
      <c r="CF280" s="20" t="s">
        <v>1359</v>
      </c>
      <c r="CG280" s="20" t="s">
        <v>1752</v>
      </c>
      <c r="CH280" s="20" t="s">
        <v>1931</v>
      </c>
      <c r="CI280" s="20" t="s">
        <v>2538</v>
      </c>
      <c r="CJ280" s="20" t="s">
        <v>698</v>
      </c>
      <c r="CK280" s="20" t="s">
        <v>712</v>
      </c>
      <c r="CL280" s="20" t="s">
        <v>713</v>
      </c>
      <c r="CM280" s="20" t="s">
        <v>758</v>
      </c>
      <c r="CP280" s="20" t="s">
        <v>698</v>
      </c>
      <c r="DM280" s="20" t="s">
        <v>715</v>
      </c>
      <c r="DN280" s="20" t="s">
        <v>1011</v>
      </c>
      <c r="FK280" s="20">
        <v>2015</v>
      </c>
      <c r="FM280" s="20" t="s">
        <v>719</v>
      </c>
      <c r="FO280" s="20" t="s">
        <v>720</v>
      </c>
      <c r="FR280" s="20" t="s">
        <v>823</v>
      </c>
      <c r="FY280" s="20" t="s">
        <v>698</v>
      </c>
      <c r="GC280" s="20" t="s">
        <v>696</v>
      </c>
      <c r="GD280" s="20" t="s">
        <v>698</v>
      </c>
      <c r="GE280" s="20" t="s">
        <v>696</v>
      </c>
      <c r="GH280" s="20" t="s">
        <v>696</v>
      </c>
      <c r="GK280" s="20" t="s">
        <v>698</v>
      </c>
      <c r="GT280" s="20" t="s">
        <v>698</v>
      </c>
      <c r="GU280" s="20" t="s">
        <v>698</v>
      </c>
      <c r="HF280" s="20">
        <v>0</v>
      </c>
      <c r="HG280" s="20">
        <v>30</v>
      </c>
      <c r="HH280" s="20">
        <v>400</v>
      </c>
      <c r="HI280" s="20">
        <v>700</v>
      </c>
      <c r="HJ280" s="20">
        <v>7000</v>
      </c>
      <c r="HK280" s="20">
        <v>0</v>
      </c>
      <c r="HM280" s="20">
        <v>8130</v>
      </c>
      <c r="HR280" s="20">
        <v>75</v>
      </c>
      <c r="HS280" s="20">
        <v>720</v>
      </c>
      <c r="HY280" s="20" t="s">
        <v>723</v>
      </c>
      <c r="HZ280" s="20" t="s">
        <v>698</v>
      </c>
      <c r="IS280" s="20" t="s">
        <v>724</v>
      </c>
      <c r="IT280" s="20" t="s">
        <v>696</v>
      </c>
      <c r="IU280" s="20" t="s">
        <v>696</v>
      </c>
      <c r="IV280" s="20" t="s">
        <v>696</v>
      </c>
      <c r="IW280" s="20" t="s">
        <v>698</v>
      </c>
      <c r="IX280" s="20" t="s">
        <v>698</v>
      </c>
      <c r="IY280" s="20" t="s">
        <v>698</v>
      </c>
      <c r="JD280" s="20" t="s">
        <v>725</v>
      </c>
      <c r="JE280" s="20" t="s">
        <v>2238</v>
      </c>
      <c r="JR280" s="20" t="s">
        <v>698</v>
      </c>
      <c r="JS280" s="20" t="s">
        <v>698</v>
      </c>
      <c r="JX280" s="20" t="s">
        <v>789</v>
      </c>
      <c r="JY280" s="20" t="s">
        <v>953</v>
      </c>
      <c r="QB280" s="20" t="s">
        <v>953</v>
      </c>
      <c r="QQ280" s="20" t="s">
        <v>1847</v>
      </c>
      <c r="QV280" s="20" t="s">
        <v>696</v>
      </c>
      <c r="QX280" s="20" t="s">
        <v>696</v>
      </c>
      <c r="XL280" s="20" t="s">
        <v>730</v>
      </c>
      <c r="XM280" s="20" t="s">
        <v>2269</v>
      </c>
      <c r="XN280" s="20" t="s">
        <v>732</v>
      </c>
      <c r="XO280" s="20" t="s">
        <v>733</v>
      </c>
      <c r="XP280" s="20" t="s">
        <v>2216</v>
      </c>
      <c r="XQ280" s="24">
        <v>43385</v>
      </c>
      <c r="XU280" s="20" t="s">
        <v>730</v>
      </c>
      <c r="XV280" s="20" t="s">
        <v>733</v>
      </c>
      <c r="XW280" s="20" t="s">
        <v>2269</v>
      </c>
      <c r="XX280" s="20" t="s">
        <v>732</v>
      </c>
      <c r="XY280" s="20" t="s">
        <v>2539</v>
      </c>
    </row>
    <row r="281" spans="1:649" ht="13">
      <c r="A281" s="20">
        <v>2220</v>
      </c>
      <c r="B281" s="21">
        <v>43376</v>
      </c>
      <c r="C281" s="20">
        <v>2018</v>
      </c>
      <c r="D281" s="20">
        <v>20180290</v>
      </c>
      <c r="E281" s="20">
        <v>31007</v>
      </c>
      <c r="F281" s="20" t="s">
        <v>885</v>
      </c>
      <c r="G281" s="20">
        <v>39706</v>
      </c>
      <c r="H281" s="20" t="s">
        <v>1943</v>
      </c>
      <c r="I281" s="20" t="s">
        <v>692</v>
      </c>
      <c r="J281" s="20" t="s">
        <v>693</v>
      </c>
      <c r="K281" s="20" t="s">
        <v>694</v>
      </c>
      <c r="L281" s="20">
        <v>77002</v>
      </c>
      <c r="M281" s="22">
        <v>43348.291666666664</v>
      </c>
      <c r="P281" s="20">
        <v>29.996486000000001</v>
      </c>
      <c r="Q281" s="20">
        <v>-93.992575000000002</v>
      </c>
      <c r="R281" s="20" t="s">
        <v>697</v>
      </c>
      <c r="W281" s="20">
        <v>0.2</v>
      </c>
      <c r="Y281" s="20">
        <v>0.2</v>
      </c>
      <c r="Z281" s="20" t="s">
        <v>698</v>
      </c>
      <c r="AF281" s="20">
        <v>0</v>
      </c>
      <c r="AG281" s="20" t="s">
        <v>698</v>
      </c>
      <c r="AM281" s="20">
        <v>0</v>
      </c>
      <c r="AN281" s="20" t="s">
        <v>699</v>
      </c>
      <c r="AP281" s="20" t="s">
        <v>1013</v>
      </c>
      <c r="AQ281" s="23">
        <v>43348.291666666664</v>
      </c>
      <c r="AR281" s="20" t="s">
        <v>736</v>
      </c>
      <c r="AS281" s="20" t="s">
        <v>702</v>
      </c>
      <c r="AU281" s="20" t="s">
        <v>698</v>
      </c>
      <c r="AV281" s="20" t="s">
        <v>2174</v>
      </c>
      <c r="BC281" s="23">
        <v>43348.298611111109</v>
      </c>
      <c r="BF281" s="20" t="s">
        <v>754</v>
      </c>
      <c r="BH281" s="20" t="s">
        <v>698</v>
      </c>
      <c r="BM281" s="20" t="s">
        <v>698</v>
      </c>
      <c r="CA281" s="20">
        <v>0</v>
      </c>
      <c r="CB281" s="20" t="s">
        <v>818</v>
      </c>
      <c r="CC281" s="20" t="s">
        <v>2540</v>
      </c>
      <c r="CD281" s="20" t="s">
        <v>694</v>
      </c>
      <c r="CE281" s="20">
        <v>77627</v>
      </c>
      <c r="CF281" s="20" t="s">
        <v>820</v>
      </c>
      <c r="CG281" s="20" t="s">
        <v>821</v>
      </c>
      <c r="CH281" s="20" t="s">
        <v>1931</v>
      </c>
      <c r="CI281" s="20" t="s">
        <v>711</v>
      </c>
      <c r="CJ281" s="20" t="s">
        <v>698</v>
      </c>
      <c r="CK281" s="20" t="s">
        <v>712</v>
      </c>
      <c r="CL281" s="20" t="s">
        <v>741</v>
      </c>
      <c r="CM281" s="20" t="s">
        <v>742</v>
      </c>
      <c r="CO281" s="20">
        <v>36</v>
      </c>
      <c r="CP281" s="20" t="s">
        <v>698</v>
      </c>
      <c r="DM281" s="20" t="s">
        <v>743</v>
      </c>
      <c r="DN281" s="20" t="s">
        <v>744</v>
      </c>
      <c r="DO281" s="20" t="s">
        <v>745</v>
      </c>
      <c r="DQ281" s="20">
        <v>20</v>
      </c>
      <c r="DR281" s="20">
        <v>0.375</v>
      </c>
      <c r="DS281" s="20" t="s">
        <v>728</v>
      </c>
      <c r="DT281" s="20" t="s">
        <v>1103</v>
      </c>
      <c r="DU281" s="20" t="s">
        <v>766</v>
      </c>
      <c r="DV281" s="20" t="s">
        <v>728</v>
      </c>
      <c r="DW281" s="20" t="s">
        <v>728</v>
      </c>
      <c r="DX281" s="20" t="s">
        <v>805</v>
      </c>
      <c r="FK281" s="20" t="s">
        <v>728</v>
      </c>
      <c r="FL281" s="20" t="s">
        <v>728</v>
      </c>
      <c r="FM281" s="20" t="s">
        <v>719</v>
      </c>
      <c r="FO281" s="20" t="s">
        <v>720</v>
      </c>
      <c r="FR281" s="20" t="s">
        <v>749</v>
      </c>
      <c r="FY281" s="20" t="s">
        <v>698</v>
      </c>
      <c r="GC281" s="20" t="s">
        <v>696</v>
      </c>
      <c r="GD281" s="20" t="s">
        <v>698</v>
      </c>
      <c r="GE281" s="20" t="s">
        <v>696</v>
      </c>
      <c r="GH281" s="20" t="s">
        <v>696</v>
      </c>
      <c r="GK281" s="20" t="s">
        <v>698</v>
      </c>
      <c r="GT281" s="20" t="s">
        <v>696</v>
      </c>
      <c r="GU281" s="20" t="s">
        <v>698</v>
      </c>
      <c r="HF281" s="20">
        <v>0</v>
      </c>
      <c r="HG281" s="20">
        <v>0</v>
      </c>
      <c r="HH281" s="20">
        <v>500</v>
      </c>
      <c r="HI281" s="20">
        <v>1000</v>
      </c>
      <c r="HJ281" s="20">
        <v>500</v>
      </c>
      <c r="HK281" s="20">
        <v>0</v>
      </c>
      <c r="HM281" s="20">
        <v>2000</v>
      </c>
      <c r="HR281" s="20">
        <v>5</v>
      </c>
      <c r="HS281" s="20">
        <v>575</v>
      </c>
      <c r="HY281" s="20" t="s">
        <v>723</v>
      </c>
      <c r="HZ281" s="20" t="s">
        <v>698</v>
      </c>
      <c r="IS281" s="20" t="s">
        <v>724</v>
      </c>
      <c r="IT281" s="20" t="s">
        <v>696</v>
      </c>
      <c r="IU281" s="20" t="s">
        <v>696</v>
      </c>
      <c r="IV281" s="20" t="s">
        <v>696</v>
      </c>
      <c r="IW281" s="20" t="s">
        <v>698</v>
      </c>
      <c r="IX281" s="20" t="s">
        <v>698</v>
      </c>
      <c r="IY281" s="20" t="s">
        <v>698</v>
      </c>
      <c r="JD281" s="20" t="s">
        <v>725</v>
      </c>
      <c r="JE281" s="20" t="s">
        <v>726</v>
      </c>
      <c r="JR281" s="20" t="s">
        <v>698</v>
      </c>
      <c r="JS281" s="20" t="s">
        <v>698</v>
      </c>
      <c r="JX281" s="20" t="s">
        <v>833</v>
      </c>
      <c r="JY281" s="20" t="s">
        <v>834</v>
      </c>
      <c r="JZ281" s="20" t="s">
        <v>834</v>
      </c>
      <c r="LD281" s="20" t="s">
        <v>1442</v>
      </c>
      <c r="LG281" s="20" t="s">
        <v>696</v>
      </c>
      <c r="LL281" s="20" t="s">
        <v>696</v>
      </c>
      <c r="LP281" s="20" t="s">
        <v>696</v>
      </c>
      <c r="LU281" s="20" t="s">
        <v>698</v>
      </c>
      <c r="LV281" s="20" t="s">
        <v>698</v>
      </c>
      <c r="LW281" s="20" t="s">
        <v>838</v>
      </c>
      <c r="LX281" s="20" t="s">
        <v>838</v>
      </c>
      <c r="SC281" s="20" t="s">
        <v>698</v>
      </c>
      <c r="UO281" s="20" t="s">
        <v>698</v>
      </c>
      <c r="UR281" s="20" t="s">
        <v>698</v>
      </c>
      <c r="UZ281" s="20" t="s">
        <v>698</v>
      </c>
      <c r="XL281" s="20" t="s">
        <v>730</v>
      </c>
      <c r="XM281" s="20" t="s">
        <v>2269</v>
      </c>
      <c r="XN281" s="20" t="s">
        <v>732</v>
      </c>
      <c r="XO281" s="20" t="s">
        <v>733</v>
      </c>
      <c r="XP281" s="20" t="s">
        <v>2216</v>
      </c>
      <c r="XQ281" s="24">
        <v>43376</v>
      </c>
      <c r="XU281" s="20" t="s">
        <v>730</v>
      </c>
      <c r="XV281" s="20" t="s">
        <v>733</v>
      </c>
      <c r="XW281" s="20" t="s">
        <v>2269</v>
      </c>
      <c r="XX281" s="20" t="s">
        <v>732</v>
      </c>
      <c r="XY281" s="20" t="s">
        <v>2541</v>
      </c>
    </row>
    <row r="282" spans="1:649" ht="13">
      <c r="A282" s="20">
        <v>2221</v>
      </c>
      <c r="B282" s="21">
        <v>43373</v>
      </c>
      <c r="C282" s="20">
        <v>2018</v>
      </c>
      <c r="D282" s="20">
        <v>20180288</v>
      </c>
      <c r="E282" s="20">
        <v>31080</v>
      </c>
      <c r="F282" s="20" t="s">
        <v>825</v>
      </c>
      <c r="G282" s="20">
        <v>18718</v>
      </c>
      <c r="H282" s="20" t="s">
        <v>918</v>
      </c>
      <c r="I282" s="20" t="s">
        <v>692</v>
      </c>
      <c r="J282" s="20" t="s">
        <v>693</v>
      </c>
      <c r="K282" s="20" t="s">
        <v>694</v>
      </c>
      <c r="L282" s="20">
        <v>77002</v>
      </c>
      <c r="M282" s="22">
        <v>43343.583333333336</v>
      </c>
      <c r="P282" s="20">
        <v>36.798270000000002</v>
      </c>
      <c r="Q282" s="20">
        <v>-98.341719999999995</v>
      </c>
      <c r="R282" s="20" t="s">
        <v>697</v>
      </c>
      <c r="W282" s="20">
        <v>0.5</v>
      </c>
      <c r="Y282" s="20">
        <v>0.5</v>
      </c>
      <c r="Z282" s="20" t="s">
        <v>698</v>
      </c>
      <c r="AF282" s="20">
        <v>0</v>
      </c>
      <c r="AG282" s="20" t="s">
        <v>698</v>
      </c>
      <c r="AM282" s="20">
        <v>0</v>
      </c>
      <c r="AN282" s="20" t="s">
        <v>699</v>
      </c>
      <c r="AP282" s="20" t="s">
        <v>1013</v>
      </c>
      <c r="AQ282" s="23">
        <v>43343.583333333336</v>
      </c>
      <c r="AR282" s="20" t="s">
        <v>776</v>
      </c>
      <c r="AS282" s="20" t="s">
        <v>702</v>
      </c>
      <c r="AU282" s="20" t="s">
        <v>698</v>
      </c>
      <c r="AV282" s="20" t="s">
        <v>2542</v>
      </c>
      <c r="BC282" s="23">
        <v>43343.583333333336</v>
      </c>
      <c r="BF282" s="20" t="s">
        <v>754</v>
      </c>
      <c r="BH282" s="20" t="s">
        <v>698</v>
      </c>
      <c r="BM282" s="20" t="s">
        <v>698</v>
      </c>
      <c r="BQ282" s="20" t="s">
        <v>779</v>
      </c>
      <c r="BU282" s="20" t="s">
        <v>779</v>
      </c>
      <c r="CA282" s="20">
        <v>0</v>
      </c>
      <c r="CB282" s="20" t="s">
        <v>2543</v>
      </c>
      <c r="CC282" s="20" t="s">
        <v>2544</v>
      </c>
      <c r="CD282" s="20" t="s">
        <v>739</v>
      </c>
      <c r="CE282" s="20">
        <v>73728</v>
      </c>
      <c r="CF282" s="20" t="s">
        <v>2545</v>
      </c>
      <c r="CG282" s="20" t="s">
        <v>2546</v>
      </c>
      <c r="CH282" s="20" t="s">
        <v>1931</v>
      </c>
      <c r="CI282" s="20">
        <v>0.9</v>
      </c>
      <c r="CJ282" s="20" t="s">
        <v>698</v>
      </c>
      <c r="CK282" s="20" t="s">
        <v>785</v>
      </c>
      <c r="CL282" s="20" t="s">
        <v>741</v>
      </c>
      <c r="CM282" s="20" t="s">
        <v>742</v>
      </c>
      <c r="CO282" s="20">
        <v>42</v>
      </c>
      <c r="CP282" s="20" t="s">
        <v>698</v>
      </c>
      <c r="DM282" s="20" t="s">
        <v>715</v>
      </c>
      <c r="DN282" s="20" t="s">
        <v>744</v>
      </c>
      <c r="DO282" s="20" t="s">
        <v>745</v>
      </c>
      <c r="DQ282" s="20">
        <v>6</v>
      </c>
      <c r="DR282" s="20">
        <v>0.627</v>
      </c>
      <c r="DS282" s="20">
        <v>200</v>
      </c>
      <c r="DT282" s="20" t="s">
        <v>728</v>
      </c>
      <c r="DU282" s="20" t="s">
        <v>926</v>
      </c>
      <c r="DW282" s="20" t="s">
        <v>728</v>
      </c>
      <c r="DX282" s="20" t="s">
        <v>1542</v>
      </c>
      <c r="FK282" s="20" t="s">
        <v>728</v>
      </c>
      <c r="FL282" s="20" t="s">
        <v>728</v>
      </c>
      <c r="FM282" s="20" t="s">
        <v>962</v>
      </c>
      <c r="FN282" s="20" t="s">
        <v>2547</v>
      </c>
      <c r="FO282" s="20" t="s">
        <v>1061</v>
      </c>
      <c r="FP282" s="20">
        <v>3</v>
      </c>
      <c r="FQ282" s="20">
        <v>4</v>
      </c>
      <c r="FY282" s="20" t="s">
        <v>698</v>
      </c>
      <c r="GC282" s="20" t="s">
        <v>696</v>
      </c>
      <c r="GD282" s="20" t="s">
        <v>698</v>
      </c>
      <c r="GE282" s="20" t="s">
        <v>696</v>
      </c>
      <c r="GH282" s="20" t="s">
        <v>696</v>
      </c>
      <c r="GK282" s="20" t="s">
        <v>698</v>
      </c>
      <c r="GT282" s="20" t="s">
        <v>696</v>
      </c>
      <c r="GU282" s="20" t="s">
        <v>696</v>
      </c>
      <c r="HD282" s="20" t="s">
        <v>696</v>
      </c>
      <c r="HE282" s="20" t="s">
        <v>696</v>
      </c>
      <c r="HF282" s="20">
        <v>0</v>
      </c>
      <c r="HG282" s="20">
        <v>50</v>
      </c>
      <c r="HH282" s="20">
        <v>1000</v>
      </c>
      <c r="HI282" s="20">
        <v>0</v>
      </c>
      <c r="HJ282" s="20">
        <v>500</v>
      </c>
      <c r="HK282" s="20">
        <v>0</v>
      </c>
      <c r="HM282" s="20">
        <v>1550</v>
      </c>
      <c r="HR282" s="20">
        <v>10</v>
      </c>
      <c r="HS282" s="20">
        <v>66</v>
      </c>
      <c r="HY282" s="20" t="s">
        <v>723</v>
      </c>
      <c r="HZ282" s="20" t="s">
        <v>698</v>
      </c>
      <c r="IC282" s="20">
        <v>11900</v>
      </c>
      <c r="ID282" s="20" t="s">
        <v>698</v>
      </c>
      <c r="IJ282" s="20" t="s">
        <v>696</v>
      </c>
      <c r="IK282" s="20" t="s">
        <v>2548</v>
      </c>
      <c r="IL282" s="20" t="s">
        <v>696</v>
      </c>
      <c r="IN282" s="20" t="s">
        <v>696</v>
      </c>
      <c r="IO282" s="20" t="s">
        <v>696</v>
      </c>
      <c r="IS282" s="20" t="s">
        <v>808</v>
      </c>
      <c r="IT282" s="20" t="s">
        <v>696</v>
      </c>
      <c r="IU282" s="20" t="s">
        <v>696</v>
      </c>
      <c r="IV282" s="20" t="s">
        <v>696</v>
      </c>
      <c r="IW282" s="20" t="s">
        <v>698</v>
      </c>
      <c r="IX282" s="20" t="s">
        <v>698</v>
      </c>
      <c r="IY282" s="20" t="s">
        <v>696</v>
      </c>
      <c r="IZ282" s="20" t="s">
        <v>696</v>
      </c>
      <c r="JA282" s="20" t="s">
        <v>696</v>
      </c>
      <c r="JB282" s="20" t="s">
        <v>698</v>
      </c>
      <c r="JC282" s="20" t="s">
        <v>698</v>
      </c>
      <c r="JD282" s="20" t="s">
        <v>725</v>
      </c>
      <c r="JE282" s="20" t="s">
        <v>2549</v>
      </c>
      <c r="JR282" s="20" t="s">
        <v>698</v>
      </c>
      <c r="JS282" s="20" t="s">
        <v>698</v>
      </c>
      <c r="JX282" s="20" t="s">
        <v>990</v>
      </c>
      <c r="JY282" s="20" t="s">
        <v>2550</v>
      </c>
      <c r="MK282" s="20" t="s">
        <v>2550</v>
      </c>
      <c r="MV282" s="20" t="s">
        <v>696</v>
      </c>
      <c r="NA282" s="20" t="s">
        <v>696</v>
      </c>
      <c r="NK282" s="20" t="s">
        <v>1785</v>
      </c>
      <c r="NL282" s="20" t="s">
        <v>2475</v>
      </c>
      <c r="NM282" s="20" t="s">
        <v>2476</v>
      </c>
      <c r="NN282" s="20" t="s">
        <v>696</v>
      </c>
      <c r="NO282" s="20">
        <v>18082300000000</v>
      </c>
      <c r="NR282" s="20" t="s">
        <v>2551</v>
      </c>
      <c r="NS282" s="20" t="s">
        <v>696</v>
      </c>
      <c r="NV282" s="20" t="s">
        <v>2478</v>
      </c>
      <c r="NW282" s="20" t="s">
        <v>2552</v>
      </c>
      <c r="XL282" s="20" t="s">
        <v>730</v>
      </c>
      <c r="XM282" s="20" t="s">
        <v>2269</v>
      </c>
      <c r="XN282" s="20" t="s">
        <v>732</v>
      </c>
      <c r="XO282" s="20" t="s">
        <v>733</v>
      </c>
      <c r="XP282" s="20" t="s">
        <v>2216</v>
      </c>
      <c r="XQ282" s="24">
        <v>43389</v>
      </c>
      <c r="XU282" s="20" t="s">
        <v>730</v>
      </c>
      <c r="XV282" s="20" t="s">
        <v>733</v>
      </c>
      <c r="XW282" s="20" t="s">
        <v>2269</v>
      </c>
      <c r="XX282" s="20" t="s">
        <v>732</v>
      </c>
      <c r="XY282" s="20" t="s">
        <v>2553</v>
      </c>
    </row>
    <row r="283" spans="1:649" ht="13">
      <c r="A283" s="20">
        <v>2262</v>
      </c>
      <c r="B283" s="21">
        <v>43335</v>
      </c>
      <c r="C283" s="20">
        <v>2018</v>
      </c>
      <c r="D283" s="20">
        <v>20180252</v>
      </c>
      <c r="E283" s="20">
        <v>30846</v>
      </c>
      <c r="F283" s="20" t="s">
        <v>885</v>
      </c>
      <c r="G283" s="20">
        <v>18718</v>
      </c>
      <c r="H283" s="20" t="s">
        <v>918</v>
      </c>
      <c r="I283" s="20" t="s">
        <v>692</v>
      </c>
      <c r="J283" s="20" t="s">
        <v>693</v>
      </c>
      <c r="K283" s="20" t="s">
        <v>694</v>
      </c>
      <c r="L283" s="20">
        <v>77002</v>
      </c>
      <c r="M283" s="22">
        <v>43304.223611111112</v>
      </c>
      <c r="P283" s="20">
        <v>34.81973</v>
      </c>
      <c r="Q283" s="20">
        <v>-97.445310000000006</v>
      </c>
      <c r="R283" s="20" t="s">
        <v>697</v>
      </c>
      <c r="W283" s="20">
        <v>1</v>
      </c>
      <c r="Y283" s="20">
        <v>1</v>
      </c>
      <c r="Z283" s="20" t="s">
        <v>698</v>
      </c>
      <c r="AF283" s="20">
        <v>0</v>
      </c>
      <c r="AG283" s="20" t="s">
        <v>698</v>
      </c>
      <c r="AM283" s="20">
        <v>0</v>
      </c>
      <c r="AN283" s="20" t="s">
        <v>2050</v>
      </c>
      <c r="AQ283" s="23">
        <v>43304.223611111112</v>
      </c>
      <c r="AR283" s="20" t="s">
        <v>701</v>
      </c>
      <c r="AS283" s="20" t="s">
        <v>702</v>
      </c>
      <c r="AU283" s="20" t="s">
        <v>696</v>
      </c>
      <c r="AW283" s="23">
        <v>43304.224305555559</v>
      </c>
      <c r="AX283" s="23">
        <v>43304.4375</v>
      </c>
      <c r="BC283" s="23">
        <v>43304.284722222219</v>
      </c>
      <c r="BF283" s="20" t="s">
        <v>754</v>
      </c>
      <c r="BH283" s="20" t="s">
        <v>698</v>
      </c>
      <c r="BM283" s="20" t="s">
        <v>698</v>
      </c>
      <c r="CA283" s="20">
        <v>0</v>
      </c>
      <c r="CB283" s="20" t="s">
        <v>2554</v>
      </c>
      <c r="CC283" s="20" t="s">
        <v>2555</v>
      </c>
      <c r="CD283" s="20" t="s">
        <v>739</v>
      </c>
      <c r="CE283" s="20">
        <v>73057</v>
      </c>
      <c r="CF283" s="20" t="s">
        <v>2556</v>
      </c>
      <c r="CG283" s="20" t="s">
        <v>1567</v>
      </c>
      <c r="CH283" s="20" t="s">
        <v>1931</v>
      </c>
      <c r="CI283" s="20" t="s">
        <v>711</v>
      </c>
      <c r="CJ283" s="20" t="s">
        <v>698</v>
      </c>
      <c r="CK283" s="20" t="s">
        <v>712</v>
      </c>
      <c r="CL283" s="20" t="s">
        <v>713</v>
      </c>
      <c r="CM283" s="20" t="s">
        <v>758</v>
      </c>
      <c r="CP283" s="20" t="s">
        <v>698</v>
      </c>
      <c r="DM283" s="20" t="s">
        <v>715</v>
      </c>
      <c r="DN283" s="20" t="s">
        <v>829</v>
      </c>
      <c r="EM283" s="20" t="s">
        <v>830</v>
      </c>
      <c r="FK283" s="20">
        <v>1985</v>
      </c>
      <c r="FM283" s="20" t="s">
        <v>962</v>
      </c>
      <c r="FN283" s="20" t="s">
        <v>2557</v>
      </c>
      <c r="FO283" s="20" t="s">
        <v>720</v>
      </c>
      <c r="FR283" s="20" t="s">
        <v>766</v>
      </c>
      <c r="FS283" s="20" t="s">
        <v>2558</v>
      </c>
      <c r="FY283" s="20" t="s">
        <v>698</v>
      </c>
      <c r="GC283" s="20" t="s">
        <v>696</v>
      </c>
      <c r="GD283" s="20" t="s">
        <v>698</v>
      </c>
      <c r="GE283" s="20" t="s">
        <v>696</v>
      </c>
      <c r="GH283" s="20" t="s">
        <v>696</v>
      </c>
      <c r="GK283" s="20" t="s">
        <v>698</v>
      </c>
      <c r="GT283" s="20" t="s">
        <v>696</v>
      </c>
      <c r="GU283" s="20" t="s">
        <v>698</v>
      </c>
      <c r="HF283" s="20">
        <v>0</v>
      </c>
      <c r="HG283" s="20">
        <v>50</v>
      </c>
      <c r="HH283" s="20">
        <v>300</v>
      </c>
      <c r="HI283" s="20">
        <v>150</v>
      </c>
      <c r="HJ283" s="20">
        <v>200</v>
      </c>
      <c r="HK283" s="20">
        <v>0</v>
      </c>
      <c r="HM283" s="20">
        <v>700</v>
      </c>
      <c r="HR283" s="20">
        <v>183</v>
      </c>
      <c r="HS283" s="20">
        <v>275</v>
      </c>
      <c r="HY283" s="20" t="s">
        <v>723</v>
      </c>
      <c r="HZ283" s="20" t="s">
        <v>698</v>
      </c>
      <c r="IS283" s="20" t="s">
        <v>724</v>
      </c>
      <c r="IT283" s="20" t="s">
        <v>696</v>
      </c>
      <c r="IU283" s="20" t="s">
        <v>696</v>
      </c>
      <c r="IV283" s="20" t="s">
        <v>696</v>
      </c>
      <c r="IW283" s="20" t="s">
        <v>696</v>
      </c>
      <c r="IX283" s="20" t="s">
        <v>698</v>
      </c>
      <c r="IY283" s="20" t="s">
        <v>696</v>
      </c>
      <c r="IZ283" s="20" t="s">
        <v>696</v>
      </c>
      <c r="JA283" s="20" t="s">
        <v>696</v>
      </c>
      <c r="JB283" s="20" t="s">
        <v>698</v>
      </c>
      <c r="JC283" s="20" t="s">
        <v>698</v>
      </c>
      <c r="JD283" s="20" t="s">
        <v>725</v>
      </c>
      <c r="JE283" s="20" t="s">
        <v>2559</v>
      </c>
      <c r="JR283" s="20" t="s">
        <v>698</v>
      </c>
      <c r="JS283" s="20" t="s">
        <v>698</v>
      </c>
      <c r="JX283" s="20" t="s">
        <v>789</v>
      </c>
      <c r="JY283" s="20" t="s">
        <v>964</v>
      </c>
      <c r="QB283" s="20" t="s">
        <v>964</v>
      </c>
      <c r="QU283" s="20" t="s">
        <v>2560</v>
      </c>
      <c r="QW283" s="20" t="s">
        <v>696</v>
      </c>
      <c r="RA283" s="20" t="s">
        <v>696</v>
      </c>
      <c r="XL283" s="20" t="s">
        <v>730</v>
      </c>
      <c r="XM283" s="20" t="s">
        <v>2269</v>
      </c>
      <c r="XN283" s="20" t="s">
        <v>732</v>
      </c>
      <c r="XO283" s="20" t="s">
        <v>733</v>
      </c>
      <c r="XP283" s="20" t="s">
        <v>2216</v>
      </c>
      <c r="XQ283" s="24">
        <v>43335</v>
      </c>
      <c r="XU283" s="20" t="s">
        <v>730</v>
      </c>
      <c r="XV283" s="20" t="s">
        <v>733</v>
      </c>
      <c r="XW283" s="20" t="s">
        <v>2269</v>
      </c>
      <c r="XX283" s="20" t="s">
        <v>732</v>
      </c>
      <c r="XY283" s="20" t="s">
        <v>2561</v>
      </c>
    </row>
    <row r="284" spans="1:649" ht="13">
      <c r="A284" s="20">
        <v>2269</v>
      </c>
      <c r="B284" s="21">
        <v>43326</v>
      </c>
      <c r="C284" s="20">
        <v>2018</v>
      </c>
      <c r="D284" s="20">
        <v>20180237</v>
      </c>
      <c r="E284" s="20">
        <v>30792</v>
      </c>
      <c r="F284" s="20" t="s">
        <v>885</v>
      </c>
      <c r="G284" s="20">
        <v>18718</v>
      </c>
      <c r="H284" s="20" t="s">
        <v>918</v>
      </c>
      <c r="I284" s="20" t="s">
        <v>692</v>
      </c>
      <c r="J284" s="20" t="s">
        <v>693</v>
      </c>
      <c r="K284" s="20" t="s">
        <v>694</v>
      </c>
      <c r="L284" s="20">
        <v>77002</v>
      </c>
      <c r="M284" s="22">
        <v>43298.458333333336</v>
      </c>
      <c r="P284" s="20">
        <v>30.181380000000001</v>
      </c>
      <c r="Q284" s="20">
        <v>-94.429033000000004</v>
      </c>
      <c r="R284" s="20" t="s">
        <v>697</v>
      </c>
      <c r="W284" s="20">
        <v>1</v>
      </c>
      <c r="Y284" s="20">
        <v>1</v>
      </c>
      <c r="Z284" s="20" t="s">
        <v>698</v>
      </c>
      <c r="AF284" s="20">
        <v>0</v>
      </c>
      <c r="AG284" s="20" t="s">
        <v>698</v>
      </c>
      <c r="AM284" s="20">
        <v>0</v>
      </c>
      <c r="AN284" s="20" t="s">
        <v>699</v>
      </c>
      <c r="AP284" s="20" t="s">
        <v>700</v>
      </c>
      <c r="AQ284" s="23">
        <v>43298.458333333336</v>
      </c>
      <c r="AR284" s="20" t="s">
        <v>776</v>
      </c>
      <c r="AS284" s="20" t="s">
        <v>702</v>
      </c>
      <c r="AU284" s="20" t="s">
        <v>696</v>
      </c>
      <c r="AW284" s="23">
        <v>43298.458333333336</v>
      </c>
      <c r="AX284" s="23">
        <v>43298.708333333336</v>
      </c>
      <c r="BC284" s="23">
        <v>43298.458333333336</v>
      </c>
      <c r="BF284" s="20" t="s">
        <v>754</v>
      </c>
      <c r="BH284" s="20" t="s">
        <v>698</v>
      </c>
      <c r="BM284" s="20" t="s">
        <v>698</v>
      </c>
      <c r="BQ284" s="20" t="s">
        <v>779</v>
      </c>
      <c r="BU284" s="20" t="s">
        <v>779</v>
      </c>
      <c r="CA284" s="20">
        <v>0</v>
      </c>
      <c r="CB284" s="20" t="s">
        <v>2562</v>
      </c>
      <c r="CC284" s="20" t="s">
        <v>2563</v>
      </c>
      <c r="CD284" s="20" t="s">
        <v>694</v>
      </c>
      <c r="CE284" s="20">
        <v>77659</v>
      </c>
      <c r="CF284" s="20" t="s">
        <v>1038</v>
      </c>
      <c r="CG284" s="20" t="s">
        <v>1039</v>
      </c>
      <c r="CH284" s="20" t="s">
        <v>1931</v>
      </c>
      <c r="CI284" s="20" t="s">
        <v>2564</v>
      </c>
      <c r="CJ284" s="20" t="s">
        <v>698</v>
      </c>
      <c r="CK284" s="20" t="s">
        <v>891</v>
      </c>
      <c r="CL284" s="20" t="s">
        <v>713</v>
      </c>
      <c r="CM284" s="20" t="s">
        <v>758</v>
      </c>
      <c r="CP284" s="20" t="s">
        <v>698</v>
      </c>
      <c r="DM284" s="20" t="s">
        <v>715</v>
      </c>
      <c r="DN284" s="20" t="s">
        <v>1278</v>
      </c>
      <c r="FK284" s="20">
        <v>2003</v>
      </c>
      <c r="FM284" s="20" t="s">
        <v>962</v>
      </c>
      <c r="FN284" s="20" t="s">
        <v>1659</v>
      </c>
      <c r="FO284" s="20" t="s">
        <v>720</v>
      </c>
      <c r="FR284" s="20" t="s">
        <v>721</v>
      </c>
      <c r="FY284" s="20" t="s">
        <v>698</v>
      </c>
      <c r="GC284" s="20" t="s">
        <v>696</v>
      </c>
      <c r="GD284" s="20" t="s">
        <v>696</v>
      </c>
      <c r="GE284" s="20" t="s">
        <v>696</v>
      </c>
      <c r="GH284" s="20" t="s">
        <v>696</v>
      </c>
      <c r="GK284" s="20" t="s">
        <v>698</v>
      </c>
      <c r="GT284" s="20" t="s">
        <v>698</v>
      </c>
      <c r="GU284" s="20" t="s">
        <v>698</v>
      </c>
      <c r="HF284" s="20">
        <v>0</v>
      </c>
      <c r="HG284" s="20">
        <v>70</v>
      </c>
      <c r="HH284" s="20">
        <v>100</v>
      </c>
      <c r="HI284" s="20">
        <v>4000</v>
      </c>
      <c r="HJ284" s="20">
        <v>5170</v>
      </c>
      <c r="HK284" s="20">
        <v>0</v>
      </c>
      <c r="HM284" s="20">
        <v>9340</v>
      </c>
      <c r="HR284" s="20">
        <v>98</v>
      </c>
      <c r="HS284" s="20">
        <v>275</v>
      </c>
      <c r="HY284" s="20" t="s">
        <v>723</v>
      </c>
      <c r="HZ284" s="20" t="s">
        <v>698</v>
      </c>
      <c r="IC284" s="20">
        <v>12</v>
      </c>
      <c r="ID284" s="20" t="s">
        <v>696</v>
      </c>
      <c r="IL284" s="20" t="s">
        <v>698</v>
      </c>
      <c r="IS284" s="20" t="s">
        <v>808</v>
      </c>
      <c r="IT284" s="20" t="s">
        <v>696</v>
      </c>
      <c r="IU284" s="20" t="s">
        <v>696</v>
      </c>
      <c r="IV284" s="20" t="s">
        <v>696</v>
      </c>
      <c r="IW284" s="20" t="s">
        <v>698</v>
      </c>
      <c r="IX284" s="20" t="s">
        <v>698</v>
      </c>
      <c r="IY284" s="20" t="s">
        <v>696</v>
      </c>
      <c r="IZ284" s="20" t="s">
        <v>696</v>
      </c>
      <c r="JA284" s="20" t="s">
        <v>696</v>
      </c>
      <c r="JB284" s="20" t="s">
        <v>698</v>
      </c>
      <c r="JC284" s="20" t="s">
        <v>698</v>
      </c>
      <c r="JD284" s="20" t="s">
        <v>725</v>
      </c>
      <c r="JE284" s="20" t="s">
        <v>726</v>
      </c>
      <c r="JR284" s="20" t="s">
        <v>698</v>
      </c>
      <c r="JS284" s="20" t="s">
        <v>698</v>
      </c>
      <c r="JX284" s="20" t="s">
        <v>789</v>
      </c>
      <c r="JY284" s="20" t="s">
        <v>914</v>
      </c>
      <c r="QB284" s="20" t="s">
        <v>914</v>
      </c>
      <c r="QS284" s="20" t="s">
        <v>1659</v>
      </c>
      <c r="RK284" s="20" t="s">
        <v>696</v>
      </c>
      <c r="RL284" s="20" t="s">
        <v>2565</v>
      </c>
      <c r="XL284" s="20" t="s">
        <v>730</v>
      </c>
      <c r="XM284" s="20" t="s">
        <v>2269</v>
      </c>
      <c r="XN284" s="20" t="s">
        <v>732</v>
      </c>
      <c r="XO284" s="20" t="s">
        <v>733</v>
      </c>
      <c r="XP284" s="20" t="s">
        <v>2216</v>
      </c>
      <c r="XQ284" s="24">
        <v>43326</v>
      </c>
      <c r="XU284" s="20" t="s">
        <v>730</v>
      </c>
      <c r="XV284" s="20" t="s">
        <v>733</v>
      </c>
      <c r="XW284" s="20" t="s">
        <v>2269</v>
      </c>
      <c r="XX284" s="20" t="s">
        <v>732</v>
      </c>
      <c r="XY284" s="20" t="s">
        <v>2566</v>
      </c>
    </row>
    <row r="285" spans="1:649" ht="13">
      <c r="A285" s="20">
        <v>2282</v>
      </c>
      <c r="B285" s="21">
        <v>43316</v>
      </c>
      <c r="C285" s="20">
        <v>2018</v>
      </c>
      <c r="D285" s="20">
        <v>20180230</v>
      </c>
      <c r="E285" s="20">
        <v>30813</v>
      </c>
      <c r="F285" s="20" t="s">
        <v>825</v>
      </c>
      <c r="G285" s="20">
        <v>18718</v>
      </c>
      <c r="H285" s="20" t="s">
        <v>918</v>
      </c>
      <c r="I285" s="20" t="s">
        <v>692</v>
      </c>
      <c r="J285" s="20" t="s">
        <v>693</v>
      </c>
      <c r="K285" s="20" t="s">
        <v>694</v>
      </c>
      <c r="L285" s="20">
        <v>77002</v>
      </c>
      <c r="M285" s="22">
        <v>43286.770833333336</v>
      </c>
      <c r="P285" s="20">
        <v>31.981649999999998</v>
      </c>
      <c r="Q285" s="20">
        <v>-100.57514</v>
      </c>
      <c r="R285" s="20" t="s">
        <v>697</v>
      </c>
      <c r="W285" s="20">
        <v>10</v>
      </c>
      <c r="Y285" s="20">
        <v>10</v>
      </c>
      <c r="Z285" s="20" t="s">
        <v>698</v>
      </c>
      <c r="AF285" s="20">
        <v>0</v>
      </c>
      <c r="AG285" s="20" t="s">
        <v>698</v>
      </c>
      <c r="AM285" s="20">
        <v>0</v>
      </c>
      <c r="AN285" s="20" t="s">
        <v>1444</v>
      </c>
      <c r="AQ285" s="23">
        <v>43286.770833333336</v>
      </c>
      <c r="AR285" s="20" t="s">
        <v>776</v>
      </c>
      <c r="AS285" s="20" t="s">
        <v>702</v>
      </c>
      <c r="AU285" s="20" t="s">
        <v>696</v>
      </c>
      <c r="AW285" s="23">
        <v>43286.774305555555</v>
      </c>
      <c r="AX285" s="23">
        <v>43289.479166666664</v>
      </c>
      <c r="BC285" s="23">
        <v>43286.791666666664</v>
      </c>
      <c r="BE285" s="23">
        <v>43328.646527777775</v>
      </c>
      <c r="BF285" s="20">
        <v>1221762</v>
      </c>
      <c r="BH285" s="20" t="s">
        <v>698</v>
      </c>
      <c r="BM285" s="20" t="s">
        <v>698</v>
      </c>
      <c r="BQ285" s="20" t="s">
        <v>779</v>
      </c>
      <c r="BU285" s="20" t="s">
        <v>779</v>
      </c>
      <c r="CA285" s="20">
        <v>0</v>
      </c>
      <c r="CB285" s="20" t="s">
        <v>2567</v>
      </c>
      <c r="CC285" s="20">
        <v>633002</v>
      </c>
      <c r="CD285" s="20" t="s">
        <v>694</v>
      </c>
      <c r="CE285" s="20">
        <v>76945</v>
      </c>
      <c r="CF285" s="20" t="s">
        <v>2568</v>
      </c>
      <c r="CG285" s="20" t="s">
        <v>2569</v>
      </c>
      <c r="CH285" s="20" t="s">
        <v>1931</v>
      </c>
      <c r="CI285" s="20" t="s">
        <v>2570</v>
      </c>
      <c r="CJ285" s="20" t="s">
        <v>698</v>
      </c>
      <c r="CK285" s="20" t="s">
        <v>785</v>
      </c>
      <c r="CL285" s="20" t="s">
        <v>741</v>
      </c>
      <c r="CM285" s="20" t="s">
        <v>742</v>
      </c>
      <c r="CO285" s="20">
        <v>16</v>
      </c>
      <c r="CP285" s="20" t="s">
        <v>698</v>
      </c>
      <c r="DM285" s="20" t="s">
        <v>715</v>
      </c>
      <c r="DN285" s="20" t="s">
        <v>744</v>
      </c>
      <c r="DO285" s="20" t="s">
        <v>745</v>
      </c>
      <c r="DQ285" s="20">
        <v>6</v>
      </c>
      <c r="DR285" s="20">
        <v>0.156</v>
      </c>
      <c r="DS285" s="20">
        <v>24000</v>
      </c>
      <c r="DT285" s="20" t="s">
        <v>1103</v>
      </c>
      <c r="DU285" s="20" t="s">
        <v>766</v>
      </c>
      <c r="DV285" s="20" t="s">
        <v>728</v>
      </c>
      <c r="DW285" s="20" t="s">
        <v>728</v>
      </c>
      <c r="DX285" s="20" t="s">
        <v>805</v>
      </c>
      <c r="FK285" s="20">
        <v>1950</v>
      </c>
      <c r="FL285" s="20">
        <v>1950</v>
      </c>
      <c r="FM285" s="20" t="s">
        <v>719</v>
      </c>
      <c r="FO285" s="20" t="s">
        <v>1061</v>
      </c>
      <c r="FP285" s="20">
        <v>0.5</v>
      </c>
      <c r="FQ285" s="20">
        <v>1</v>
      </c>
      <c r="FY285" s="20" t="s">
        <v>698</v>
      </c>
      <c r="GC285" s="20" t="s">
        <v>696</v>
      </c>
      <c r="GD285" s="20" t="s">
        <v>698</v>
      </c>
      <c r="GE285" s="20" t="s">
        <v>696</v>
      </c>
      <c r="GH285" s="20" t="s">
        <v>696</v>
      </c>
      <c r="GK285" s="20" t="s">
        <v>698</v>
      </c>
      <c r="GT285" s="20" t="s">
        <v>698</v>
      </c>
      <c r="GU285" s="20" t="s">
        <v>698</v>
      </c>
      <c r="HF285" s="20">
        <v>0</v>
      </c>
      <c r="HG285" s="20">
        <v>650</v>
      </c>
      <c r="HH285" s="20">
        <v>40000</v>
      </c>
      <c r="HI285" s="20">
        <v>10000</v>
      </c>
      <c r="HJ285" s="20">
        <v>70000</v>
      </c>
      <c r="HK285" s="20">
        <v>0</v>
      </c>
      <c r="HM285" s="20">
        <v>120650</v>
      </c>
      <c r="HR285" s="20">
        <v>178</v>
      </c>
      <c r="HS285" s="20">
        <v>417</v>
      </c>
      <c r="HY285" s="20" t="s">
        <v>723</v>
      </c>
      <c r="HZ285" s="20" t="s">
        <v>698</v>
      </c>
      <c r="IC285" s="20">
        <v>40000</v>
      </c>
      <c r="ID285" s="20" t="s">
        <v>696</v>
      </c>
      <c r="IL285" s="20" t="s">
        <v>698</v>
      </c>
      <c r="IS285" s="20" t="s">
        <v>724</v>
      </c>
      <c r="IT285" s="20" t="s">
        <v>696</v>
      </c>
      <c r="IU285" s="20" t="s">
        <v>696</v>
      </c>
      <c r="IV285" s="20" t="s">
        <v>696</v>
      </c>
      <c r="IW285" s="20" t="s">
        <v>698</v>
      </c>
      <c r="IX285" s="20" t="s">
        <v>698</v>
      </c>
      <c r="IY285" s="20" t="s">
        <v>698</v>
      </c>
      <c r="JD285" s="20" t="s">
        <v>725</v>
      </c>
      <c r="JE285" s="20" t="s">
        <v>2571</v>
      </c>
      <c r="JR285" s="20" t="s">
        <v>698</v>
      </c>
      <c r="JS285" s="20" t="s">
        <v>698</v>
      </c>
      <c r="JX285" s="20" t="s">
        <v>990</v>
      </c>
      <c r="JY285" s="20" t="s">
        <v>1454</v>
      </c>
      <c r="MK285" s="20" t="s">
        <v>1454</v>
      </c>
      <c r="ML285" s="20" t="s">
        <v>698</v>
      </c>
      <c r="MV285" s="20" t="s">
        <v>696</v>
      </c>
      <c r="NA285" s="20" t="s">
        <v>696</v>
      </c>
      <c r="NK285" s="20" t="s">
        <v>1785</v>
      </c>
      <c r="NL285" s="20" t="s">
        <v>2475</v>
      </c>
      <c r="NM285" s="20" t="s">
        <v>2476</v>
      </c>
      <c r="NN285" s="20" t="s">
        <v>698</v>
      </c>
      <c r="NT285" s="20" t="s">
        <v>696</v>
      </c>
      <c r="NU285" s="20">
        <v>65</v>
      </c>
      <c r="NV285" s="20" t="s">
        <v>995</v>
      </c>
      <c r="NW285" s="20" t="s">
        <v>996</v>
      </c>
      <c r="XL285" s="20" t="s">
        <v>730</v>
      </c>
      <c r="XM285" s="20" t="s">
        <v>2269</v>
      </c>
      <c r="XN285" s="20" t="s">
        <v>732</v>
      </c>
      <c r="XO285" s="20" t="s">
        <v>733</v>
      </c>
      <c r="XP285" s="20" t="s">
        <v>2216</v>
      </c>
      <c r="XQ285" s="24">
        <v>43328</v>
      </c>
      <c r="XU285" s="20" t="s">
        <v>730</v>
      </c>
      <c r="XV285" s="20" t="s">
        <v>733</v>
      </c>
      <c r="XW285" s="20" t="s">
        <v>2269</v>
      </c>
      <c r="XX285" s="20" t="s">
        <v>732</v>
      </c>
      <c r="XY285" s="20" t="s">
        <v>2572</v>
      </c>
    </row>
    <row r="286" spans="1:649" ht="13">
      <c r="A286" s="20">
        <v>2284</v>
      </c>
      <c r="B286" s="21">
        <v>43314</v>
      </c>
      <c r="C286" s="20">
        <v>2018</v>
      </c>
      <c r="D286" s="20">
        <v>20180222</v>
      </c>
      <c r="E286" s="20">
        <v>30795</v>
      </c>
      <c r="F286" s="20" t="s">
        <v>825</v>
      </c>
      <c r="G286" s="20">
        <v>39596</v>
      </c>
      <c r="H286" s="20" t="s">
        <v>796</v>
      </c>
      <c r="I286" s="20" t="s">
        <v>692</v>
      </c>
      <c r="J286" s="20" t="s">
        <v>693</v>
      </c>
      <c r="K286" s="20" t="s">
        <v>694</v>
      </c>
      <c r="L286" s="20">
        <v>77002</v>
      </c>
      <c r="M286" s="22">
        <v>43285.802083333336</v>
      </c>
      <c r="P286" s="20">
        <v>33.863329999999998</v>
      </c>
      <c r="Q286" s="20">
        <v>-97.953320000000005</v>
      </c>
      <c r="R286" s="20" t="s">
        <v>697</v>
      </c>
      <c r="W286" s="20">
        <v>1</v>
      </c>
      <c r="Y286" s="20">
        <v>0.5</v>
      </c>
      <c r="Z286" s="20" t="s">
        <v>698</v>
      </c>
      <c r="AF286" s="20">
        <v>0</v>
      </c>
      <c r="AG286" s="20" t="s">
        <v>698</v>
      </c>
      <c r="AM286" s="20">
        <v>0</v>
      </c>
      <c r="AN286" s="20" t="s">
        <v>2050</v>
      </c>
      <c r="AQ286" s="23">
        <v>43285.802083333336</v>
      </c>
      <c r="AR286" s="20" t="s">
        <v>701</v>
      </c>
      <c r="AS286" s="20" t="s">
        <v>702</v>
      </c>
      <c r="AU286" s="20" t="s">
        <v>696</v>
      </c>
      <c r="AW286" s="23">
        <v>43285.802083333336</v>
      </c>
      <c r="AX286" s="23">
        <v>43290.416666666664</v>
      </c>
      <c r="BC286" s="23">
        <v>43285.84375</v>
      </c>
      <c r="BF286" s="20" t="s">
        <v>754</v>
      </c>
      <c r="BH286" s="20" t="s">
        <v>698</v>
      </c>
      <c r="BM286" s="20" t="s">
        <v>698</v>
      </c>
      <c r="CA286" s="20">
        <v>0</v>
      </c>
      <c r="CB286" s="20" t="s">
        <v>901</v>
      </c>
      <c r="CC286" s="20" t="s">
        <v>2573</v>
      </c>
      <c r="CD286" s="20" t="s">
        <v>694</v>
      </c>
      <c r="CE286" s="20">
        <v>76261</v>
      </c>
      <c r="CF286" s="20" t="s">
        <v>2574</v>
      </c>
      <c r="CG286" s="20" t="s">
        <v>903</v>
      </c>
      <c r="CH286" s="20" t="s">
        <v>710</v>
      </c>
      <c r="CI286" s="20" t="s">
        <v>711</v>
      </c>
      <c r="CJ286" s="20" t="s">
        <v>698</v>
      </c>
      <c r="CK286" s="20" t="s">
        <v>712</v>
      </c>
      <c r="CL286" s="20" t="s">
        <v>713</v>
      </c>
      <c r="CM286" s="20" t="s">
        <v>758</v>
      </c>
      <c r="CP286" s="20" t="s">
        <v>698</v>
      </c>
      <c r="DM286" s="20" t="s">
        <v>743</v>
      </c>
      <c r="DN286" s="20" t="s">
        <v>716</v>
      </c>
      <c r="FK286" s="20">
        <v>1998</v>
      </c>
      <c r="FM286" s="20" t="s">
        <v>962</v>
      </c>
      <c r="FN286" s="20" t="s">
        <v>1171</v>
      </c>
      <c r="FO286" s="20" t="s">
        <v>720</v>
      </c>
      <c r="FR286" s="20" t="s">
        <v>721</v>
      </c>
      <c r="FY286" s="20" t="s">
        <v>698</v>
      </c>
      <c r="GC286" s="20" t="s">
        <v>696</v>
      </c>
      <c r="GD286" s="20" t="s">
        <v>698</v>
      </c>
      <c r="GE286" s="20" t="s">
        <v>696</v>
      </c>
      <c r="GH286" s="20" t="s">
        <v>696</v>
      </c>
      <c r="GK286" s="20" t="s">
        <v>698</v>
      </c>
      <c r="GT286" s="20" t="s">
        <v>698</v>
      </c>
      <c r="GU286" s="20" t="s">
        <v>698</v>
      </c>
      <c r="HF286" s="20">
        <v>0</v>
      </c>
      <c r="HG286" s="20">
        <v>65</v>
      </c>
      <c r="HH286" s="20">
        <v>35000</v>
      </c>
      <c r="HI286" s="20">
        <v>500</v>
      </c>
      <c r="HJ286" s="20">
        <v>4500</v>
      </c>
      <c r="HK286" s="20">
        <v>0</v>
      </c>
      <c r="HM286" s="20">
        <v>40065</v>
      </c>
      <c r="HR286" s="20">
        <v>150</v>
      </c>
      <c r="HS286" s="20">
        <v>285</v>
      </c>
      <c r="HY286" s="20" t="s">
        <v>723</v>
      </c>
      <c r="HZ286" s="20" t="s">
        <v>698</v>
      </c>
      <c r="IS286" s="20" t="s">
        <v>724</v>
      </c>
      <c r="IT286" s="20" t="s">
        <v>696</v>
      </c>
      <c r="IU286" s="20" t="s">
        <v>696</v>
      </c>
      <c r="IV286" s="20" t="s">
        <v>696</v>
      </c>
      <c r="IW286" s="20" t="s">
        <v>696</v>
      </c>
      <c r="IX286" s="20" t="s">
        <v>698</v>
      </c>
      <c r="IY286" s="20" t="s">
        <v>696</v>
      </c>
      <c r="IZ286" s="20" t="s">
        <v>696</v>
      </c>
      <c r="JA286" s="20" t="s">
        <v>696</v>
      </c>
      <c r="JB286" s="20" t="s">
        <v>698</v>
      </c>
      <c r="JC286" s="20" t="s">
        <v>698</v>
      </c>
      <c r="JD286" s="20" t="s">
        <v>725</v>
      </c>
      <c r="JE286" s="20" t="s">
        <v>2575</v>
      </c>
      <c r="JR286" s="20" t="s">
        <v>698</v>
      </c>
      <c r="JS286" s="20" t="s">
        <v>698</v>
      </c>
      <c r="JX286" s="20" t="s">
        <v>789</v>
      </c>
      <c r="JY286" s="20" t="s">
        <v>1251</v>
      </c>
      <c r="QB286" s="20" t="s">
        <v>1251</v>
      </c>
      <c r="QO286" s="20" t="s">
        <v>1252</v>
      </c>
      <c r="QV286" s="20" t="s">
        <v>696</v>
      </c>
      <c r="XL286" s="20" t="s">
        <v>730</v>
      </c>
      <c r="XM286" s="20" t="s">
        <v>2269</v>
      </c>
      <c r="XN286" s="20" t="s">
        <v>732</v>
      </c>
      <c r="XO286" s="20" t="s">
        <v>733</v>
      </c>
      <c r="XP286" s="20" t="s">
        <v>2216</v>
      </c>
      <c r="XQ286" s="24">
        <v>43326</v>
      </c>
      <c r="XU286" s="20" t="s">
        <v>730</v>
      </c>
      <c r="XV286" s="20" t="s">
        <v>733</v>
      </c>
      <c r="XW286" s="20" t="s">
        <v>2269</v>
      </c>
      <c r="XX286" s="20" t="s">
        <v>732</v>
      </c>
      <c r="XY286" s="20" t="s">
        <v>2576</v>
      </c>
    </row>
    <row r="287" spans="1:649" ht="13">
      <c r="A287" s="20">
        <v>2304</v>
      </c>
      <c r="B287" s="21">
        <v>43293</v>
      </c>
      <c r="C287" s="20">
        <v>2018</v>
      </c>
      <c r="D287" s="20">
        <v>20180198</v>
      </c>
      <c r="E287" s="20">
        <v>30619</v>
      </c>
      <c r="F287" s="20" t="s">
        <v>885</v>
      </c>
      <c r="G287" s="20">
        <v>39706</v>
      </c>
      <c r="H287" s="20" t="s">
        <v>1943</v>
      </c>
      <c r="I287" s="20" t="s">
        <v>692</v>
      </c>
      <c r="J287" s="20" t="s">
        <v>693</v>
      </c>
      <c r="K287" s="20" t="s">
        <v>694</v>
      </c>
      <c r="L287" s="20">
        <v>77002</v>
      </c>
      <c r="M287" s="22">
        <v>43267.65625</v>
      </c>
      <c r="P287" s="20">
        <v>30.001380000000001</v>
      </c>
      <c r="Q287" s="20">
        <v>-93.986591000000004</v>
      </c>
      <c r="R287" s="20" t="s">
        <v>697</v>
      </c>
      <c r="W287" s="20">
        <v>0.7</v>
      </c>
      <c r="Y287" s="20">
        <v>0.7</v>
      </c>
      <c r="Z287" s="20" t="s">
        <v>698</v>
      </c>
      <c r="AF287" s="20">
        <v>0</v>
      </c>
      <c r="AG287" s="20" t="s">
        <v>698</v>
      </c>
      <c r="AM287" s="20">
        <v>0</v>
      </c>
      <c r="AN287" s="20" t="s">
        <v>699</v>
      </c>
      <c r="AP287" s="20" t="s">
        <v>700</v>
      </c>
      <c r="AQ287" s="23">
        <v>43267.65625</v>
      </c>
      <c r="AR287" s="20" t="s">
        <v>736</v>
      </c>
      <c r="AS287" s="20" t="s">
        <v>702</v>
      </c>
      <c r="AU287" s="20" t="s">
        <v>698</v>
      </c>
      <c r="AV287" s="20" t="s">
        <v>1769</v>
      </c>
      <c r="BC287" s="23">
        <v>43267.65625</v>
      </c>
      <c r="BF287" s="20" t="s">
        <v>754</v>
      </c>
      <c r="BH287" s="20" t="s">
        <v>698</v>
      </c>
      <c r="BM287" s="20" t="s">
        <v>698</v>
      </c>
      <c r="CA287" s="20">
        <v>0</v>
      </c>
      <c r="CB287" s="20" t="s">
        <v>818</v>
      </c>
      <c r="CC287" s="20" t="s">
        <v>1662</v>
      </c>
      <c r="CD287" s="20" t="s">
        <v>694</v>
      </c>
      <c r="CE287" s="20">
        <v>77627</v>
      </c>
      <c r="CF287" s="20" t="s">
        <v>820</v>
      </c>
      <c r="CG287" s="20" t="s">
        <v>821</v>
      </c>
      <c r="CH287" s="20" t="s">
        <v>710</v>
      </c>
      <c r="CI287" s="20" t="s">
        <v>711</v>
      </c>
      <c r="CJ287" s="20" t="s">
        <v>698</v>
      </c>
      <c r="CK287" s="20" t="s">
        <v>712</v>
      </c>
      <c r="CL287" s="20" t="s">
        <v>713</v>
      </c>
      <c r="CM287" s="20" t="s">
        <v>758</v>
      </c>
      <c r="CP287" s="20" t="s">
        <v>698</v>
      </c>
      <c r="DM287" s="20" t="s">
        <v>743</v>
      </c>
      <c r="DN287" s="20" t="s">
        <v>766</v>
      </c>
      <c r="FJ287" s="20" t="s">
        <v>2577</v>
      </c>
      <c r="FK287" s="20">
        <v>2018</v>
      </c>
      <c r="FM287" s="20" t="s">
        <v>719</v>
      </c>
      <c r="FO287" s="20" t="s">
        <v>720</v>
      </c>
      <c r="FR287" s="20" t="s">
        <v>766</v>
      </c>
      <c r="FS287" s="20" t="s">
        <v>2578</v>
      </c>
      <c r="FY287" s="20" t="s">
        <v>698</v>
      </c>
      <c r="GC287" s="20" t="s">
        <v>698</v>
      </c>
      <c r="GD287" s="20" t="s">
        <v>698</v>
      </c>
      <c r="GE287" s="20" t="s">
        <v>698</v>
      </c>
      <c r="GK287" s="20" t="s">
        <v>698</v>
      </c>
      <c r="GT287" s="20" t="s">
        <v>698</v>
      </c>
      <c r="GU287" s="20" t="s">
        <v>696</v>
      </c>
      <c r="GX287" s="20" t="s">
        <v>696</v>
      </c>
      <c r="GY287" s="20" t="s">
        <v>698</v>
      </c>
      <c r="HF287" s="20">
        <v>0</v>
      </c>
      <c r="HG287" s="20">
        <v>15</v>
      </c>
      <c r="HH287" s="20">
        <v>300</v>
      </c>
      <c r="HI287" s="20">
        <v>600</v>
      </c>
      <c r="HJ287" s="20">
        <v>200</v>
      </c>
      <c r="HK287" s="20">
        <v>0</v>
      </c>
      <c r="HM287" s="20">
        <v>1115</v>
      </c>
      <c r="HR287" s="20">
        <v>100</v>
      </c>
      <c r="HS287" s="20">
        <v>285</v>
      </c>
      <c r="HY287" s="20" t="s">
        <v>723</v>
      </c>
      <c r="HZ287" s="20" t="s">
        <v>698</v>
      </c>
      <c r="IS287" s="20" t="s">
        <v>724</v>
      </c>
      <c r="IT287" s="20" t="s">
        <v>696</v>
      </c>
      <c r="IU287" s="20" t="s">
        <v>696</v>
      </c>
      <c r="IV287" s="20" t="s">
        <v>696</v>
      </c>
      <c r="IW287" s="20" t="s">
        <v>698</v>
      </c>
      <c r="IX287" s="20" t="s">
        <v>698</v>
      </c>
      <c r="IY287" s="20" t="s">
        <v>698</v>
      </c>
      <c r="JD287" s="20" t="s">
        <v>725</v>
      </c>
      <c r="JE287" s="20" t="s">
        <v>726</v>
      </c>
      <c r="JR287" s="20" t="s">
        <v>698</v>
      </c>
      <c r="JS287" s="20" t="s">
        <v>698</v>
      </c>
      <c r="JX287" s="20" t="s">
        <v>789</v>
      </c>
      <c r="JY287" s="20" t="s">
        <v>2579</v>
      </c>
      <c r="QB287" s="20" t="s">
        <v>2579</v>
      </c>
      <c r="QY287" s="20" t="s">
        <v>696</v>
      </c>
      <c r="XL287" s="20" t="s">
        <v>730</v>
      </c>
      <c r="XM287" s="20" t="s">
        <v>2269</v>
      </c>
      <c r="XN287" s="20" t="s">
        <v>732</v>
      </c>
      <c r="XO287" s="20" t="s">
        <v>733</v>
      </c>
      <c r="XP287" s="20" t="s">
        <v>2216</v>
      </c>
      <c r="XQ287" s="24">
        <v>43293</v>
      </c>
      <c r="XU287" s="20" t="s">
        <v>730</v>
      </c>
      <c r="XV287" s="20" t="s">
        <v>733</v>
      </c>
      <c r="XW287" s="20" t="s">
        <v>2269</v>
      </c>
      <c r="XX287" s="20" t="s">
        <v>732</v>
      </c>
      <c r="XY287" s="20" t="s">
        <v>2580</v>
      </c>
    </row>
    <row r="288" spans="1:649" ht="13">
      <c r="A288" s="20">
        <v>2305</v>
      </c>
      <c r="B288" s="21">
        <v>43307</v>
      </c>
      <c r="C288" s="20">
        <v>2018</v>
      </c>
      <c r="D288" s="20">
        <v>20180215</v>
      </c>
      <c r="E288" s="20">
        <v>31167</v>
      </c>
      <c r="F288" s="20" t="s">
        <v>825</v>
      </c>
      <c r="G288" s="20">
        <v>18718</v>
      </c>
      <c r="H288" s="20" t="s">
        <v>918</v>
      </c>
      <c r="I288" s="20" t="s">
        <v>692</v>
      </c>
      <c r="J288" s="20" t="s">
        <v>693</v>
      </c>
      <c r="K288" s="20" t="s">
        <v>694</v>
      </c>
      <c r="L288" s="20">
        <v>77002</v>
      </c>
      <c r="M288" s="22">
        <v>43267.572916666664</v>
      </c>
      <c r="P288" s="20">
        <v>39.865090000000002</v>
      </c>
      <c r="Q288" s="20">
        <v>-75.311480000000003</v>
      </c>
      <c r="R288" s="20" t="s">
        <v>844</v>
      </c>
      <c r="S288" s="20" t="s">
        <v>936</v>
      </c>
      <c r="W288" s="20">
        <v>821</v>
      </c>
      <c r="Y288" s="20">
        <v>530</v>
      </c>
      <c r="Z288" s="20" t="s">
        <v>698</v>
      </c>
      <c r="AF288" s="20">
        <v>0</v>
      </c>
      <c r="AG288" s="20" t="s">
        <v>698</v>
      </c>
      <c r="AM288" s="20">
        <v>0</v>
      </c>
      <c r="AN288" s="20" t="s">
        <v>775</v>
      </c>
      <c r="AQ288" s="23">
        <v>43270.753472222219</v>
      </c>
      <c r="AR288" s="20" t="s">
        <v>776</v>
      </c>
      <c r="AS288" s="20" t="s">
        <v>702</v>
      </c>
      <c r="AU288" s="20" t="s">
        <v>696</v>
      </c>
      <c r="AW288" s="23">
        <v>43269.950694444444</v>
      </c>
      <c r="AX288" s="23">
        <v>43282.747916666667</v>
      </c>
      <c r="BC288" s="23">
        <v>43270.77847222222</v>
      </c>
      <c r="BE288" s="23">
        <v>43270.835416666669</v>
      </c>
      <c r="BF288" s="20">
        <v>1215816</v>
      </c>
      <c r="BH288" s="20" t="s">
        <v>698</v>
      </c>
      <c r="BM288" s="20" t="s">
        <v>698</v>
      </c>
      <c r="BQ288" s="20" t="s">
        <v>779</v>
      </c>
      <c r="BU288" s="20" t="s">
        <v>779</v>
      </c>
      <c r="CA288" s="20">
        <v>0</v>
      </c>
      <c r="CB288" s="20" t="s">
        <v>2581</v>
      </c>
      <c r="CC288" s="20" t="s">
        <v>2582</v>
      </c>
      <c r="CD288" s="20" t="s">
        <v>921</v>
      </c>
      <c r="CE288" s="20">
        <v>19029</v>
      </c>
      <c r="CF288" s="20" t="s">
        <v>2583</v>
      </c>
      <c r="CG288" s="20" t="s">
        <v>1180</v>
      </c>
      <c r="CH288" s="20" t="s">
        <v>710</v>
      </c>
      <c r="CI288" s="20" t="s">
        <v>2584</v>
      </c>
      <c r="CJ288" s="20" t="s">
        <v>698</v>
      </c>
      <c r="CK288" s="20" t="s">
        <v>785</v>
      </c>
      <c r="CL288" s="20" t="s">
        <v>741</v>
      </c>
      <c r="CM288" s="20" t="s">
        <v>2585</v>
      </c>
      <c r="CO288" s="20">
        <v>48</v>
      </c>
      <c r="CP288" s="20" t="s">
        <v>698</v>
      </c>
      <c r="DM288" s="20" t="s">
        <v>743</v>
      </c>
      <c r="DN288" s="20" t="s">
        <v>744</v>
      </c>
      <c r="DO288" s="20" t="s">
        <v>745</v>
      </c>
      <c r="DQ288" s="20">
        <v>12</v>
      </c>
      <c r="DR288" s="20">
        <v>0.375</v>
      </c>
      <c r="DS288" s="20">
        <v>35000</v>
      </c>
      <c r="DT288" s="20" t="s">
        <v>2586</v>
      </c>
      <c r="DU288" s="20" t="s">
        <v>926</v>
      </c>
      <c r="DW288" s="20" t="s">
        <v>2007</v>
      </c>
      <c r="DX288" s="20" t="s">
        <v>805</v>
      </c>
      <c r="FK288" s="20">
        <v>1937</v>
      </c>
      <c r="FL288" s="20">
        <v>1937</v>
      </c>
      <c r="FM288" s="20" t="s">
        <v>719</v>
      </c>
      <c r="FO288" s="20" t="s">
        <v>720</v>
      </c>
      <c r="FR288" s="20" t="s">
        <v>768</v>
      </c>
      <c r="FY288" s="20" t="s">
        <v>698</v>
      </c>
      <c r="GC288" s="20" t="s">
        <v>696</v>
      </c>
      <c r="GD288" s="20" t="s">
        <v>696</v>
      </c>
      <c r="GE288" s="20" t="s">
        <v>696</v>
      </c>
      <c r="GF288" s="20" t="s">
        <v>696</v>
      </c>
      <c r="GG288" s="20" t="s">
        <v>696</v>
      </c>
      <c r="GH288" s="20" t="s">
        <v>696</v>
      </c>
      <c r="GK288" s="20" t="s">
        <v>696</v>
      </c>
      <c r="GM288" s="20" t="s">
        <v>696</v>
      </c>
      <c r="GN288" s="20" t="s">
        <v>696</v>
      </c>
      <c r="GR288" s="20">
        <v>246</v>
      </c>
      <c r="GS288" s="20" t="s">
        <v>2587</v>
      </c>
      <c r="GT288" s="20" t="s">
        <v>696</v>
      </c>
      <c r="GU288" s="20" t="s">
        <v>696</v>
      </c>
      <c r="GX288" s="20" t="s">
        <v>696</v>
      </c>
      <c r="GY288" s="20" t="s">
        <v>696</v>
      </c>
      <c r="HD288" s="20" t="s">
        <v>696</v>
      </c>
      <c r="HE288" s="20" t="s">
        <v>696</v>
      </c>
      <c r="HF288" s="20">
        <v>1000000</v>
      </c>
      <c r="HG288" s="20">
        <v>69785</v>
      </c>
      <c r="HH288" s="20">
        <v>1268000</v>
      </c>
      <c r="HI288" s="20">
        <v>1700000</v>
      </c>
      <c r="HJ288" s="20">
        <v>1200000</v>
      </c>
      <c r="HK288" s="20">
        <v>433000</v>
      </c>
      <c r="HL288" s="20" t="s">
        <v>2588</v>
      </c>
      <c r="HM288" s="20">
        <v>5670785</v>
      </c>
      <c r="HR288" s="20">
        <v>267</v>
      </c>
      <c r="HS288" s="20">
        <v>950</v>
      </c>
      <c r="HY288" s="20" t="s">
        <v>723</v>
      </c>
      <c r="HZ288" s="20" t="s">
        <v>698</v>
      </c>
      <c r="IC288" s="20">
        <v>7181</v>
      </c>
      <c r="ID288" s="20" t="s">
        <v>696</v>
      </c>
      <c r="IL288" s="20" t="s">
        <v>698</v>
      </c>
      <c r="IS288" s="20" t="s">
        <v>724</v>
      </c>
      <c r="IT288" s="20" t="s">
        <v>696</v>
      </c>
      <c r="IU288" s="20" t="s">
        <v>696</v>
      </c>
      <c r="IV288" s="20" t="s">
        <v>696</v>
      </c>
      <c r="IW288" s="20" t="s">
        <v>698</v>
      </c>
      <c r="IX288" s="20" t="s">
        <v>698</v>
      </c>
      <c r="IY288" s="20" t="s">
        <v>696</v>
      </c>
      <c r="IZ288" s="20" t="s">
        <v>696</v>
      </c>
      <c r="JA288" s="20" t="s">
        <v>696</v>
      </c>
      <c r="JB288" s="20" t="s">
        <v>698</v>
      </c>
      <c r="JC288" s="20" t="s">
        <v>698</v>
      </c>
      <c r="JD288" s="20" t="s">
        <v>859</v>
      </c>
      <c r="JF288" s="20" t="s">
        <v>696</v>
      </c>
      <c r="JI288" s="20" t="s">
        <v>696</v>
      </c>
      <c r="JJ288" s="20" t="s">
        <v>696</v>
      </c>
      <c r="JR288" s="20" t="s">
        <v>698</v>
      </c>
      <c r="JS288" s="20" t="s">
        <v>698</v>
      </c>
      <c r="JX288" s="20" t="s">
        <v>929</v>
      </c>
      <c r="JY288" s="20" t="s">
        <v>930</v>
      </c>
      <c r="PC288" s="20" t="s">
        <v>696</v>
      </c>
      <c r="PG288" s="20" t="s">
        <v>930</v>
      </c>
      <c r="PN288" s="20" t="s">
        <v>766</v>
      </c>
      <c r="PO288" s="20" t="s">
        <v>2589</v>
      </c>
      <c r="PR288" s="20" t="s">
        <v>696</v>
      </c>
      <c r="PT288" s="20" t="s">
        <v>696</v>
      </c>
      <c r="QA288" s="20" t="s">
        <v>696</v>
      </c>
      <c r="SC288" s="20" t="s">
        <v>696</v>
      </c>
      <c r="SD288" s="20" t="s">
        <v>696</v>
      </c>
      <c r="SG288" s="20" t="s">
        <v>696</v>
      </c>
      <c r="SH288" s="20" t="s">
        <v>696</v>
      </c>
      <c r="SJ288" s="20" t="s">
        <v>696</v>
      </c>
      <c r="SK288" s="20">
        <v>2016</v>
      </c>
      <c r="TQ288" s="20">
        <v>2016</v>
      </c>
      <c r="UA288" s="20">
        <v>2016</v>
      </c>
      <c r="UI288" s="20" t="s">
        <v>2590</v>
      </c>
      <c r="UJ288" s="20">
        <v>2016</v>
      </c>
      <c r="UO288" s="20" t="s">
        <v>698</v>
      </c>
      <c r="UR288" s="20" t="s">
        <v>698</v>
      </c>
      <c r="UZ288" s="20" t="s">
        <v>698</v>
      </c>
      <c r="XL288" s="20" t="s">
        <v>730</v>
      </c>
      <c r="XM288" s="20" t="s">
        <v>2269</v>
      </c>
      <c r="XN288" s="20" t="s">
        <v>732</v>
      </c>
      <c r="XO288" s="20" t="s">
        <v>733</v>
      </c>
      <c r="XP288" s="20" t="s">
        <v>2216</v>
      </c>
      <c r="XQ288" s="24">
        <v>43416</v>
      </c>
      <c r="XU288" s="20" t="s">
        <v>730</v>
      </c>
      <c r="XV288" s="20" t="s">
        <v>733</v>
      </c>
      <c r="XW288" s="20" t="s">
        <v>2269</v>
      </c>
      <c r="XX288" s="20" t="s">
        <v>732</v>
      </c>
      <c r="XY288" s="20" t="s">
        <v>2591</v>
      </c>
    </row>
    <row r="289" spans="1:649" ht="13">
      <c r="A289" s="20">
        <v>2320</v>
      </c>
      <c r="B289" s="21">
        <v>43283</v>
      </c>
      <c r="C289" s="20">
        <v>2018</v>
      </c>
      <c r="D289" s="20">
        <v>20180191</v>
      </c>
      <c r="E289" s="20">
        <v>30582</v>
      </c>
      <c r="F289" s="20" t="s">
        <v>885</v>
      </c>
      <c r="G289" s="20">
        <v>39706</v>
      </c>
      <c r="H289" s="20" t="s">
        <v>1943</v>
      </c>
      <c r="I289" s="20" t="s">
        <v>692</v>
      </c>
      <c r="J289" s="20" t="s">
        <v>693</v>
      </c>
      <c r="K289" s="20" t="s">
        <v>694</v>
      </c>
      <c r="L289" s="20">
        <v>77002</v>
      </c>
      <c r="M289" s="22">
        <v>43253.753472222219</v>
      </c>
      <c r="P289" s="20">
        <v>30.001380000000001</v>
      </c>
      <c r="Q289" s="20">
        <v>-93.986591000000004</v>
      </c>
      <c r="R289" s="20" t="s">
        <v>697</v>
      </c>
      <c r="W289" s="20">
        <v>1</v>
      </c>
      <c r="Y289" s="20">
        <v>1</v>
      </c>
      <c r="Z289" s="20" t="s">
        <v>698</v>
      </c>
      <c r="AF289" s="20">
        <v>0</v>
      </c>
      <c r="AG289" s="20" t="s">
        <v>698</v>
      </c>
      <c r="AM289" s="20">
        <v>0</v>
      </c>
      <c r="AN289" s="20" t="s">
        <v>699</v>
      </c>
      <c r="AP289" s="20" t="s">
        <v>700</v>
      </c>
      <c r="AQ289" s="23">
        <v>43253.753472222219</v>
      </c>
      <c r="AR289" s="20" t="s">
        <v>736</v>
      </c>
      <c r="AS289" s="20" t="s">
        <v>702</v>
      </c>
      <c r="AU289" s="20" t="s">
        <v>698</v>
      </c>
      <c r="AV289" s="20" t="s">
        <v>1769</v>
      </c>
      <c r="BC289" s="23">
        <v>43253.753472222219</v>
      </c>
      <c r="BF289" s="20" t="s">
        <v>754</v>
      </c>
      <c r="BH289" s="20" t="s">
        <v>698</v>
      </c>
      <c r="BM289" s="20" t="s">
        <v>698</v>
      </c>
      <c r="CA289" s="20">
        <v>0</v>
      </c>
      <c r="CB289" s="20" t="s">
        <v>818</v>
      </c>
      <c r="CC289" s="20" t="s">
        <v>1662</v>
      </c>
      <c r="CD289" s="20" t="s">
        <v>694</v>
      </c>
      <c r="CE289" s="20">
        <v>77627</v>
      </c>
      <c r="CF289" s="20" t="s">
        <v>820</v>
      </c>
      <c r="CG289" s="20" t="s">
        <v>821</v>
      </c>
      <c r="CH289" s="20" t="s">
        <v>710</v>
      </c>
      <c r="CI289" s="20" t="s">
        <v>711</v>
      </c>
      <c r="CJ289" s="20" t="s">
        <v>698</v>
      </c>
      <c r="CK289" s="20" t="s">
        <v>712</v>
      </c>
      <c r="CL289" s="20" t="s">
        <v>713</v>
      </c>
      <c r="CM289" s="20" t="s">
        <v>758</v>
      </c>
      <c r="CP289" s="20" t="s">
        <v>698</v>
      </c>
      <c r="DM289" s="20" t="s">
        <v>743</v>
      </c>
      <c r="DN289" s="20" t="s">
        <v>766</v>
      </c>
      <c r="FJ289" s="20" t="s">
        <v>2577</v>
      </c>
      <c r="FK289" s="20">
        <v>2017</v>
      </c>
      <c r="FM289" s="20" t="s">
        <v>719</v>
      </c>
      <c r="FO289" s="20" t="s">
        <v>720</v>
      </c>
      <c r="FR289" s="20" t="s">
        <v>766</v>
      </c>
      <c r="FS289" s="20" t="s">
        <v>2578</v>
      </c>
      <c r="FY289" s="20" t="s">
        <v>698</v>
      </c>
      <c r="GC289" s="20" t="s">
        <v>696</v>
      </c>
      <c r="GD289" s="20" t="s">
        <v>698</v>
      </c>
      <c r="GE289" s="20" t="s">
        <v>696</v>
      </c>
      <c r="GH289" s="20" t="s">
        <v>696</v>
      </c>
      <c r="GK289" s="20" t="s">
        <v>698</v>
      </c>
      <c r="GT289" s="20" t="s">
        <v>698</v>
      </c>
      <c r="GU289" s="20" t="s">
        <v>696</v>
      </c>
      <c r="GX289" s="20" t="s">
        <v>696</v>
      </c>
      <c r="GY289" s="20" t="s">
        <v>698</v>
      </c>
      <c r="HF289" s="20">
        <v>0</v>
      </c>
      <c r="HG289" s="20">
        <v>25</v>
      </c>
      <c r="HH289" s="20">
        <v>300</v>
      </c>
      <c r="HI289" s="20">
        <v>600</v>
      </c>
      <c r="HJ289" s="20">
        <v>200</v>
      </c>
      <c r="HK289" s="20">
        <v>0</v>
      </c>
      <c r="HM289" s="20">
        <v>1125</v>
      </c>
      <c r="HR289" s="20">
        <v>100</v>
      </c>
      <c r="HS289" s="20">
        <v>285</v>
      </c>
      <c r="HY289" s="20" t="s">
        <v>723</v>
      </c>
      <c r="HZ289" s="20" t="s">
        <v>698</v>
      </c>
      <c r="IS289" s="20" t="s">
        <v>724</v>
      </c>
      <c r="IT289" s="20" t="s">
        <v>696</v>
      </c>
      <c r="IU289" s="20" t="s">
        <v>696</v>
      </c>
      <c r="IV289" s="20" t="s">
        <v>696</v>
      </c>
      <c r="IW289" s="20" t="s">
        <v>698</v>
      </c>
      <c r="IX289" s="20" t="s">
        <v>698</v>
      </c>
      <c r="IY289" s="20" t="s">
        <v>698</v>
      </c>
      <c r="JD289" s="20" t="s">
        <v>725</v>
      </c>
      <c r="JE289" s="20" t="s">
        <v>726</v>
      </c>
      <c r="JR289" s="20" t="s">
        <v>698</v>
      </c>
      <c r="JS289" s="20" t="s">
        <v>698</v>
      </c>
      <c r="JX289" s="20" t="s">
        <v>789</v>
      </c>
      <c r="JY289" s="20" t="s">
        <v>2579</v>
      </c>
      <c r="QB289" s="20" t="s">
        <v>2579</v>
      </c>
      <c r="QY289" s="20" t="s">
        <v>696</v>
      </c>
      <c r="XL289" s="20" t="s">
        <v>730</v>
      </c>
      <c r="XM289" s="20" t="s">
        <v>2269</v>
      </c>
      <c r="XN289" s="20" t="s">
        <v>732</v>
      </c>
      <c r="XO289" s="20" t="s">
        <v>733</v>
      </c>
      <c r="XP289" s="20" t="s">
        <v>2216</v>
      </c>
      <c r="XQ289" s="24">
        <v>43283</v>
      </c>
      <c r="XU289" s="20" t="s">
        <v>730</v>
      </c>
      <c r="XV289" s="20" t="s">
        <v>733</v>
      </c>
      <c r="XW289" s="20" t="s">
        <v>2269</v>
      </c>
      <c r="XX289" s="20" t="s">
        <v>732</v>
      </c>
      <c r="XY289" s="20" t="s">
        <v>2592</v>
      </c>
    </row>
    <row r="290" spans="1:649" ht="13">
      <c r="A290" s="20">
        <v>2324</v>
      </c>
      <c r="B290" s="21">
        <v>43279</v>
      </c>
      <c r="C290" s="20">
        <v>2018</v>
      </c>
      <c r="D290" s="20">
        <v>20180183</v>
      </c>
      <c r="E290" s="20">
        <v>30561</v>
      </c>
      <c r="F290" s="20" t="s">
        <v>885</v>
      </c>
      <c r="G290" s="20">
        <v>39205</v>
      </c>
      <c r="H290" s="20" t="s">
        <v>957</v>
      </c>
      <c r="I290" s="20" t="s">
        <v>692</v>
      </c>
      <c r="J290" s="20" t="s">
        <v>693</v>
      </c>
      <c r="K290" s="20" t="s">
        <v>694</v>
      </c>
      <c r="L290" s="20">
        <v>77002</v>
      </c>
      <c r="M290" s="22">
        <v>43250.375</v>
      </c>
      <c r="P290" s="20">
        <v>48.114400000000003</v>
      </c>
      <c r="Q290" s="20">
        <v>-103.76725</v>
      </c>
      <c r="R290" s="20" t="s">
        <v>697</v>
      </c>
      <c r="W290" s="20">
        <v>0.5</v>
      </c>
      <c r="Y290" s="20">
        <v>0.5</v>
      </c>
      <c r="Z290" s="20" t="s">
        <v>698</v>
      </c>
      <c r="AF290" s="20">
        <v>0</v>
      </c>
      <c r="AG290" s="20" t="s">
        <v>698</v>
      </c>
      <c r="AM290" s="20">
        <v>0</v>
      </c>
      <c r="AN290" s="20" t="s">
        <v>699</v>
      </c>
      <c r="AP290" s="20" t="s">
        <v>700</v>
      </c>
      <c r="AQ290" s="23">
        <v>43250.375</v>
      </c>
      <c r="AR290" s="20" t="s">
        <v>701</v>
      </c>
      <c r="AS290" s="20" t="s">
        <v>702</v>
      </c>
      <c r="AU290" s="20" t="s">
        <v>696</v>
      </c>
      <c r="AW290" s="23">
        <v>43250.375</v>
      </c>
      <c r="AX290" s="23">
        <v>43250.583333333336</v>
      </c>
      <c r="BC290" s="23">
        <v>43250.375</v>
      </c>
      <c r="BF290" s="20" t="s">
        <v>754</v>
      </c>
      <c r="BH290" s="20" t="s">
        <v>698</v>
      </c>
      <c r="BM290" s="20" t="s">
        <v>698</v>
      </c>
      <c r="CA290" s="20">
        <v>0</v>
      </c>
      <c r="CB290" s="20" t="s">
        <v>2593</v>
      </c>
      <c r="CC290" s="20" t="s">
        <v>2594</v>
      </c>
      <c r="CD290" s="20" t="s">
        <v>707</v>
      </c>
      <c r="CE290" s="20">
        <v>58853</v>
      </c>
      <c r="CF290" s="20" t="s">
        <v>2595</v>
      </c>
      <c r="CG290" s="20" t="s">
        <v>960</v>
      </c>
      <c r="CH290" s="20" t="s">
        <v>1931</v>
      </c>
      <c r="CI290" s="20">
        <v>78</v>
      </c>
      <c r="CJ290" s="20" t="s">
        <v>698</v>
      </c>
      <c r="CK290" s="20" t="s">
        <v>712</v>
      </c>
      <c r="CL290" s="20" t="s">
        <v>713</v>
      </c>
      <c r="CM290" s="20" t="s">
        <v>758</v>
      </c>
      <c r="CP290" s="20" t="s">
        <v>698</v>
      </c>
      <c r="DM290" s="20" t="s">
        <v>743</v>
      </c>
      <c r="DN290" s="20" t="s">
        <v>766</v>
      </c>
      <c r="FJ290" s="20" t="s">
        <v>1847</v>
      </c>
      <c r="FK290" s="20">
        <v>2016</v>
      </c>
      <c r="FM290" s="20" t="s">
        <v>719</v>
      </c>
      <c r="FO290" s="20" t="s">
        <v>720</v>
      </c>
      <c r="FR290" s="20" t="s">
        <v>768</v>
      </c>
      <c r="FY290" s="20" t="s">
        <v>698</v>
      </c>
      <c r="GC290" s="20" t="s">
        <v>698</v>
      </c>
      <c r="GD290" s="20" t="s">
        <v>698</v>
      </c>
      <c r="GE290" s="20" t="s">
        <v>698</v>
      </c>
      <c r="GK290" s="20" t="s">
        <v>698</v>
      </c>
      <c r="GT290" s="20" t="s">
        <v>696</v>
      </c>
      <c r="GU290" s="20" t="s">
        <v>698</v>
      </c>
      <c r="HF290" s="20">
        <v>0</v>
      </c>
      <c r="HG290" s="20">
        <v>0</v>
      </c>
      <c r="HH290" s="20">
        <v>40</v>
      </c>
      <c r="HI290" s="20">
        <v>612</v>
      </c>
      <c r="HJ290" s="20">
        <v>0</v>
      </c>
      <c r="HK290" s="20">
        <v>0</v>
      </c>
      <c r="HM290" s="20">
        <v>652</v>
      </c>
      <c r="HR290" s="20">
        <v>90</v>
      </c>
      <c r="HS290" s="20">
        <v>1440</v>
      </c>
      <c r="HY290" s="20" t="s">
        <v>723</v>
      </c>
      <c r="HZ290" s="20" t="s">
        <v>698</v>
      </c>
      <c r="IS290" s="20" t="s">
        <v>724</v>
      </c>
      <c r="IT290" s="20" t="s">
        <v>696</v>
      </c>
      <c r="IU290" s="20" t="s">
        <v>696</v>
      </c>
      <c r="IV290" s="20" t="s">
        <v>696</v>
      </c>
      <c r="IW290" s="20" t="s">
        <v>698</v>
      </c>
      <c r="IX290" s="20" t="s">
        <v>698</v>
      </c>
      <c r="IY290" s="20" t="s">
        <v>696</v>
      </c>
      <c r="IZ290" s="20" t="s">
        <v>696</v>
      </c>
      <c r="JA290" s="20" t="s">
        <v>696</v>
      </c>
      <c r="JB290" s="20" t="s">
        <v>698</v>
      </c>
      <c r="JC290" s="20" t="s">
        <v>698</v>
      </c>
      <c r="JD290" s="20" t="s">
        <v>725</v>
      </c>
      <c r="JE290" s="20" t="s">
        <v>726</v>
      </c>
      <c r="JR290" s="20" t="s">
        <v>698</v>
      </c>
      <c r="JS290" s="20" t="s">
        <v>698</v>
      </c>
      <c r="JX290" s="20" t="s">
        <v>789</v>
      </c>
      <c r="JY290" s="20" t="s">
        <v>953</v>
      </c>
      <c r="QB290" s="20" t="s">
        <v>953</v>
      </c>
      <c r="QQ290" s="20" t="s">
        <v>1847</v>
      </c>
      <c r="RA290" s="20" t="s">
        <v>696</v>
      </c>
      <c r="XL290" s="20" t="s">
        <v>730</v>
      </c>
      <c r="XM290" s="20" t="s">
        <v>2269</v>
      </c>
      <c r="XN290" s="20" t="s">
        <v>732</v>
      </c>
      <c r="XO290" s="20" t="s">
        <v>733</v>
      </c>
      <c r="XQ290" s="24">
        <v>43279</v>
      </c>
      <c r="XU290" s="20" t="s">
        <v>730</v>
      </c>
      <c r="XV290" s="20" t="s">
        <v>733</v>
      </c>
      <c r="XW290" s="20" t="s">
        <v>2269</v>
      </c>
      <c r="XX290" s="20" t="s">
        <v>732</v>
      </c>
      <c r="XY290" s="20" t="s">
        <v>2596</v>
      </c>
    </row>
    <row r="291" spans="1:649" ht="13">
      <c r="A291" s="20">
        <v>2335</v>
      </c>
      <c r="B291" s="21">
        <v>43259</v>
      </c>
      <c r="C291" s="20">
        <v>2018</v>
      </c>
      <c r="D291" s="20">
        <v>20180168</v>
      </c>
      <c r="E291" s="20">
        <v>32181</v>
      </c>
      <c r="F291" s="20" t="s">
        <v>825</v>
      </c>
      <c r="G291" s="20">
        <v>18718</v>
      </c>
      <c r="H291" s="20" t="s">
        <v>918</v>
      </c>
      <c r="I291" s="20" t="s">
        <v>692</v>
      </c>
      <c r="J291" s="20" t="s">
        <v>693</v>
      </c>
      <c r="K291" s="20" t="s">
        <v>694</v>
      </c>
      <c r="L291" s="20">
        <v>77002</v>
      </c>
      <c r="M291" s="22">
        <v>43230.669444444444</v>
      </c>
      <c r="P291" s="20">
        <v>35.642220000000002</v>
      </c>
      <c r="Q291" s="20">
        <v>-97.553200000000004</v>
      </c>
      <c r="R291" s="20" t="s">
        <v>697</v>
      </c>
      <c r="W291" s="20">
        <v>15</v>
      </c>
      <c r="Y291" s="20">
        <v>10</v>
      </c>
      <c r="Z291" s="20" t="s">
        <v>698</v>
      </c>
      <c r="AF291" s="20">
        <v>0</v>
      </c>
      <c r="AG291" s="20" t="s">
        <v>698</v>
      </c>
      <c r="AM291" s="20">
        <v>0</v>
      </c>
      <c r="AN291" s="20" t="s">
        <v>2050</v>
      </c>
      <c r="AQ291" s="23">
        <v>43230.697222222225</v>
      </c>
      <c r="AR291" s="20" t="s">
        <v>776</v>
      </c>
      <c r="AS291" s="20" t="s">
        <v>702</v>
      </c>
      <c r="AU291" s="20" t="s">
        <v>696</v>
      </c>
      <c r="AW291" s="23">
        <v>43230.697222222225</v>
      </c>
      <c r="AX291" s="23">
        <v>43246.431944444441</v>
      </c>
      <c r="BC291" s="23">
        <v>43230.729166666664</v>
      </c>
      <c r="BE291" s="23">
        <v>43230.802777777775</v>
      </c>
      <c r="BF291" s="20">
        <v>1211819</v>
      </c>
      <c r="BH291" s="20" t="s">
        <v>698</v>
      </c>
      <c r="BM291" s="20" t="s">
        <v>698</v>
      </c>
      <c r="BQ291" s="20" t="s">
        <v>779</v>
      </c>
      <c r="BU291" s="20" t="s">
        <v>779</v>
      </c>
      <c r="CA291" s="20">
        <v>0</v>
      </c>
      <c r="CB291" s="20" t="s">
        <v>2597</v>
      </c>
      <c r="CC291" s="20" t="s">
        <v>2598</v>
      </c>
      <c r="CD291" s="20" t="s">
        <v>739</v>
      </c>
      <c r="CE291" s="20">
        <v>73013</v>
      </c>
      <c r="CF291" s="20" t="s">
        <v>2599</v>
      </c>
      <c r="CG291" s="20" t="s">
        <v>1449</v>
      </c>
      <c r="CH291" s="20" t="s">
        <v>1931</v>
      </c>
      <c r="CI291" s="20">
        <v>13.92</v>
      </c>
      <c r="CJ291" s="20" t="s">
        <v>698</v>
      </c>
      <c r="CK291" s="20" t="s">
        <v>785</v>
      </c>
      <c r="CL291" s="20" t="s">
        <v>741</v>
      </c>
      <c r="CM291" s="20" t="s">
        <v>742</v>
      </c>
      <c r="CO291" s="20">
        <v>26</v>
      </c>
      <c r="CP291" s="20" t="s">
        <v>698</v>
      </c>
      <c r="DM291" s="20" t="s">
        <v>715</v>
      </c>
      <c r="DN291" s="20" t="s">
        <v>744</v>
      </c>
      <c r="DO291" s="20" t="s">
        <v>745</v>
      </c>
      <c r="DQ291" s="20">
        <v>8</v>
      </c>
      <c r="DR291" s="20">
        <v>0.27700000000000002</v>
      </c>
      <c r="DS291" s="20">
        <v>25000</v>
      </c>
      <c r="DT291" s="20" t="s">
        <v>1103</v>
      </c>
      <c r="DU291" s="20" t="s">
        <v>1048</v>
      </c>
      <c r="DW291" s="20" t="s">
        <v>728</v>
      </c>
      <c r="DX291" s="20" t="s">
        <v>805</v>
      </c>
      <c r="FK291" s="20">
        <v>1950</v>
      </c>
      <c r="FL291" s="20">
        <v>1950</v>
      </c>
      <c r="FM291" s="20" t="s">
        <v>719</v>
      </c>
      <c r="FO291" s="20" t="s">
        <v>720</v>
      </c>
      <c r="FR291" s="20" t="s">
        <v>766</v>
      </c>
      <c r="FS291" s="20" t="s">
        <v>2106</v>
      </c>
      <c r="FY291" s="20" t="s">
        <v>698</v>
      </c>
      <c r="GC291" s="20" t="s">
        <v>696</v>
      </c>
      <c r="GD291" s="20" t="s">
        <v>698</v>
      </c>
      <c r="GE291" s="20" t="s">
        <v>696</v>
      </c>
      <c r="GH291" s="20" t="s">
        <v>696</v>
      </c>
      <c r="GI291" s="20" t="s">
        <v>696</v>
      </c>
      <c r="GK291" s="20" t="s">
        <v>698</v>
      </c>
      <c r="GT291" s="20" t="s">
        <v>696</v>
      </c>
      <c r="GU291" s="20" t="s">
        <v>696</v>
      </c>
      <c r="GX291" s="20" t="s">
        <v>696</v>
      </c>
      <c r="GY291" s="20" t="s">
        <v>696</v>
      </c>
      <c r="HF291" s="20">
        <v>3193535</v>
      </c>
      <c r="HG291" s="20">
        <v>1200</v>
      </c>
      <c r="HH291" s="20">
        <v>1120926</v>
      </c>
      <c r="HI291" s="20">
        <v>307268</v>
      </c>
      <c r="HJ291" s="20">
        <v>163074</v>
      </c>
      <c r="HK291" s="20">
        <v>0</v>
      </c>
      <c r="HM291" s="20">
        <v>4786003</v>
      </c>
      <c r="HR291" s="20">
        <v>375</v>
      </c>
      <c r="HS291" s="20">
        <v>640</v>
      </c>
      <c r="HY291" s="20" t="s">
        <v>723</v>
      </c>
      <c r="HZ291" s="20" t="s">
        <v>698</v>
      </c>
      <c r="IC291" s="20">
        <v>33257</v>
      </c>
      <c r="ID291" s="20" t="s">
        <v>698</v>
      </c>
      <c r="IJ291" s="20" t="s">
        <v>696</v>
      </c>
      <c r="IK291" s="20" t="s">
        <v>2600</v>
      </c>
      <c r="IL291" s="20" t="s">
        <v>698</v>
      </c>
      <c r="IS291" s="20" t="s">
        <v>724</v>
      </c>
      <c r="IT291" s="20" t="s">
        <v>696</v>
      </c>
      <c r="IU291" s="20" t="s">
        <v>696</v>
      </c>
      <c r="IV291" s="20" t="s">
        <v>696</v>
      </c>
      <c r="IW291" s="20" t="s">
        <v>698</v>
      </c>
      <c r="IX291" s="20" t="s">
        <v>698</v>
      </c>
      <c r="IY291" s="20" t="s">
        <v>696</v>
      </c>
      <c r="IZ291" s="20" t="s">
        <v>696</v>
      </c>
      <c r="JA291" s="20" t="s">
        <v>698</v>
      </c>
      <c r="JB291" s="20" t="s">
        <v>696</v>
      </c>
      <c r="JC291" s="20" t="s">
        <v>696</v>
      </c>
      <c r="JD291" s="20" t="s">
        <v>859</v>
      </c>
      <c r="JF291" s="20" t="s">
        <v>696</v>
      </c>
      <c r="JP291" s="20" t="s">
        <v>696</v>
      </c>
      <c r="JQ291" s="20" t="s">
        <v>2601</v>
      </c>
      <c r="JR291" s="20" t="s">
        <v>696</v>
      </c>
      <c r="JS291" s="20" t="s">
        <v>698</v>
      </c>
      <c r="JT291" s="20">
        <v>1</v>
      </c>
      <c r="JU291" s="20">
        <v>0</v>
      </c>
      <c r="JX291" s="20" t="s">
        <v>833</v>
      </c>
      <c r="JY291" s="20" t="s">
        <v>860</v>
      </c>
      <c r="JZ291" s="20" t="s">
        <v>860</v>
      </c>
      <c r="KA291" s="20" t="s">
        <v>835</v>
      </c>
      <c r="KC291" s="20" t="s">
        <v>696</v>
      </c>
      <c r="KE291" s="20" t="s">
        <v>696</v>
      </c>
      <c r="KL291" s="20" t="s">
        <v>696</v>
      </c>
      <c r="KM291" s="20" t="s">
        <v>696</v>
      </c>
      <c r="KP291" s="20" t="s">
        <v>696</v>
      </c>
      <c r="KQ291" s="20" t="s">
        <v>696</v>
      </c>
      <c r="KR291" s="20" t="s">
        <v>728</v>
      </c>
      <c r="KS291" s="20" t="s">
        <v>696</v>
      </c>
      <c r="KT291" s="20" t="s">
        <v>696</v>
      </c>
      <c r="KU291" s="20" t="s">
        <v>696</v>
      </c>
      <c r="KV291" s="20" t="s">
        <v>696</v>
      </c>
      <c r="KX291" s="20">
        <v>2017</v>
      </c>
      <c r="KY291" s="20">
        <v>2017</v>
      </c>
      <c r="LC291" s="20" t="s">
        <v>696</v>
      </c>
      <c r="SC291" s="20" t="s">
        <v>696</v>
      </c>
      <c r="SD291" s="20" t="s">
        <v>696</v>
      </c>
      <c r="SG291" s="20" t="s">
        <v>696</v>
      </c>
      <c r="SK291" s="20">
        <v>2013</v>
      </c>
      <c r="TQ291" s="20">
        <v>2013</v>
      </c>
      <c r="UO291" s="20" t="s">
        <v>696</v>
      </c>
      <c r="UP291" s="20">
        <v>2014</v>
      </c>
      <c r="UQ291" s="20">
        <v>801</v>
      </c>
      <c r="UR291" s="20" t="s">
        <v>698</v>
      </c>
      <c r="UZ291" s="20" t="s">
        <v>698</v>
      </c>
      <c r="XL291" s="20" t="s">
        <v>730</v>
      </c>
      <c r="XM291" s="20" t="s">
        <v>2269</v>
      </c>
      <c r="XN291" s="20" t="s">
        <v>732</v>
      </c>
      <c r="XO291" s="20" t="s">
        <v>733</v>
      </c>
      <c r="XP291" s="20" t="s">
        <v>2216</v>
      </c>
      <c r="XQ291" s="24">
        <v>43607</v>
      </c>
      <c r="XU291" s="20" t="s">
        <v>730</v>
      </c>
      <c r="XV291" s="20" t="s">
        <v>733</v>
      </c>
      <c r="XW291" s="20" t="s">
        <v>2269</v>
      </c>
      <c r="XX291" s="20" t="s">
        <v>732</v>
      </c>
      <c r="XY291" s="20" t="s">
        <v>2602</v>
      </c>
    </row>
    <row r="292" spans="1:649" ht="13">
      <c r="A292" s="20">
        <v>2339</v>
      </c>
      <c r="B292" s="21">
        <v>43257</v>
      </c>
      <c r="C292" s="20">
        <v>2018</v>
      </c>
      <c r="D292" s="20">
        <v>20180167</v>
      </c>
      <c r="E292" s="20">
        <v>31133</v>
      </c>
      <c r="F292" s="20" t="s">
        <v>825</v>
      </c>
      <c r="G292" s="20">
        <v>18718</v>
      </c>
      <c r="H292" s="20" t="s">
        <v>918</v>
      </c>
      <c r="I292" s="20" t="s">
        <v>692</v>
      </c>
      <c r="J292" s="20" t="s">
        <v>693</v>
      </c>
      <c r="K292" s="20" t="s">
        <v>694</v>
      </c>
      <c r="L292" s="20">
        <v>77002</v>
      </c>
      <c r="M292" s="22">
        <v>43227.476388888892</v>
      </c>
      <c r="P292" s="20">
        <v>30.839559999999999</v>
      </c>
      <c r="Q292" s="20">
        <v>-96.391999999999996</v>
      </c>
      <c r="R292" s="20" t="s">
        <v>697</v>
      </c>
      <c r="W292" s="20">
        <v>14</v>
      </c>
      <c r="Y292" s="20">
        <v>12</v>
      </c>
      <c r="Z292" s="20" t="s">
        <v>698</v>
      </c>
      <c r="AF292" s="20">
        <v>0</v>
      </c>
      <c r="AG292" s="20" t="s">
        <v>698</v>
      </c>
      <c r="AM292" s="20">
        <v>0</v>
      </c>
      <c r="AN292" s="20" t="s">
        <v>775</v>
      </c>
      <c r="AQ292" s="23">
        <v>43227.476388888892</v>
      </c>
      <c r="AR292" s="20" t="s">
        <v>776</v>
      </c>
      <c r="AS292" s="20" t="s">
        <v>702</v>
      </c>
      <c r="AU292" s="20" t="s">
        <v>696</v>
      </c>
      <c r="AW292" s="23">
        <v>43227.533333333333</v>
      </c>
      <c r="AX292" s="23">
        <v>43229.744444444441</v>
      </c>
      <c r="BC292" s="23">
        <v>43227.547222222223</v>
      </c>
      <c r="BE292" s="23">
        <v>43227.763194444444</v>
      </c>
      <c r="BF292" s="20">
        <v>1211501</v>
      </c>
      <c r="BH292" s="20" t="s">
        <v>698</v>
      </c>
      <c r="BM292" s="20" t="s">
        <v>698</v>
      </c>
      <c r="BQ292" s="20" t="s">
        <v>778</v>
      </c>
      <c r="BU292" s="20" t="s">
        <v>778</v>
      </c>
      <c r="CA292" s="20">
        <v>0</v>
      </c>
      <c r="CB292" s="20" t="s">
        <v>2603</v>
      </c>
      <c r="CC292" s="20" t="s">
        <v>2604</v>
      </c>
      <c r="CD292" s="20" t="s">
        <v>694</v>
      </c>
      <c r="CE292" s="20">
        <v>77803</v>
      </c>
      <c r="CF292" s="20" t="s">
        <v>2605</v>
      </c>
      <c r="CG292" s="20" t="s">
        <v>2079</v>
      </c>
      <c r="CH292" s="20" t="s">
        <v>710</v>
      </c>
      <c r="CI292" s="20" t="s">
        <v>2606</v>
      </c>
      <c r="CJ292" s="20" t="s">
        <v>698</v>
      </c>
      <c r="CK292" s="20" t="s">
        <v>785</v>
      </c>
      <c r="CL292" s="20" t="s">
        <v>741</v>
      </c>
      <c r="CM292" s="20" t="s">
        <v>742</v>
      </c>
      <c r="CO292" s="20">
        <v>32</v>
      </c>
      <c r="CP292" s="20" t="s">
        <v>698</v>
      </c>
      <c r="DM292" s="20" t="s">
        <v>743</v>
      </c>
      <c r="DN292" s="20" t="s">
        <v>1141</v>
      </c>
      <c r="EA292" s="20" t="s">
        <v>766</v>
      </c>
      <c r="EB292" s="20" t="s">
        <v>2607</v>
      </c>
      <c r="FK292" s="20" t="s">
        <v>728</v>
      </c>
      <c r="FM292" s="20" t="s">
        <v>719</v>
      </c>
      <c r="FO292" s="20" t="s">
        <v>720</v>
      </c>
      <c r="FR292" s="20" t="s">
        <v>768</v>
      </c>
      <c r="FY292" s="20" t="s">
        <v>698</v>
      </c>
      <c r="GC292" s="20" t="s">
        <v>696</v>
      </c>
      <c r="GD292" s="20" t="s">
        <v>698</v>
      </c>
      <c r="GE292" s="20" t="s">
        <v>696</v>
      </c>
      <c r="GH292" s="20" t="s">
        <v>696</v>
      </c>
      <c r="GK292" s="20" t="s">
        <v>698</v>
      </c>
      <c r="GT292" s="20" t="s">
        <v>698</v>
      </c>
      <c r="GU292" s="20" t="s">
        <v>698</v>
      </c>
      <c r="HF292" s="20">
        <v>5000</v>
      </c>
      <c r="HG292" s="20">
        <v>100</v>
      </c>
      <c r="HH292" s="20">
        <v>109310</v>
      </c>
      <c r="HI292" s="20">
        <v>36292</v>
      </c>
      <c r="HJ292" s="20">
        <v>71910</v>
      </c>
      <c r="HK292" s="20">
        <v>0</v>
      </c>
      <c r="HM292" s="20">
        <v>222612</v>
      </c>
      <c r="HR292" s="20">
        <v>761</v>
      </c>
      <c r="HS292" s="20">
        <v>1061</v>
      </c>
      <c r="HY292" s="20" t="s">
        <v>723</v>
      </c>
      <c r="HZ292" s="20" t="s">
        <v>698</v>
      </c>
      <c r="IC292" s="20">
        <v>221789</v>
      </c>
      <c r="ID292" s="20" t="s">
        <v>696</v>
      </c>
      <c r="IL292" s="20" t="s">
        <v>698</v>
      </c>
      <c r="IS292" s="20" t="s">
        <v>724</v>
      </c>
      <c r="IT292" s="20" t="s">
        <v>696</v>
      </c>
      <c r="IU292" s="20" t="s">
        <v>696</v>
      </c>
      <c r="IV292" s="20" t="s">
        <v>696</v>
      </c>
      <c r="IW292" s="20" t="s">
        <v>698</v>
      </c>
      <c r="IX292" s="20" t="s">
        <v>698</v>
      </c>
      <c r="IY292" s="20" t="s">
        <v>696</v>
      </c>
      <c r="IZ292" s="20" t="s">
        <v>696</v>
      </c>
      <c r="JA292" s="20" t="s">
        <v>696</v>
      </c>
      <c r="JB292" s="20" t="s">
        <v>698</v>
      </c>
      <c r="JC292" s="20" t="s">
        <v>698</v>
      </c>
      <c r="JD292" s="20" t="s">
        <v>859</v>
      </c>
      <c r="JF292" s="20" t="s">
        <v>696</v>
      </c>
      <c r="JI292" s="20" t="s">
        <v>696</v>
      </c>
      <c r="JJ292" s="20" t="s">
        <v>696</v>
      </c>
      <c r="JR292" s="20" t="s">
        <v>696</v>
      </c>
      <c r="JS292" s="20" t="s">
        <v>698</v>
      </c>
      <c r="JT292" s="20">
        <v>1</v>
      </c>
      <c r="JU292" s="20">
        <v>0</v>
      </c>
      <c r="JX292" s="20" t="s">
        <v>929</v>
      </c>
      <c r="JY292" s="20" t="s">
        <v>1500</v>
      </c>
      <c r="PB292" s="20" t="s">
        <v>696</v>
      </c>
      <c r="PC292" s="20" t="s">
        <v>696</v>
      </c>
      <c r="PG292" s="20" t="s">
        <v>1500</v>
      </c>
      <c r="PK292" s="20" t="s">
        <v>696</v>
      </c>
      <c r="PL292" s="20" t="s">
        <v>696</v>
      </c>
      <c r="PM292" s="20" t="s">
        <v>2608</v>
      </c>
      <c r="PP292" s="20" t="s">
        <v>696</v>
      </c>
      <c r="PT292" s="20" t="s">
        <v>696</v>
      </c>
      <c r="SC292" s="20" t="s">
        <v>696</v>
      </c>
      <c r="UJ292" s="20">
        <v>2015</v>
      </c>
      <c r="UO292" s="20" t="s">
        <v>696</v>
      </c>
      <c r="UP292" s="20">
        <v>1989</v>
      </c>
      <c r="UQ292" s="20">
        <v>1346</v>
      </c>
      <c r="UR292" s="20" t="s">
        <v>698</v>
      </c>
      <c r="UZ292" s="20" t="s">
        <v>698</v>
      </c>
      <c r="XL292" s="20" t="s">
        <v>730</v>
      </c>
      <c r="XM292" s="20" t="s">
        <v>2269</v>
      </c>
      <c r="XN292" s="20" t="s">
        <v>732</v>
      </c>
      <c r="XO292" s="20" t="s">
        <v>733</v>
      </c>
      <c r="XP292" s="20" t="s">
        <v>2216</v>
      </c>
      <c r="XQ292" s="24">
        <v>43405</v>
      </c>
      <c r="XU292" s="20" t="s">
        <v>730</v>
      </c>
      <c r="XV292" s="20" t="s">
        <v>733</v>
      </c>
      <c r="XW292" s="20" t="s">
        <v>2269</v>
      </c>
      <c r="XX292" s="20" t="s">
        <v>732</v>
      </c>
      <c r="XY292" s="20" t="s">
        <v>2609</v>
      </c>
    </row>
    <row r="293" spans="1:649" ht="13">
      <c r="A293" s="20">
        <v>2345</v>
      </c>
      <c r="B293" s="21">
        <v>43251</v>
      </c>
      <c r="C293" s="20">
        <v>2018</v>
      </c>
      <c r="D293" s="20">
        <v>20180160</v>
      </c>
      <c r="E293" s="20">
        <v>30426</v>
      </c>
      <c r="F293" s="20" t="s">
        <v>885</v>
      </c>
      <c r="G293" s="20">
        <v>39307</v>
      </c>
      <c r="H293" s="20" t="s">
        <v>2610</v>
      </c>
      <c r="I293" s="20" t="s">
        <v>692</v>
      </c>
      <c r="J293" s="20" t="s">
        <v>693</v>
      </c>
      <c r="K293" s="20" t="s">
        <v>694</v>
      </c>
      <c r="L293" s="20">
        <v>77002</v>
      </c>
      <c r="M293" s="22">
        <v>43223.295138888891</v>
      </c>
      <c r="P293" s="20">
        <v>31.944590000000002</v>
      </c>
      <c r="Q293" s="20">
        <v>-101.91906</v>
      </c>
      <c r="R293" s="20" t="s">
        <v>697</v>
      </c>
      <c r="W293" s="20">
        <v>20</v>
      </c>
      <c r="Y293" s="20">
        <v>18</v>
      </c>
      <c r="Z293" s="20" t="s">
        <v>698</v>
      </c>
      <c r="AF293" s="20">
        <v>0</v>
      </c>
      <c r="AG293" s="20" t="s">
        <v>698</v>
      </c>
      <c r="AM293" s="20">
        <v>0</v>
      </c>
      <c r="AN293" s="20" t="s">
        <v>699</v>
      </c>
      <c r="AP293" s="20" t="s">
        <v>700</v>
      </c>
      <c r="AQ293" s="23">
        <v>43223.295138888891</v>
      </c>
      <c r="AR293" s="20" t="s">
        <v>736</v>
      </c>
      <c r="AS293" s="20" t="s">
        <v>702</v>
      </c>
      <c r="AU293" s="20" t="s">
        <v>698</v>
      </c>
      <c r="AV293" s="20" t="s">
        <v>2611</v>
      </c>
      <c r="BC293" s="23">
        <v>43223.295138888891</v>
      </c>
      <c r="BF293" s="20" t="s">
        <v>754</v>
      </c>
      <c r="BH293" s="20" t="s">
        <v>698</v>
      </c>
      <c r="BM293" s="20" t="s">
        <v>698</v>
      </c>
      <c r="CA293" s="20">
        <v>0</v>
      </c>
      <c r="CB293" s="20" t="s">
        <v>2612</v>
      </c>
      <c r="CC293" s="20">
        <v>23025</v>
      </c>
      <c r="CD293" s="20" t="s">
        <v>694</v>
      </c>
      <c r="CE293" s="20">
        <v>79706</v>
      </c>
      <c r="CF293" s="20" t="s">
        <v>757</v>
      </c>
      <c r="CG293" s="20" t="s">
        <v>757</v>
      </c>
      <c r="CH293" s="20" t="s">
        <v>710</v>
      </c>
      <c r="CI293" s="20" t="s">
        <v>711</v>
      </c>
      <c r="CJ293" s="20" t="s">
        <v>698</v>
      </c>
      <c r="CK293" s="20" t="s">
        <v>712</v>
      </c>
      <c r="CL293" s="20" t="s">
        <v>713</v>
      </c>
      <c r="CM293" s="20" t="s">
        <v>758</v>
      </c>
      <c r="CP293" s="20" t="s">
        <v>698</v>
      </c>
      <c r="DM293" s="20" t="s">
        <v>715</v>
      </c>
      <c r="DN293" s="20" t="s">
        <v>1951</v>
      </c>
      <c r="FK293" s="20">
        <v>2017</v>
      </c>
      <c r="FM293" s="20" t="s">
        <v>719</v>
      </c>
      <c r="FO293" s="20" t="s">
        <v>766</v>
      </c>
      <c r="FX293" s="20" t="s">
        <v>2613</v>
      </c>
      <c r="FY293" s="20" t="s">
        <v>698</v>
      </c>
      <c r="GC293" s="20" t="s">
        <v>696</v>
      </c>
      <c r="GD293" s="20" t="s">
        <v>698</v>
      </c>
      <c r="GE293" s="20" t="s">
        <v>696</v>
      </c>
      <c r="GH293" s="20" t="s">
        <v>696</v>
      </c>
      <c r="GK293" s="20" t="s">
        <v>698</v>
      </c>
      <c r="GT293" s="20" t="s">
        <v>698</v>
      </c>
      <c r="GU293" s="20" t="s">
        <v>698</v>
      </c>
      <c r="HF293" s="20">
        <v>0</v>
      </c>
      <c r="HG293" s="20">
        <v>700</v>
      </c>
      <c r="HH293" s="20">
        <v>600</v>
      </c>
      <c r="HI293" s="20">
        <v>14600</v>
      </c>
      <c r="HJ293" s="20">
        <v>400</v>
      </c>
      <c r="HK293" s="20">
        <v>0</v>
      </c>
      <c r="HM293" s="20">
        <v>16300</v>
      </c>
      <c r="HR293" s="20">
        <v>80</v>
      </c>
      <c r="HS293" s="20">
        <v>285</v>
      </c>
      <c r="HY293" s="20" t="s">
        <v>723</v>
      </c>
      <c r="HZ293" s="20" t="s">
        <v>698</v>
      </c>
      <c r="IS293" s="20" t="s">
        <v>724</v>
      </c>
      <c r="IT293" s="20" t="s">
        <v>696</v>
      </c>
      <c r="IU293" s="20" t="s">
        <v>696</v>
      </c>
      <c r="IV293" s="20" t="s">
        <v>696</v>
      </c>
      <c r="IW293" s="20" t="s">
        <v>698</v>
      </c>
      <c r="IX293" s="20" t="s">
        <v>698</v>
      </c>
      <c r="IY293" s="20" t="s">
        <v>698</v>
      </c>
      <c r="JD293" s="20" t="s">
        <v>725</v>
      </c>
      <c r="JE293" s="20" t="s">
        <v>726</v>
      </c>
      <c r="JR293" s="20" t="s">
        <v>696</v>
      </c>
      <c r="JS293" s="20" t="s">
        <v>698</v>
      </c>
      <c r="JT293" s="20">
        <v>1</v>
      </c>
      <c r="JU293" s="20">
        <v>0</v>
      </c>
      <c r="JX293" s="20" t="s">
        <v>894</v>
      </c>
      <c r="JY293" s="20" t="s">
        <v>1685</v>
      </c>
      <c r="RM293" s="20" t="s">
        <v>1685</v>
      </c>
      <c r="RS293" s="20" t="s">
        <v>696</v>
      </c>
      <c r="RV293" s="20" t="s">
        <v>1590</v>
      </c>
      <c r="RW293" s="20" t="s">
        <v>696</v>
      </c>
      <c r="RX293" s="20" t="s">
        <v>898</v>
      </c>
      <c r="XL293" s="20" t="s">
        <v>730</v>
      </c>
      <c r="XM293" s="20" t="s">
        <v>2269</v>
      </c>
      <c r="XN293" s="20" t="s">
        <v>732</v>
      </c>
      <c r="XO293" s="20" t="s">
        <v>733</v>
      </c>
      <c r="XQ293" s="24">
        <v>43251</v>
      </c>
      <c r="XU293" s="20" t="s">
        <v>730</v>
      </c>
      <c r="XV293" s="20" t="s">
        <v>733</v>
      </c>
      <c r="XW293" s="20" t="s">
        <v>2269</v>
      </c>
      <c r="XX293" s="20" t="s">
        <v>732</v>
      </c>
      <c r="XY293" s="20" t="s">
        <v>2614</v>
      </c>
    </row>
    <row r="294" spans="1:649" ht="13">
      <c r="A294" s="20">
        <v>2351</v>
      </c>
      <c r="B294" s="21">
        <v>43249</v>
      </c>
      <c r="C294" s="20">
        <v>2018</v>
      </c>
      <c r="D294" s="20">
        <v>20180155</v>
      </c>
      <c r="E294" s="20">
        <v>30412</v>
      </c>
      <c r="F294" s="20" t="s">
        <v>885</v>
      </c>
      <c r="G294" s="20">
        <v>32099</v>
      </c>
      <c r="H294" s="20" t="s">
        <v>752</v>
      </c>
      <c r="I294" s="20" t="s">
        <v>692</v>
      </c>
      <c r="J294" s="20" t="s">
        <v>693</v>
      </c>
      <c r="K294" s="20" t="s">
        <v>694</v>
      </c>
      <c r="L294" s="20">
        <v>77002</v>
      </c>
      <c r="M294" s="22">
        <v>43219.838888888888</v>
      </c>
      <c r="P294" s="20">
        <v>31.248069999999998</v>
      </c>
      <c r="Q294" s="20">
        <v>-103.3507</v>
      </c>
      <c r="R294" s="20" t="s">
        <v>697</v>
      </c>
      <c r="W294" s="20">
        <v>0.5</v>
      </c>
      <c r="Y294" s="20">
        <v>0</v>
      </c>
      <c r="Z294" s="20" t="s">
        <v>698</v>
      </c>
      <c r="AF294" s="20">
        <v>0</v>
      </c>
      <c r="AG294" s="20" t="s">
        <v>698</v>
      </c>
      <c r="AM294" s="20">
        <v>0</v>
      </c>
      <c r="AN294" s="20" t="s">
        <v>699</v>
      </c>
      <c r="AP294" s="20" t="s">
        <v>1013</v>
      </c>
      <c r="AQ294" s="23">
        <v>43219.835416666669</v>
      </c>
      <c r="AR294" s="20" t="s">
        <v>701</v>
      </c>
      <c r="AS294" s="20" t="s">
        <v>702</v>
      </c>
      <c r="AU294" s="20" t="s">
        <v>696</v>
      </c>
      <c r="AW294" s="23">
        <v>43219.854166666664</v>
      </c>
      <c r="AX294" s="23">
        <v>43220.005555555559</v>
      </c>
      <c r="BC294" s="23">
        <v>43219.835416666669</v>
      </c>
      <c r="BF294" s="20" t="s">
        <v>754</v>
      </c>
      <c r="BH294" s="20" t="s">
        <v>698</v>
      </c>
      <c r="BM294" s="20" t="s">
        <v>698</v>
      </c>
      <c r="CA294" s="20">
        <v>0</v>
      </c>
      <c r="CB294" s="20" t="s">
        <v>2536</v>
      </c>
      <c r="CC294" s="20" t="s">
        <v>2537</v>
      </c>
      <c r="CD294" s="20" t="s">
        <v>694</v>
      </c>
      <c r="CE294" s="20">
        <v>79772</v>
      </c>
      <c r="CF294" s="20" t="s">
        <v>1359</v>
      </c>
      <c r="CG294" s="20" t="s">
        <v>1752</v>
      </c>
      <c r="CH294" s="20" t="s">
        <v>1931</v>
      </c>
      <c r="CI294" s="20" t="s">
        <v>2538</v>
      </c>
      <c r="CJ294" s="20" t="s">
        <v>698</v>
      </c>
      <c r="CK294" s="20" t="s">
        <v>712</v>
      </c>
      <c r="CL294" s="20" t="s">
        <v>713</v>
      </c>
      <c r="CM294" s="20" t="s">
        <v>758</v>
      </c>
      <c r="CP294" s="20" t="s">
        <v>698</v>
      </c>
      <c r="DM294" s="20" t="s">
        <v>715</v>
      </c>
      <c r="DN294" s="20" t="s">
        <v>1011</v>
      </c>
      <c r="FK294" s="20">
        <v>2015</v>
      </c>
      <c r="FM294" s="20" t="s">
        <v>719</v>
      </c>
      <c r="FO294" s="20" t="s">
        <v>720</v>
      </c>
      <c r="FR294" s="20" t="s">
        <v>823</v>
      </c>
      <c r="FY294" s="20" t="s">
        <v>698</v>
      </c>
      <c r="GC294" s="20" t="s">
        <v>696</v>
      </c>
      <c r="GD294" s="20" t="s">
        <v>698</v>
      </c>
      <c r="GE294" s="20" t="s">
        <v>696</v>
      </c>
      <c r="GH294" s="20" t="s">
        <v>696</v>
      </c>
      <c r="GK294" s="20" t="s">
        <v>698</v>
      </c>
      <c r="GT294" s="20" t="s">
        <v>698</v>
      </c>
      <c r="GU294" s="20" t="s">
        <v>698</v>
      </c>
      <c r="HF294" s="20">
        <v>0</v>
      </c>
      <c r="HG294" s="20">
        <v>30</v>
      </c>
      <c r="HH294" s="20">
        <v>100</v>
      </c>
      <c r="HI294" s="20">
        <v>555</v>
      </c>
      <c r="HJ294" s="20">
        <v>5000</v>
      </c>
      <c r="HK294" s="20">
        <v>0</v>
      </c>
      <c r="HM294" s="20">
        <v>5685</v>
      </c>
      <c r="HR294" s="20">
        <v>75</v>
      </c>
      <c r="HS294" s="20">
        <v>720</v>
      </c>
      <c r="HY294" s="20" t="s">
        <v>723</v>
      </c>
      <c r="HZ294" s="20" t="s">
        <v>698</v>
      </c>
      <c r="IS294" s="20" t="s">
        <v>724</v>
      </c>
      <c r="IT294" s="20" t="s">
        <v>696</v>
      </c>
      <c r="IU294" s="20" t="s">
        <v>696</v>
      </c>
      <c r="IV294" s="20" t="s">
        <v>696</v>
      </c>
      <c r="IW294" s="20" t="s">
        <v>698</v>
      </c>
      <c r="IX294" s="20" t="s">
        <v>698</v>
      </c>
      <c r="IY294" s="20" t="s">
        <v>698</v>
      </c>
      <c r="JD294" s="20" t="s">
        <v>725</v>
      </c>
      <c r="JE294" s="20" t="s">
        <v>2238</v>
      </c>
      <c r="JR294" s="20" t="s">
        <v>698</v>
      </c>
      <c r="JS294" s="20" t="s">
        <v>698</v>
      </c>
      <c r="JX294" s="20" t="s">
        <v>789</v>
      </c>
      <c r="JY294" s="20" t="s">
        <v>953</v>
      </c>
      <c r="QB294" s="20" t="s">
        <v>953</v>
      </c>
      <c r="QQ294" s="20" t="s">
        <v>1847</v>
      </c>
      <c r="QX294" s="20" t="s">
        <v>696</v>
      </c>
      <c r="XL294" s="20" t="s">
        <v>730</v>
      </c>
      <c r="XM294" s="20" t="s">
        <v>2269</v>
      </c>
      <c r="XN294" s="20" t="s">
        <v>732</v>
      </c>
      <c r="XO294" s="20" t="s">
        <v>733</v>
      </c>
      <c r="XQ294" s="24">
        <v>43249</v>
      </c>
      <c r="XU294" s="20" t="s">
        <v>730</v>
      </c>
      <c r="XV294" s="20" t="s">
        <v>733</v>
      </c>
      <c r="XW294" s="20" t="s">
        <v>2269</v>
      </c>
      <c r="XX294" s="20" t="s">
        <v>732</v>
      </c>
      <c r="XY294" s="20" t="s">
        <v>2615</v>
      </c>
    </row>
    <row r="295" spans="1:649" ht="13">
      <c r="A295" s="20">
        <v>2376</v>
      </c>
      <c r="B295" s="21">
        <v>43216</v>
      </c>
      <c r="C295" s="20">
        <v>2018</v>
      </c>
      <c r="D295" s="20">
        <v>20180120</v>
      </c>
      <c r="E295" s="20">
        <v>30242</v>
      </c>
      <c r="F295" s="20" t="s">
        <v>885</v>
      </c>
      <c r="G295" s="20">
        <v>18718</v>
      </c>
      <c r="H295" s="20" t="s">
        <v>918</v>
      </c>
      <c r="I295" s="20" t="s">
        <v>692</v>
      </c>
      <c r="J295" s="20" t="s">
        <v>693</v>
      </c>
      <c r="K295" s="20" t="s">
        <v>694</v>
      </c>
      <c r="L295" s="20">
        <v>77002</v>
      </c>
      <c r="M295" s="22">
        <v>43192.326388888891</v>
      </c>
      <c r="P295" s="20">
        <v>36.010069999999999</v>
      </c>
      <c r="Q295" s="20">
        <v>-96.560580000000002</v>
      </c>
      <c r="R295" s="20" t="s">
        <v>697</v>
      </c>
      <c r="W295" s="20">
        <v>40</v>
      </c>
      <c r="Y295" s="20">
        <v>40</v>
      </c>
      <c r="Z295" s="20" t="s">
        <v>698</v>
      </c>
      <c r="AF295" s="20">
        <v>0</v>
      </c>
      <c r="AG295" s="20" t="s">
        <v>698</v>
      </c>
      <c r="AM295" s="20">
        <v>0</v>
      </c>
      <c r="AN295" s="20" t="s">
        <v>699</v>
      </c>
      <c r="AP295" s="20" t="s">
        <v>700</v>
      </c>
      <c r="AQ295" s="23">
        <v>43192.326388888891</v>
      </c>
      <c r="AR295" s="20" t="s">
        <v>701</v>
      </c>
      <c r="AS295" s="20" t="s">
        <v>702</v>
      </c>
      <c r="AU295" s="20" t="s">
        <v>696</v>
      </c>
      <c r="AW295" s="23">
        <v>43192.326388888891</v>
      </c>
      <c r="AX295" s="23">
        <v>43194.291666666664</v>
      </c>
      <c r="BC295" s="23">
        <v>43192.326388888891</v>
      </c>
      <c r="BE295" s="23">
        <v>43192.395833333336</v>
      </c>
      <c r="BF295" s="20">
        <v>1208254</v>
      </c>
      <c r="BH295" s="20" t="s">
        <v>698</v>
      </c>
      <c r="BM295" s="20" t="s">
        <v>698</v>
      </c>
      <c r="CA295" s="20">
        <v>0</v>
      </c>
      <c r="CB295" s="20" t="s">
        <v>2616</v>
      </c>
      <c r="CC295" s="20" t="s">
        <v>2617</v>
      </c>
      <c r="CD295" s="20" t="s">
        <v>739</v>
      </c>
      <c r="CE295" s="20">
        <v>74030</v>
      </c>
      <c r="CF295" s="20" t="s">
        <v>2618</v>
      </c>
      <c r="CG295" s="20" t="s">
        <v>2619</v>
      </c>
      <c r="CH295" s="20" t="s">
        <v>1931</v>
      </c>
      <c r="CI295" s="20">
        <v>0</v>
      </c>
      <c r="CJ295" s="20" t="s">
        <v>698</v>
      </c>
      <c r="CK295" s="20" t="s">
        <v>891</v>
      </c>
      <c r="CL295" s="20" t="s">
        <v>713</v>
      </c>
      <c r="CM295" s="20" t="s">
        <v>758</v>
      </c>
      <c r="CP295" s="20" t="s">
        <v>698</v>
      </c>
      <c r="DM295" s="20" t="s">
        <v>715</v>
      </c>
      <c r="DN295" s="20" t="s">
        <v>829</v>
      </c>
      <c r="EM295" s="20" t="s">
        <v>830</v>
      </c>
      <c r="FK295" s="20">
        <v>2003</v>
      </c>
      <c r="FM295" s="20" t="s">
        <v>719</v>
      </c>
      <c r="FO295" s="20" t="s">
        <v>720</v>
      </c>
      <c r="FR295" s="20" t="s">
        <v>766</v>
      </c>
      <c r="FS295" s="20" t="s">
        <v>2558</v>
      </c>
      <c r="FY295" s="20" t="s">
        <v>698</v>
      </c>
      <c r="GC295" s="20" t="s">
        <v>696</v>
      </c>
      <c r="GD295" s="20" t="s">
        <v>698</v>
      </c>
      <c r="GE295" s="20" t="s">
        <v>696</v>
      </c>
      <c r="GF295" s="20" t="s">
        <v>696</v>
      </c>
      <c r="GH295" s="20" t="s">
        <v>696</v>
      </c>
      <c r="GK295" s="20" t="s">
        <v>696</v>
      </c>
      <c r="GM295" s="20" t="s">
        <v>696</v>
      </c>
      <c r="GR295" s="20">
        <v>5</v>
      </c>
      <c r="GS295" s="20" t="s">
        <v>1143</v>
      </c>
      <c r="GT295" s="20" t="s">
        <v>698</v>
      </c>
      <c r="GU295" s="20" t="s">
        <v>698</v>
      </c>
      <c r="HF295" s="20">
        <v>0</v>
      </c>
      <c r="HG295" s="20">
        <v>3000</v>
      </c>
      <c r="HH295" s="20">
        <v>5000</v>
      </c>
      <c r="HI295" s="20">
        <v>50000</v>
      </c>
      <c r="HJ295" s="20">
        <v>75000</v>
      </c>
      <c r="HK295" s="20">
        <v>0</v>
      </c>
      <c r="HM295" s="20">
        <v>133000</v>
      </c>
      <c r="HR295" s="20">
        <v>62</v>
      </c>
      <c r="HS295" s="20">
        <v>150</v>
      </c>
      <c r="HY295" s="20" t="s">
        <v>723</v>
      </c>
      <c r="HZ295" s="20" t="s">
        <v>698</v>
      </c>
      <c r="IS295" s="20" t="s">
        <v>724</v>
      </c>
      <c r="IT295" s="20" t="s">
        <v>696</v>
      </c>
      <c r="IU295" s="20" t="s">
        <v>696</v>
      </c>
      <c r="IV295" s="20" t="s">
        <v>696</v>
      </c>
      <c r="IW295" s="20" t="s">
        <v>698</v>
      </c>
      <c r="IX295" s="20" t="s">
        <v>698</v>
      </c>
      <c r="IY295" s="20" t="s">
        <v>696</v>
      </c>
      <c r="IZ295" s="20" t="s">
        <v>696</v>
      </c>
      <c r="JA295" s="20" t="s">
        <v>696</v>
      </c>
      <c r="JB295" s="20" t="s">
        <v>698</v>
      </c>
      <c r="JC295" s="20" t="s">
        <v>698</v>
      </c>
      <c r="JD295" s="20" t="s">
        <v>725</v>
      </c>
      <c r="JE295" s="20" t="s">
        <v>2324</v>
      </c>
      <c r="JR295" s="20" t="s">
        <v>698</v>
      </c>
      <c r="JS295" s="20" t="s">
        <v>698</v>
      </c>
      <c r="JX295" s="20" t="s">
        <v>789</v>
      </c>
      <c r="JY295" s="20" t="s">
        <v>953</v>
      </c>
      <c r="QB295" s="20" t="s">
        <v>953</v>
      </c>
      <c r="QQ295" s="20" t="s">
        <v>766</v>
      </c>
      <c r="QR295" s="20" t="s">
        <v>2620</v>
      </c>
      <c r="RK295" s="20" t="s">
        <v>696</v>
      </c>
      <c r="RL295" s="20" t="s">
        <v>2621</v>
      </c>
      <c r="XL295" s="20" t="s">
        <v>2622</v>
      </c>
      <c r="XM295" s="20" t="s">
        <v>2269</v>
      </c>
      <c r="XN295" s="20" t="s">
        <v>732</v>
      </c>
      <c r="XO295" s="20" t="s">
        <v>2623</v>
      </c>
      <c r="XP295" s="20" t="s">
        <v>2216</v>
      </c>
      <c r="XQ295" s="24">
        <v>43216</v>
      </c>
      <c r="XU295" s="20" t="s">
        <v>2622</v>
      </c>
      <c r="XV295" s="20" t="s">
        <v>2623</v>
      </c>
      <c r="XW295" s="20" t="s">
        <v>2269</v>
      </c>
      <c r="XX295" s="20" t="s">
        <v>732</v>
      </c>
      <c r="XY295" s="20" t="s">
        <v>2624</v>
      </c>
    </row>
    <row r="296" spans="1:649" ht="13">
      <c r="A296" s="20">
        <v>2404</v>
      </c>
      <c r="B296" s="21">
        <v>43186</v>
      </c>
      <c r="C296" s="20">
        <v>2018</v>
      </c>
      <c r="D296" s="20">
        <v>20180094</v>
      </c>
      <c r="E296" s="20">
        <v>30109</v>
      </c>
      <c r="F296" s="20" t="s">
        <v>885</v>
      </c>
      <c r="G296" s="20">
        <v>39205</v>
      </c>
      <c r="H296" s="20" t="s">
        <v>957</v>
      </c>
      <c r="I296" s="20" t="s">
        <v>692</v>
      </c>
      <c r="J296" s="20" t="s">
        <v>693</v>
      </c>
      <c r="K296" s="20" t="s">
        <v>694</v>
      </c>
      <c r="L296" s="20">
        <v>77002</v>
      </c>
      <c r="M296" s="22">
        <v>43159.532638888886</v>
      </c>
      <c r="P296" s="20">
        <v>48.082526999999999</v>
      </c>
      <c r="Q296" s="20">
        <v>-103.835038</v>
      </c>
      <c r="R296" s="20" t="s">
        <v>697</v>
      </c>
      <c r="W296" s="20">
        <v>1.5</v>
      </c>
      <c r="Y296" s="20">
        <v>1.5</v>
      </c>
      <c r="Z296" s="20" t="s">
        <v>698</v>
      </c>
      <c r="AF296" s="20">
        <v>0</v>
      </c>
      <c r="AG296" s="20" t="s">
        <v>698</v>
      </c>
      <c r="AM296" s="20">
        <v>0</v>
      </c>
      <c r="AN296" s="20" t="s">
        <v>775</v>
      </c>
      <c r="AQ296" s="23">
        <v>43159.532638888886</v>
      </c>
      <c r="AR296" s="20" t="s">
        <v>776</v>
      </c>
      <c r="AS296" s="20" t="s">
        <v>702</v>
      </c>
      <c r="AU296" s="20" t="s">
        <v>696</v>
      </c>
      <c r="AW296" s="23">
        <v>43159.534722222219</v>
      </c>
      <c r="AX296" s="23">
        <v>43159.694444444445</v>
      </c>
      <c r="BC296" s="23">
        <v>43159.572916666664</v>
      </c>
      <c r="BF296" s="20" t="s">
        <v>754</v>
      </c>
      <c r="BH296" s="20" t="s">
        <v>698</v>
      </c>
      <c r="BM296" s="20" t="s">
        <v>698</v>
      </c>
      <c r="BQ296" s="20" t="s">
        <v>798</v>
      </c>
      <c r="BU296" s="20" t="s">
        <v>798</v>
      </c>
      <c r="CA296" s="20">
        <v>0</v>
      </c>
      <c r="CB296" s="20" t="s">
        <v>2625</v>
      </c>
      <c r="CC296" s="20" t="s">
        <v>2626</v>
      </c>
      <c r="CD296" s="20" t="s">
        <v>707</v>
      </c>
      <c r="CE296" s="20">
        <v>58853</v>
      </c>
      <c r="CF296" s="20" t="s">
        <v>2595</v>
      </c>
      <c r="CG296" s="20" t="s">
        <v>960</v>
      </c>
      <c r="CH296" s="20" t="s">
        <v>1931</v>
      </c>
      <c r="CI296" s="20" t="s">
        <v>2627</v>
      </c>
      <c r="CJ296" s="20" t="s">
        <v>698</v>
      </c>
      <c r="CK296" s="20" t="s">
        <v>891</v>
      </c>
      <c r="CL296" s="20" t="s">
        <v>713</v>
      </c>
      <c r="CM296" s="20" t="s">
        <v>758</v>
      </c>
      <c r="CP296" s="20" t="s">
        <v>698</v>
      </c>
      <c r="DM296" s="20" t="s">
        <v>743</v>
      </c>
      <c r="DN296" s="20" t="s">
        <v>829</v>
      </c>
      <c r="EM296" s="20" t="s">
        <v>830</v>
      </c>
      <c r="FK296" s="20">
        <v>2017</v>
      </c>
      <c r="FM296" s="20" t="s">
        <v>719</v>
      </c>
      <c r="FO296" s="20" t="s">
        <v>720</v>
      </c>
      <c r="FR296" s="20" t="s">
        <v>721</v>
      </c>
      <c r="FY296" s="20" t="s">
        <v>698</v>
      </c>
      <c r="GC296" s="20" t="s">
        <v>696</v>
      </c>
      <c r="GD296" s="20" t="s">
        <v>698</v>
      </c>
      <c r="GE296" s="20" t="s">
        <v>696</v>
      </c>
      <c r="GH296" s="20" t="s">
        <v>696</v>
      </c>
      <c r="GK296" s="20" t="s">
        <v>698</v>
      </c>
      <c r="GT296" s="20" t="s">
        <v>698</v>
      </c>
      <c r="GU296" s="20" t="s">
        <v>698</v>
      </c>
      <c r="HF296" s="20">
        <v>18828</v>
      </c>
      <c r="HG296" s="20">
        <v>87</v>
      </c>
      <c r="HH296" s="20">
        <v>85</v>
      </c>
      <c r="HI296" s="20">
        <v>240</v>
      </c>
      <c r="HJ296" s="20">
        <v>29244</v>
      </c>
      <c r="HK296" s="20">
        <v>0</v>
      </c>
      <c r="HM296" s="20">
        <v>48484</v>
      </c>
      <c r="HR296" s="20">
        <v>280</v>
      </c>
      <c r="HS296" s="20">
        <v>1440</v>
      </c>
      <c r="HY296" s="20" t="s">
        <v>723</v>
      </c>
      <c r="HZ296" s="20" t="s">
        <v>698</v>
      </c>
      <c r="IC296" s="20">
        <v>1</v>
      </c>
      <c r="ID296" s="20" t="s">
        <v>696</v>
      </c>
      <c r="IL296" s="20" t="s">
        <v>698</v>
      </c>
      <c r="IS296" s="20" t="s">
        <v>724</v>
      </c>
      <c r="IT296" s="20" t="s">
        <v>696</v>
      </c>
      <c r="IU296" s="20" t="s">
        <v>696</v>
      </c>
      <c r="IV296" s="20" t="s">
        <v>696</v>
      </c>
      <c r="IW296" s="20" t="s">
        <v>698</v>
      </c>
      <c r="IX296" s="20" t="s">
        <v>698</v>
      </c>
      <c r="IY296" s="20" t="s">
        <v>696</v>
      </c>
      <c r="IZ296" s="20" t="s">
        <v>696</v>
      </c>
      <c r="JA296" s="20" t="s">
        <v>696</v>
      </c>
      <c r="JB296" s="20" t="s">
        <v>698</v>
      </c>
      <c r="JC296" s="20" t="s">
        <v>698</v>
      </c>
      <c r="JD296" s="20" t="s">
        <v>725</v>
      </c>
      <c r="JE296" s="20" t="s">
        <v>726</v>
      </c>
      <c r="JR296" s="20" t="s">
        <v>698</v>
      </c>
      <c r="JS296" s="20" t="s">
        <v>698</v>
      </c>
      <c r="JX296" s="20" t="s">
        <v>789</v>
      </c>
      <c r="JY296" s="20" t="s">
        <v>914</v>
      </c>
      <c r="QB296" s="20" t="s">
        <v>914</v>
      </c>
      <c r="QS296" s="20" t="s">
        <v>915</v>
      </c>
      <c r="RK296" s="20" t="s">
        <v>696</v>
      </c>
      <c r="RL296" s="20" t="s">
        <v>2628</v>
      </c>
      <c r="XL296" s="20" t="s">
        <v>730</v>
      </c>
      <c r="XM296" s="20" t="s">
        <v>2269</v>
      </c>
      <c r="XN296" s="20" t="s">
        <v>732</v>
      </c>
      <c r="XO296" s="20" t="s">
        <v>2623</v>
      </c>
      <c r="XP296" s="20" t="s">
        <v>2216</v>
      </c>
      <c r="XQ296" s="24">
        <v>43186</v>
      </c>
      <c r="XU296" s="20" t="s">
        <v>730</v>
      </c>
      <c r="XV296" s="20" t="s">
        <v>2623</v>
      </c>
      <c r="XW296" s="20" t="s">
        <v>2269</v>
      </c>
      <c r="XX296" s="20" t="s">
        <v>732</v>
      </c>
      <c r="XY296" s="20" t="s">
        <v>2629</v>
      </c>
    </row>
    <row r="297" spans="1:649" ht="13">
      <c r="A297" s="20">
        <v>2424</v>
      </c>
      <c r="B297" s="21">
        <v>43172</v>
      </c>
      <c r="C297" s="20">
        <v>2018</v>
      </c>
      <c r="D297" s="20">
        <v>20180076</v>
      </c>
      <c r="E297" s="20">
        <v>30074</v>
      </c>
      <c r="F297" s="20" t="s">
        <v>825</v>
      </c>
      <c r="G297" s="20">
        <v>32099</v>
      </c>
      <c r="H297" s="20" t="s">
        <v>752</v>
      </c>
      <c r="I297" s="20" t="s">
        <v>692</v>
      </c>
      <c r="J297" s="20" t="s">
        <v>693</v>
      </c>
      <c r="K297" s="20" t="s">
        <v>694</v>
      </c>
      <c r="L297" s="20">
        <v>77002</v>
      </c>
      <c r="M297" s="22">
        <v>43145.506944444445</v>
      </c>
      <c r="P297" s="20">
        <v>32.091560000000001</v>
      </c>
      <c r="Q297" s="20">
        <v>-101.88329</v>
      </c>
      <c r="R297" s="20" t="s">
        <v>773</v>
      </c>
      <c r="S297" s="20" t="s">
        <v>1098</v>
      </c>
      <c r="W297" s="20">
        <v>375</v>
      </c>
      <c r="X297" s="20">
        <v>0</v>
      </c>
      <c r="Y297" s="20">
        <v>0</v>
      </c>
      <c r="Z297" s="20" t="s">
        <v>698</v>
      </c>
      <c r="AF297" s="20">
        <v>0</v>
      </c>
      <c r="AG297" s="20" t="s">
        <v>698</v>
      </c>
      <c r="AM297" s="20">
        <v>0</v>
      </c>
      <c r="AN297" s="20" t="s">
        <v>699</v>
      </c>
      <c r="AP297" s="20" t="s">
        <v>700</v>
      </c>
      <c r="AQ297" s="23">
        <v>43145.506944444445</v>
      </c>
      <c r="AR297" s="20" t="s">
        <v>701</v>
      </c>
      <c r="AS297" s="20" t="s">
        <v>702</v>
      </c>
      <c r="AU297" s="20" t="s">
        <v>698</v>
      </c>
      <c r="AV297" s="20" t="s">
        <v>2630</v>
      </c>
      <c r="BC297" s="23">
        <v>43145.550694444442</v>
      </c>
      <c r="BF297" s="20" t="s">
        <v>754</v>
      </c>
      <c r="BH297" s="20" t="s">
        <v>698</v>
      </c>
      <c r="BM297" s="20" t="s">
        <v>698</v>
      </c>
      <c r="CA297" s="20">
        <v>0</v>
      </c>
      <c r="CB297" s="20" t="s">
        <v>2631</v>
      </c>
      <c r="CC297" s="20" t="s">
        <v>2632</v>
      </c>
      <c r="CD297" s="20" t="s">
        <v>694</v>
      </c>
      <c r="CE297" s="20">
        <v>79782</v>
      </c>
      <c r="CF297" s="20" t="s">
        <v>2633</v>
      </c>
      <c r="CG297" s="20" t="s">
        <v>765</v>
      </c>
      <c r="CH297" s="20" t="s">
        <v>1931</v>
      </c>
      <c r="CI297" s="20" t="s">
        <v>2634</v>
      </c>
      <c r="CJ297" s="20" t="s">
        <v>698</v>
      </c>
      <c r="CK297" s="20" t="s">
        <v>712</v>
      </c>
      <c r="CL297" s="20" t="s">
        <v>713</v>
      </c>
      <c r="CM297" s="20" t="s">
        <v>758</v>
      </c>
      <c r="CP297" s="20" t="s">
        <v>698</v>
      </c>
      <c r="DM297" s="20" t="s">
        <v>743</v>
      </c>
      <c r="DN297" s="20" t="s">
        <v>829</v>
      </c>
      <c r="EM297" s="20" t="s">
        <v>1683</v>
      </c>
      <c r="FK297" s="20">
        <v>2016</v>
      </c>
      <c r="FM297" s="20" t="s">
        <v>719</v>
      </c>
      <c r="FO297" s="20" t="s">
        <v>766</v>
      </c>
      <c r="FX297" s="20" t="s">
        <v>2635</v>
      </c>
      <c r="FY297" s="20" t="s">
        <v>698</v>
      </c>
      <c r="GC297" s="20" t="s">
        <v>698</v>
      </c>
      <c r="GD297" s="20" t="s">
        <v>698</v>
      </c>
      <c r="GE297" s="20" t="s">
        <v>698</v>
      </c>
      <c r="GK297" s="20" t="s">
        <v>698</v>
      </c>
      <c r="GT297" s="20" t="s">
        <v>698</v>
      </c>
      <c r="GU297" s="20" t="s">
        <v>698</v>
      </c>
      <c r="HF297" s="20">
        <v>0</v>
      </c>
      <c r="HG297" s="20">
        <v>10500</v>
      </c>
      <c r="HH297" s="20">
        <v>260</v>
      </c>
      <c r="HI297" s="20">
        <v>0</v>
      </c>
      <c r="HJ297" s="20">
        <v>0</v>
      </c>
      <c r="HK297" s="20">
        <v>0</v>
      </c>
      <c r="HM297" s="20">
        <v>10760</v>
      </c>
      <c r="HR297" s="20">
        <v>1334</v>
      </c>
      <c r="HS297" s="20">
        <v>1440</v>
      </c>
      <c r="HY297" s="20" t="s">
        <v>723</v>
      </c>
      <c r="HZ297" s="20" t="s">
        <v>698</v>
      </c>
      <c r="IS297" s="20" t="s">
        <v>724</v>
      </c>
      <c r="IT297" s="20" t="s">
        <v>696</v>
      </c>
      <c r="IU297" s="20" t="s">
        <v>696</v>
      </c>
      <c r="IV297" s="20" t="s">
        <v>696</v>
      </c>
      <c r="IW297" s="20" t="s">
        <v>698</v>
      </c>
      <c r="IX297" s="20" t="s">
        <v>698</v>
      </c>
      <c r="IY297" s="20" t="s">
        <v>696</v>
      </c>
      <c r="IZ297" s="20" t="s">
        <v>696</v>
      </c>
      <c r="JA297" s="20" t="s">
        <v>696</v>
      </c>
      <c r="JB297" s="20" t="s">
        <v>698</v>
      </c>
      <c r="JC297" s="20" t="s">
        <v>698</v>
      </c>
      <c r="JD297" s="20" t="s">
        <v>725</v>
      </c>
      <c r="JE297" s="20" t="s">
        <v>2636</v>
      </c>
      <c r="JR297" s="20" t="s">
        <v>698</v>
      </c>
      <c r="JS297" s="20" t="s">
        <v>698</v>
      </c>
      <c r="JX297" s="20" t="s">
        <v>789</v>
      </c>
      <c r="JY297" s="20" t="s">
        <v>790</v>
      </c>
      <c r="QB297" s="20" t="s">
        <v>790</v>
      </c>
      <c r="QI297" s="20" t="s">
        <v>696</v>
      </c>
      <c r="QM297" s="20" t="s">
        <v>696</v>
      </c>
      <c r="QN297" s="20" t="s">
        <v>2637</v>
      </c>
      <c r="QY297" s="20" t="s">
        <v>696</v>
      </c>
      <c r="XL297" s="20" t="s">
        <v>2330</v>
      </c>
      <c r="XM297" s="20" t="s">
        <v>1360</v>
      </c>
      <c r="XN297" s="20" t="s">
        <v>2332</v>
      </c>
      <c r="XO297" s="20" t="s">
        <v>2638</v>
      </c>
      <c r="XQ297" s="24">
        <v>43180</v>
      </c>
      <c r="XU297" s="20" t="s">
        <v>2330</v>
      </c>
      <c r="XV297" s="20" t="s">
        <v>2638</v>
      </c>
      <c r="XW297" s="20" t="s">
        <v>1360</v>
      </c>
      <c r="XX297" s="20" t="s">
        <v>2332</v>
      </c>
      <c r="XY297" s="20" t="s">
        <v>2639</v>
      </c>
    </row>
    <row r="298" spans="1:649" ht="13">
      <c r="A298" s="20">
        <v>2450</v>
      </c>
      <c r="B298" s="21">
        <v>43146</v>
      </c>
      <c r="C298" s="20">
        <v>2018</v>
      </c>
      <c r="D298" s="20">
        <v>20180048</v>
      </c>
      <c r="E298" s="20">
        <v>23144</v>
      </c>
      <c r="F298" s="20" t="s">
        <v>885</v>
      </c>
      <c r="G298" s="20">
        <v>39205</v>
      </c>
      <c r="H298" s="20" t="s">
        <v>957</v>
      </c>
      <c r="I298" s="20" t="s">
        <v>692</v>
      </c>
      <c r="J298" s="20" t="s">
        <v>693</v>
      </c>
      <c r="K298" s="20" t="s">
        <v>694</v>
      </c>
      <c r="L298" s="20">
        <v>77002</v>
      </c>
      <c r="M298" s="22">
        <v>43119.5625</v>
      </c>
      <c r="P298" s="20">
        <v>37.213921999999997</v>
      </c>
      <c r="Q298" s="20">
        <v>-88.867619000000005</v>
      </c>
      <c r="R298" s="20" t="s">
        <v>697</v>
      </c>
      <c r="W298" s="20">
        <v>13.35</v>
      </c>
      <c r="Y298" s="20">
        <v>13.35</v>
      </c>
      <c r="Z298" s="20" t="s">
        <v>698</v>
      </c>
      <c r="AF298" s="20">
        <v>0</v>
      </c>
      <c r="AG298" s="20" t="s">
        <v>698</v>
      </c>
      <c r="AM298" s="20">
        <v>0</v>
      </c>
      <c r="AN298" s="20" t="s">
        <v>699</v>
      </c>
      <c r="AP298" s="20" t="s">
        <v>700</v>
      </c>
      <c r="AQ298" s="23">
        <v>43119.5625</v>
      </c>
      <c r="AR298" s="20" t="s">
        <v>776</v>
      </c>
      <c r="AS298" s="20" t="s">
        <v>702</v>
      </c>
      <c r="AU298" s="20" t="s">
        <v>696</v>
      </c>
      <c r="AW298" s="23">
        <v>43119.585416666669</v>
      </c>
      <c r="AX298" s="23">
        <v>43119.643055555556</v>
      </c>
      <c r="BC298" s="23">
        <v>43119.5625</v>
      </c>
      <c r="BE298" s="23">
        <v>43119.627083333333</v>
      </c>
      <c r="BF298" s="20">
        <v>1202347</v>
      </c>
      <c r="BH298" s="20" t="s">
        <v>698</v>
      </c>
      <c r="BM298" s="20" t="s">
        <v>698</v>
      </c>
      <c r="BQ298" s="20" t="s">
        <v>798</v>
      </c>
      <c r="BU298" s="20" t="s">
        <v>798</v>
      </c>
      <c r="CA298" s="20">
        <v>0</v>
      </c>
      <c r="CB298" s="20" t="s">
        <v>2640</v>
      </c>
      <c r="CC298" s="20" t="s">
        <v>2641</v>
      </c>
      <c r="CD298" s="20" t="s">
        <v>1366</v>
      </c>
      <c r="CE298" s="20">
        <v>62953</v>
      </c>
      <c r="CF298" s="20" t="s">
        <v>2642</v>
      </c>
      <c r="CG298" s="20" t="s">
        <v>2643</v>
      </c>
      <c r="CH298" s="20" t="s">
        <v>710</v>
      </c>
      <c r="CI298" s="20" t="s">
        <v>2644</v>
      </c>
      <c r="CJ298" s="20" t="s">
        <v>698</v>
      </c>
      <c r="CK298" s="20" t="s">
        <v>712</v>
      </c>
      <c r="CL298" s="20" t="s">
        <v>713</v>
      </c>
      <c r="CM298" s="20" t="s">
        <v>758</v>
      </c>
      <c r="CP298" s="20" t="s">
        <v>698</v>
      </c>
      <c r="DM298" s="20" t="s">
        <v>743</v>
      </c>
      <c r="DN298" s="20" t="s">
        <v>829</v>
      </c>
      <c r="EM298" s="20" t="s">
        <v>830</v>
      </c>
      <c r="FK298" s="20">
        <v>2017</v>
      </c>
      <c r="FM298" s="20" t="s">
        <v>719</v>
      </c>
      <c r="FO298" s="20" t="s">
        <v>720</v>
      </c>
      <c r="FR298" s="20" t="s">
        <v>721</v>
      </c>
      <c r="FY298" s="20" t="s">
        <v>698</v>
      </c>
      <c r="GC298" s="20" t="s">
        <v>696</v>
      </c>
      <c r="GD298" s="20" t="s">
        <v>698</v>
      </c>
      <c r="GE298" s="20" t="s">
        <v>696</v>
      </c>
      <c r="GH298" s="20" t="s">
        <v>696</v>
      </c>
      <c r="GK298" s="20" t="s">
        <v>698</v>
      </c>
      <c r="GT298" s="20" t="s">
        <v>696</v>
      </c>
      <c r="GU298" s="20" t="s">
        <v>696</v>
      </c>
      <c r="HD298" s="20" t="s">
        <v>696</v>
      </c>
      <c r="HE298" s="20" t="s">
        <v>696</v>
      </c>
      <c r="HF298" s="20">
        <v>0</v>
      </c>
      <c r="HG298" s="20">
        <v>145</v>
      </c>
      <c r="HH298" s="20">
        <v>868</v>
      </c>
      <c r="HI298" s="20">
        <v>240</v>
      </c>
      <c r="HJ298" s="20">
        <v>15865</v>
      </c>
      <c r="HK298" s="20">
        <v>0</v>
      </c>
      <c r="HM298" s="20">
        <v>17118</v>
      </c>
      <c r="HR298" s="20">
        <v>507</v>
      </c>
      <c r="HS298" s="20">
        <v>900</v>
      </c>
      <c r="HY298" s="20" t="s">
        <v>723</v>
      </c>
      <c r="HZ298" s="20" t="s">
        <v>698</v>
      </c>
      <c r="IC298" s="20">
        <v>1</v>
      </c>
      <c r="ID298" s="20" t="s">
        <v>696</v>
      </c>
      <c r="IL298" s="20" t="s">
        <v>698</v>
      </c>
      <c r="IS298" s="20" t="s">
        <v>724</v>
      </c>
      <c r="IT298" s="20" t="s">
        <v>696</v>
      </c>
      <c r="IU298" s="20" t="s">
        <v>696</v>
      </c>
      <c r="IV298" s="20" t="s">
        <v>696</v>
      </c>
      <c r="IW298" s="20" t="s">
        <v>698</v>
      </c>
      <c r="IX298" s="20" t="s">
        <v>698</v>
      </c>
      <c r="IY298" s="20" t="s">
        <v>696</v>
      </c>
      <c r="IZ298" s="20" t="s">
        <v>696</v>
      </c>
      <c r="JA298" s="20" t="s">
        <v>696</v>
      </c>
      <c r="JB298" s="20" t="s">
        <v>698</v>
      </c>
      <c r="JC298" s="20" t="s">
        <v>698</v>
      </c>
      <c r="JD298" s="20" t="s">
        <v>725</v>
      </c>
      <c r="JE298" s="20" t="s">
        <v>726</v>
      </c>
      <c r="JR298" s="20" t="s">
        <v>698</v>
      </c>
      <c r="JS298" s="20" t="s">
        <v>698</v>
      </c>
      <c r="JX298" s="20" t="s">
        <v>789</v>
      </c>
      <c r="JY298" s="20" t="s">
        <v>914</v>
      </c>
      <c r="QB298" s="20" t="s">
        <v>914</v>
      </c>
      <c r="QS298" s="20" t="s">
        <v>915</v>
      </c>
      <c r="RK298" s="20" t="s">
        <v>696</v>
      </c>
      <c r="RL298" s="20" t="s">
        <v>2645</v>
      </c>
      <c r="XL298" s="20" t="s">
        <v>730</v>
      </c>
      <c r="XM298" s="20" t="s">
        <v>2269</v>
      </c>
      <c r="XN298" s="20" t="s">
        <v>732</v>
      </c>
      <c r="XO298" s="20" t="s">
        <v>2623</v>
      </c>
      <c r="XP298" s="20" t="s">
        <v>2216</v>
      </c>
      <c r="XQ298" s="24">
        <v>43146</v>
      </c>
      <c r="XU298" s="20" t="s">
        <v>730</v>
      </c>
      <c r="XV298" s="20" t="s">
        <v>2623</v>
      </c>
      <c r="XW298" s="20" t="s">
        <v>2269</v>
      </c>
      <c r="XX298" s="20" t="s">
        <v>732</v>
      </c>
      <c r="XY298" s="20" t="s">
        <v>2646</v>
      </c>
    </row>
    <row r="299" spans="1:649" ht="13">
      <c r="A299" s="20">
        <v>2461</v>
      </c>
      <c r="B299" s="21">
        <v>43145</v>
      </c>
      <c r="C299" s="20">
        <v>2018</v>
      </c>
      <c r="D299" s="20">
        <v>20180043</v>
      </c>
      <c r="E299" s="20">
        <v>23136</v>
      </c>
      <c r="F299" s="20" t="s">
        <v>885</v>
      </c>
      <c r="G299" s="20">
        <v>18718</v>
      </c>
      <c r="H299" s="20" t="s">
        <v>918</v>
      </c>
      <c r="I299" s="20" t="s">
        <v>692</v>
      </c>
      <c r="J299" s="20" t="s">
        <v>693</v>
      </c>
      <c r="K299" s="20" t="s">
        <v>694</v>
      </c>
      <c r="L299" s="20">
        <v>77002</v>
      </c>
      <c r="M299" s="22">
        <v>43115.384722222225</v>
      </c>
      <c r="P299" s="20">
        <v>40.314819999999997</v>
      </c>
      <c r="Q299" s="20">
        <v>-76.033900000000003</v>
      </c>
      <c r="R299" s="20" t="s">
        <v>844</v>
      </c>
      <c r="S299" s="20" t="s">
        <v>845</v>
      </c>
      <c r="W299" s="20">
        <v>2</v>
      </c>
      <c r="Y299" s="20">
        <v>2</v>
      </c>
      <c r="Z299" s="20" t="s">
        <v>698</v>
      </c>
      <c r="AF299" s="20">
        <v>0</v>
      </c>
      <c r="AG299" s="20" t="s">
        <v>698</v>
      </c>
      <c r="AM299" s="20">
        <v>0</v>
      </c>
      <c r="AN299" s="20" t="s">
        <v>699</v>
      </c>
      <c r="AP299" s="20" t="s">
        <v>700</v>
      </c>
      <c r="AQ299" s="23">
        <v>43115.315972222219</v>
      </c>
      <c r="AR299" s="20" t="s">
        <v>701</v>
      </c>
      <c r="AS299" s="20" t="s">
        <v>702</v>
      </c>
      <c r="AU299" s="20" t="s">
        <v>698</v>
      </c>
      <c r="AV299" s="20" t="s">
        <v>2647</v>
      </c>
      <c r="BC299" s="23">
        <v>43115.315972222219</v>
      </c>
      <c r="BF299" s="20" t="s">
        <v>754</v>
      </c>
      <c r="BH299" s="20" t="s">
        <v>698</v>
      </c>
      <c r="BM299" s="20" t="s">
        <v>698</v>
      </c>
      <c r="CA299" s="20">
        <v>0</v>
      </c>
      <c r="CB299" s="20" t="s">
        <v>1027</v>
      </c>
      <c r="CC299" s="20" t="s">
        <v>2648</v>
      </c>
      <c r="CD299" s="20" t="s">
        <v>921</v>
      </c>
      <c r="CE299" s="20">
        <v>19608</v>
      </c>
      <c r="CF299" s="20" t="s">
        <v>1325</v>
      </c>
      <c r="CG299" s="20" t="s">
        <v>1030</v>
      </c>
      <c r="CH299" s="20" t="s">
        <v>1931</v>
      </c>
      <c r="CI299" s="20" t="s">
        <v>711</v>
      </c>
      <c r="CJ299" s="20" t="s">
        <v>698</v>
      </c>
      <c r="CK299" s="20" t="s">
        <v>712</v>
      </c>
      <c r="CL299" s="20" t="s">
        <v>741</v>
      </c>
      <c r="CM299" s="20" t="s">
        <v>742</v>
      </c>
      <c r="CO299" s="20">
        <v>24</v>
      </c>
      <c r="CP299" s="20" t="s">
        <v>698</v>
      </c>
      <c r="DM299" s="20" t="s">
        <v>743</v>
      </c>
      <c r="DN299" s="20" t="s">
        <v>1951</v>
      </c>
      <c r="FK299" s="20">
        <v>1965</v>
      </c>
      <c r="FM299" s="20" t="s">
        <v>962</v>
      </c>
      <c r="FN299" s="20" t="s">
        <v>2649</v>
      </c>
      <c r="FO299" s="20" t="s">
        <v>720</v>
      </c>
      <c r="FR299" s="20" t="s">
        <v>823</v>
      </c>
      <c r="FY299" s="20" t="s">
        <v>698</v>
      </c>
      <c r="GC299" s="20" t="s">
        <v>696</v>
      </c>
      <c r="GD299" s="20" t="s">
        <v>698</v>
      </c>
      <c r="GE299" s="20" t="s">
        <v>698</v>
      </c>
      <c r="GK299" s="20" t="s">
        <v>698</v>
      </c>
      <c r="GT299" s="20" t="s">
        <v>696</v>
      </c>
      <c r="GU299" s="20" t="s">
        <v>696</v>
      </c>
      <c r="GX299" s="20" t="s">
        <v>696</v>
      </c>
      <c r="GY299" s="20" t="s">
        <v>696</v>
      </c>
      <c r="HF299" s="20">
        <v>0</v>
      </c>
      <c r="HG299" s="20">
        <v>250</v>
      </c>
      <c r="HH299" s="20">
        <v>1300</v>
      </c>
      <c r="HI299" s="20">
        <v>400</v>
      </c>
      <c r="HJ299" s="20">
        <v>400</v>
      </c>
      <c r="HK299" s="20">
        <v>0</v>
      </c>
      <c r="HM299" s="20">
        <v>2350</v>
      </c>
      <c r="HR299" s="20">
        <v>40</v>
      </c>
      <c r="HS299" s="20">
        <v>1040</v>
      </c>
      <c r="HY299" s="20" t="s">
        <v>723</v>
      </c>
      <c r="HZ299" s="20" t="s">
        <v>698</v>
      </c>
      <c r="IS299" s="20" t="s">
        <v>724</v>
      </c>
      <c r="IT299" s="20" t="s">
        <v>696</v>
      </c>
      <c r="IU299" s="20" t="s">
        <v>696</v>
      </c>
      <c r="IV299" s="20" t="s">
        <v>696</v>
      </c>
      <c r="IW299" s="20" t="s">
        <v>698</v>
      </c>
      <c r="IX299" s="20" t="s">
        <v>698</v>
      </c>
      <c r="IY299" s="20" t="s">
        <v>696</v>
      </c>
      <c r="IZ299" s="20" t="s">
        <v>696</v>
      </c>
      <c r="JA299" s="20" t="s">
        <v>696</v>
      </c>
      <c r="JB299" s="20" t="s">
        <v>698</v>
      </c>
      <c r="JC299" s="20" t="s">
        <v>698</v>
      </c>
      <c r="JD299" s="20" t="s">
        <v>725</v>
      </c>
      <c r="JE299" s="20" t="s">
        <v>2238</v>
      </c>
      <c r="JR299" s="20" t="s">
        <v>698</v>
      </c>
      <c r="JS299" s="20" t="s">
        <v>698</v>
      </c>
      <c r="JX299" s="20" t="s">
        <v>1173</v>
      </c>
      <c r="JY299" s="20" t="s">
        <v>1351</v>
      </c>
      <c r="LY299" s="20" t="s">
        <v>1351</v>
      </c>
      <c r="MC299" s="20" t="s">
        <v>1352</v>
      </c>
      <c r="ME299" s="20" t="s">
        <v>698</v>
      </c>
      <c r="XL299" s="20" t="s">
        <v>730</v>
      </c>
      <c r="XM299" s="20" t="s">
        <v>2269</v>
      </c>
      <c r="XN299" s="20" t="s">
        <v>732</v>
      </c>
      <c r="XO299" s="20" t="s">
        <v>2623</v>
      </c>
      <c r="XP299" s="20" t="s">
        <v>2216</v>
      </c>
      <c r="XQ299" s="24">
        <v>43143</v>
      </c>
      <c r="XU299" s="20" t="s">
        <v>730</v>
      </c>
      <c r="XV299" s="20" t="s">
        <v>2623</v>
      </c>
      <c r="XW299" s="20" t="s">
        <v>2269</v>
      </c>
      <c r="XX299" s="20" t="s">
        <v>2650</v>
      </c>
      <c r="XY299" s="20" t="s">
        <v>2651</v>
      </c>
    </row>
    <row r="300" spans="1:649" ht="13">
      <c r="A300" s="20">
        <v>2464</v>
      </c>
      <c r="B300" s="21">
        <v>43139</v>
      </c>
      <c r="C300" s="20">
        <v>2018</v>
      </c>
      <c r="D300" s="20">
        <v>20180036</v>
      </c>
      <c r="E300" s="20">
        <v>23122</v>
      </c>
      <c r="F300" s="20" t="s">
        <v>885</v>
      </c>
      <c r="G300" s="20">
        <v>39205</v>
      </c>
      <c r="H300" s="20" t="s">
        <v>957</v>
      </c>
      <c r="I300" s="20" t="s">
        <v>692</v>
      </c>
      <c r="J300" s="20" t="s">
        <v>693</v>
      </c>
      <c r="K300" s="20" t="s">
        <v>694</v>
      </c>
      <c r="L300" s="20">
        <v>77002</v>
      </c>
      <c r="M300" s="22">
        <v>43110.458333333336</v>
      </c>
      <c r="P300" s="20">
        <v>48.285224999999997</v>
      </c>
      <c r="Q300" s="20">
        <v>-103.321873</v>
      </c>
      <c r="R300" s="20" t="s">
        <v>697</v>
      </c>
      <c r="W300" s="20">
        <v>0.7</v>
      </c>
      <c r="Y300" s="20">
        <v>0.7</v>
      </c>
      <c r="Z300" s="20" t="s">
        <v>698</v>
      </c>
      <c r="AF300" s="20">
        <v>0</v>
      </c>
      <c r="AG300" s="20" t="s">
        <v>698</v>
      </c>
      <c r="AM300" s="20">
        <v>0</v>
      </c>
      <c r="AN300" s="20" t="s">
        <v>699</v>
      </c>
      <c r="AP300" s="20" t="s">
        <v>700</v>
      </c>
      <c r="AQ300" s="23">
        <v>43110.458333333336</v>
      </c>
      <c r="AR300" s="20" t="s">
        <v>701</v>
      </c>
      <c r="AS300" s="20" t="s">
        <v>702</v>
      </c>
      <c r="AU300" s="20" t="s">
        <v>698</v>
      </c>
      <c r="AV300" s="20" t="s">
        <v>2652</v>
      </c>
      <c r="BC300" s="23">
        <v>43110.458333333336</v>
      </c>
      <c r="BF300" s="20" t="s">
        <v>754</v>
      </c>
      <c r="BH300" s="20" t="s">
        <v>698</v>
      </c>
      <c r="BM300" s="20" t="s">
        <v>698</v>
      </c>
      <c r="CA300" s="20">
        <v>0</v>
      </c>
      <c r="CB300" s="20" t="s">
        <v>2653</v>
      </c>
      <c r="CC300" s="20" t="s">
        <v>2654</v>
      </c>
      <c r="CD300" s="20" t="s">
        <v>707</v>
      </c>
      <c r="CE300" s="20">
        <v>58843</v>
      </c>
      <c r="CF300" s="20" t="s">
        <v>2655</v>
      </c>
      <c r="CG300" s="20" t="s">
        <v>960</v>
      </c>
      <c r="CH300" s="20" t="s">
        <v>1931</v>
      </c>
      <c r="CI300" s="20">
        <v>43.5</v>
      </c>
      <c r="CJ300" s="20" t="s">
        <v>698</v>
      </c>
      <c r="CK300" s="20" t="s">
        <v>712</v>
      </c>
      <c r="CL300" s="20" t="s">
        <v>713</v>
      </c>
      <c r="CM300" s="20" t="s">
        <v>714</v>
      </c>
      <c r="CP300" s="20" t="s">
        <v>698</v>
      </c>
      <c r="DM300" s="20" t="s">
        <v>743</v>
      </c>
      <c r="DN300" s="20" t="s">
        <v>829</v>
      </c>
      <c r="EM300" s="20" t="s">
        <v>830</v>
      </c>
      <c r="FK300" s="20">
        <v>2016</v>
      </c>
      <c r="FM300" s="20" t="s">
        <v>719</v>
      </c>
      <c r="FO300" s="20" t="s">
        <v>766</v>
      </c>
      <c r="FX300" s="20" t="s">
        <v>2656</v>
      </c>
      <c r="FY300" s="20" t="s">
        <v>698</v>
      </c>
      <c r="GC300" s="20" t="s">
        <v>698</v>
      </c>
      <c r="GD300" s="20" t="s">
        <v>698</v>
      </c>
      <c r="GE300" s="20" t="s">
        <v>698</v>
      </c>
      <c r="GK300" s="20" t="s">
        <v>698</v>
      </c>
      <c r="GT300" s="20" t="s">
        <v>698</v>
      </c>
      <c r="GU300" s="20" t="s">
        <v>698</v>
      </c>
      <c r="HF300" s="20">
        <v>0</v>
      </c>
      <c r="HG300" s="20">
        <v>0</v>
      </c>
      <c r="HH300" s="20">
        <v>2000</v>
      </c>
      <c r="HI300" s="20">
        <v>0</v>
      </c>
      <c r="HJ300" s="20">
        <v>0</v>
      </c>
      <c r="HK300" s="20">
        <v>0</v>
      </c>
      <c r="HM300" s="20">
        <v>2000</v>
      </c>
      <c r="HR300" s="20">
        <v>140</v>
      </c>
      <c r="HS300" s="20">
        <v>1440</v>
      </c>
      <c r="HY300" s="20" t="s">
        <v>723</v>
      </c>
      <c r="HZ300" s="20" t="s">
        <v>698</v>
      </c>
      <c r="IS300" s="20" t="s">
        <v>724</v>
      </c>
      <c r="IT300" s="20" t="s">
        <v>696</v>
      </c>
      <c r="IU300" s="20" t="s">
        <v>696</v>
      </c>
      <c r="IV300" s="20" t="s">
        <v>696</v>
      </c>
      <c r="IW300" s="20" t="s">
        <v>698</v>
      </c>
      <c r="IX300" s="20" t="s">
        <v>698</v>
      </c>
      <c r="IY300" s="20" t="s">
        <v>696</v>
      </c>
      <c r="IZ300" s="20" t="s">
        <v>696</v>
      </c>
      <c r="JA300" s="20" t="s">
        <v>696</v>
      </c>
      <c r="JB300" s="20" t="s">
        <v>698</v>
      </c>
      <c r="JC300" s="20" t="s">
        <v>698</v>
      </c>
      <c r="JD300" s="20" t="s">
        <v>725</v>
      </c>
      <c r="JE300" s="20" t="s">
        <v>726</v>
      </c>
      <c r="JR300" s="20" t="s">
        <v>698</v>
      </c>
      <c r="JS300" s="20" t="s">
        <v>698</v>
      </c>
      <c r="JX300" s="20" t="s">
        <v>894</v>
      </c>
      <c r="JY300" s="20" t="s">
        <v>1685</v>
      </c>
      <c r="RM300" s="20" t="s">
        <v>1685</v>
      </c>
      <c r="RS300" s="20" t="s">
        <v>696</v>
      </c>
      <c r="RV300" s="20" t="s">
        <v>1590</v>
      </c>
      <c r="RW300" s="20" t="s">
        <v>696</v>
      </c>
      <c r="RX300" s="20" t="s">
        <v>898</v>
      </c>
      <c r="XL300" s="20" t="s">
        <v>2657</v>
      </c>
      <c r="XM300" s="20" t="s">
        <v>2269</v>
      </c>
      <c r="XN300" s="20" t="s">
        <v>732</v>
      </c>
      <c r="XO300" s="20" t="s">
        <v>2623</v>
      </c>
      <c r="XP300" s="20" t="s">
        <v>2216</v>
      </c>
      <c r="XQ300" s="24">
        <v>43139</v>
      </c>
      <c r="XU300" s="20" t="s">
        <v>2657</v>
      </c>
      <c r="XV300" s="20" t="s">
        <v>2623</v>
      </c>
      <c r="XW300" s="20" t="s">
        <v>2269</v>
      </c>
      <c r="XX300" s="20" t="s">
        <v>732</v>
      </c>
      <c r="XY300" s="20" t="s">
        <v>2658</v>
      </c>
    </row>
    <row r="301" spans="1:649" ht="13">
      <c r="A301" s="20">
        <v>2470</v>
      </c>
      <c r="B301" s="21">
        <v>43139</v>
      </c>
      <c r="C301" s="20">
        <v>2018</v>
      </c>
      <c r="D301" s="20">
        <v>20180035</v>
      </c>
      <c r="E301" s="20">
        <v>23121</v>
      </c>
      <c r="F301" s="20" t="s">
        <v>885</v>
      </c>
      <c r="G301" s="20">
        <v>39706</v>
      </c>
      <c r="H301" s="20" t="s">
        <v>1943</v>
      </c>
      <c r="I301" s="20" t="s">
        <v>692</v>
      </c>
      <c r="J301" s="20" t="s">
        <v>693</v>
      </c>
      <c r="K301" s="20" t="s">
        <v>694</v>
      </c>
      <c r="L301" s="20">
        <v>77002</v>
      </c>
      <c r="M301" s="22">
        <v>43108.416666666664</v>
      </c>
      <c r="P301" s="20">
        <v>30.00104</v>
      </c>
      <c r="Q301" s="20">
        <v>-93.992638999999997</v>
      </c>
      <c r="R301" s="20" t="s">
        <v>697</v>
      </c>
      <c r="W301" s="20">
        <v>0.5</v>
      </c>
      <c r="Y301" s="20">
        <v>0.5</v>
      </c>
      <c r="Z301" s="20" t="s">
        <v>698</v>
      </c>
      <c r="AF301" s="20">
        <v>0</v>
      </c>
      <c r="AG301" s="20" t="s">
        <v>698</v>
      </c>
      <c r="AM301" s="20">
        <v>0</v>
      </c>
      <c r="AN301" s="20" t="s">
        <v>699</v>
      </c>
      <c r="AP301" s="20" t="s">
        <v>700</v>
      </c>
      <c r="AQ301" s="23">
        <v>43108.416666666664</v>
      </c>
      <c r="AR301" s="20" t="s">
        <v>736</v>
      </c>
      <c r="AS301" s="20" t="s">
        <v>702</v>
      </c>
      <c r="AU301" s="20" t="s">
        <v>698</v>
      </c>
      <c r="AV301" s="20" t="s">
        <v>2659</v>
      </c>
      <c r="BC301" s="23">
        <v>43108.416666666664</v>
      </c>
      <c r="BF301" s="20" t="s">
        <v>754</v>
      </c>
      <c r="BH301" s="20" t="s">
        <v>698</v>
      </c>
      <c r="BM301" s="20" t="s">
        <v>698</v>
      </c>
      <c r="CA301" s="20">
        <v>0</v>
      </c>
      <c r="CB301" s="20" t="s">
        <v>818</v>
      </c>
      <c r="CC301" s="20" t="s">
        <v>819</v>
      </c>
      <c r="CD301" s="20" t="s">
        <v>694</v>
      </c>
      <c r="CE301" s="20">
        <v>77627</v>
      </c>
      <c r="CF301" s="20" t="s">
        <v>820</v>
      </c>
      <c r="CG301" s="20" t="s">
        <v>821</v>
      </c>
      <c r="CH301" s="20" t="s">
        <v>710</v>
      </c>
      <c r="CI301" s="20" t="s">
        <v>711</v>
      </c>
      <c r="CJ301" s="20" t="s">
        <v>698</v>
      </c>
      <c r="CK301" s="20" t="s">
        <v>712</v>
      </c>
      <c r="CL301" s="20" t="s">
        <v>713</v>
      </c>
      <c r="CM301" s="20" t="s">
        <v>758</v>
      </c>
      <c r="CP301" s="20" t="s">
        <v>698</v>
      </c>
      <c r="DM301" s="20" t="s">
        <v>743</v>
      </c>
      <c r="DN301" s="20" t="s">
        <v>892</v>
      </c>
      <c r="FK301" s="20">
        <v>2016</v>
      </c>
      <c r="FM301" s="20" t="s">
        <v>962</v>
      </c>
      <c r="FN301" s="20" t="s">
        <v>2660</v>
      </c>
      <c r="FO301" s="20" t="s">
        <v>893</v>
      </c>
      <c r="FY301" s="20" t="s">
        <v>698</v>
      </c>
      <c r="GC301" s="20" t="s">
        <v>698</v>
      </c>
      <c r="GD301" s="20" t="s">
        <v>698</v>
      </c>
      <c r="GE301" s="20" t="s">
        <v>698</v>
      </c>
      <c r="GK301" s="20" t="s">
        <v>698</v>
      </c>
      <c r="GT301" s="20" t="s">
        <v>698</v>
      </c>
      <c r="GU301" s="20" t="s">
        <v>696</v>
      </c>
      <c r="GX301" s="20" t="s">
        <v>696</v>
      </c>
      <c r="GY301" s="20" t="s">
        <v>698</v>
      </c>
      <c r="HF301" s="20">
        <v>0</v>
      </c>
      <c r="HG301" s="20">
        <v>0</v>
      </c>
      <c r="HH301" s="20">
        <v>1500</v>
      </c>
      <c r="HI301" s="20">
        <v>13700</v>
      </c>
      <c r="HJ301" s="20">
        <v>0</v>
      </c>
      <c r="HK301" s="20">
        <v>0</v>
      </c>
      <c r="HM301" s="20">
        <v>15200</v>
      </c>
      <c r="HR301" s="20">
        <v>5</v>
      </c>
      <c r="HS301" s="20">
        <v>285</v>
      </c>
      <c r="HY301" s="20" t="s">
        <v>723</v>
      </c>
      <c r="HZ301" s="20" t="s">
        <v>698</v>
      </c>
      <c r="IS301" s="20" t="s">
        <v>724</v>
      </c>
      <c r="IT301" s="20" t="s">
        <v>696</v>
      </c>
      <c r="IU301" s="20" t="s">
        <v>696</v>
      </c>
      <c r="IV301" s="20" t="s">
        <v>696</v>
      </c>
      <c r="IW301" s="20" t="s">
        <v>698</v>
      </c>
      <c r="IX301" s="20" t="s">
        <v>698</v>
      </c>
      <c r="IY301" s="20" t="s">
        <v>698</v>
      </c>
      <c r="JD301" s="20" t="s">
        <v>725</v>
      </c>
      <c r="JE301" s="20" t="s">
        <v>726</v>
      </c>
      <c r="JR301" s="20" t="s">
        <v>698</v>
      </c>
      <c r="JS301" s="20" t="s">
        <v>698</v>
      </c>
      <c r="JX301" s="20" t="s">
        <v>789</v>
      </c>
      <c r="JY301" s="20" t="s">
        <v>790</v>
      </c>
      <c r="QB301" s="20" t="s">
        <v>790</v>
      </c>
      <c r="QD301" s="20" t="s">
        <v>696</v>
      </c>
      <c r="QZ301" s="20" t="s">
        <v>696</v>
      </c>
      <c r="RK301" s="20" t="s">
        <v>696</v>
      </c>
      <c r="RL301" s="20" t="s">
        <v>2661</v>
      </c>
      <c r="XL301" s="20" t="s">
        <v>2657</v>
      </c>
      <c r="XM301" s="20" t="s">
        <v>2269</v>
      </c>
      <c r="XN301" s="20" t="s">
        <v>732</v>
      </c>
      <c r="XO301" s="20" t="s">
        <v>2623</v>
      </c>
      <c r="XP301" s="20" t="s">
        <v>2216</v>
      </c>
      <c r="XQ301" s="24">
        <v>43139</v>
      </c>
      <c r="XU301" s="20" t="s">
        <v>2657</v>
      </c>
      <c r="XV301" s="20" t="s">
        <v>2623</v>
      </c>
      <c r="XW301" s="20" t="s">
        <v>2269</v>
      </c>
      <c r="XX301" s="20" t="s">
        <v>732</v>
      </c>
      <c r="XY301" s="20" t="s">
        <v>2662</v>
      </c>
    </row>
    <row r="302" spans="1:649" ht="15">
      <c r="W302" s="27"/>
      <c r="HH302" s="20">
        <f>SUM(HH2:HH301)</f>
        <v>19898007</v>
      </c>
    </row>
  </sheetData>
  <autoFilter ref="A1:YA30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85"/>
  <sheetViews>
    <sheetView workbookViewId="0">
      <pane ySplit="1" topLeftCell="A2" activePane="bottomLeft" state="frozen"/>
      <selection pane="bottomLeft" activeCell="B3" sqref="B3"/>
    </sheetView>
  </sheetViews>
  <sheetFormatPr baseColWidth="10" defaultColWidth="12.6640625" defaultRowHeight="15.75" customHeight="1"/>
  <cols>
    <col min="1" max="1" width="10.1640625" customWidth="1"/>
    <col min="2" max="2" width="18.83203125" customWidth="1"/>
    <col min="3" max="3" width="10.1640625" customWidth="1"/>
    <col min="4" max="4" width="25.1640625" customWidth="1"/>
    <col min="5" max="5" width="18.83203125" customWidth="1"/>
    <col min="6" max="12" width="10.1640625" customWidth="1"/>
    <col min="13" max="14" width="12.6640625" customWidth="1"/>
    <col min="15" max="22" width="10.1640625" customWidth="1"/>
    <col min="23" max="23" width="12.6640625" customWidth="1"/>
    <col min="24" max="24" width="18.83203125" customWidth="1"/>
  </cols>
  <sheetData>
    <row r="1" spans="1:25" ht="15.75" customHeight="1">
      <c r="A1" s="20" t="s">
        <v>44</v>
      </c>
      <c r="B1" s="20" t="s">
        <v>46</v>
      </c>
      <c r="C1" s="20" t="s">
        <v>47</v>
      </c>
      <c r="D1" s="20" t="s">
        <v>48</v>
      </c>
      <c r="E1" s="28" t="s">
        <v>53</v>
      </c>
      <c r="F1" s="20" t="s">
        <v>58</v>
      </c>
      <c r="G1" s="20" t="s">
        <v>63</v>
      </c>
      <c r="H1" s="20" t="s">
        <v>64</v>
      </c>
      <c r="I1" s="20" t="s">
        <v>65</v>
      </c>
      <c r="J1" s="20" t="s">
        <v>66</v>
      </c>
      <c r="K1" s="20" t="s">
        <v>73</v>
      </c>
      <c r="L1" s="20" t="s">
        <v>100</v>
      </c>
      <c r="M1" s="20" t="s">
        <v>124</v>
      </c>
      <c r="N1" s="20" t="s">
        <v>125</v>
      </c>
      <c r="O1" s="20" t="s">
        <v>122</v>
      </c>
      <c r="P1" s="20" t="s">
        <v>221</v>
      </c>
      <c r="Q1" s="20" t="s">
        <v>225</v>
      </c>
      <c r="R1" s="20" t="s">
        <v>233</v>
      </c>
      <c r="S1" s="20" t="s">
        <v>236</v>
      </c>
      <c r="T1" s="20" t="s">
        <v>237</v>
      </c>
      <c r="U1" s="20" t="s">
        <v>243</v>
      </c>
      <c r="V1" s="20" t="s">
        <v>246</v>
      </c>
      <c r="W1" s="29" t="s">
        <v>261</v>
      </c>
      <c r="X1" s="20" t="s">
        <v>324</v>
      </c>
      <c r="Y1" s="20" t="s">
        <v>689</v>
      </c>
    </row>
    <row r="2" spans="1:25" ht="15.75" customHeight="1">
      <c r="A2" s="20">
        <v>20240245</v>
      </c>
      <c r="B2" s="20" t="s">
        <v>690</v>
      </c>
      <c r="C2" s="20">
        <v>32099</v>
      </c>
      <c r="D2" s="20" t="s">
        <v>752</v>
      </c>
      <c r="E2" s="30">
        <v>45551.422222222223</v>
      </c>
      <c r="F2" s="20" t="s">
        <v>773</v>
      </c>
      <c r="G2" s="20">
        <v>38793</v>
      </c>
      <c r="H2" s="20">
        <v>398</v>
      </c>
      <c r="I2" s="20">
        <v>0</v>
      </c>
      <c r="J2" s="20" t="s">
        <v>696</v>
      </c>
      <c r="K2" s="20" t="s">
        <v>698</v>
      </c>
      <c r="L2" s="20" t="s">
        <v>696</v>
      </c>
      <c r="M2" s="20" t="s">
        <v>1101</v>
      </c>
      <c r="N2" s="20" t="s">
        <v>1056</v>
      </c>
      <c r="O2" s="20" t="s">
        <v>694</v>
      </c>
      <c r="P2" s="20" t="s">
        <v>698</v>
      </c>
      <c r="Q2" s="20" t="s">
        <v>698</v>
      </c>
      <c r="R2" s="20" t="s">
        <v>698</v>
      </c>
      <c r="U2" s="20" t="s">
        <v>696</v>
      </c>
      <c r="V2" s="20" t="s">
        <v>696</v>
      </c>
      <c r="W2" s="29">
        <v>3276762</v>
      </c>
      <c r="X2" s="20" t="s">
        <v>1062</v>
      </c>
      <c r="Y2" s="20" t="s">
        <v>1116</v>
      </c>
    </row>
    <row r="3" spans="1:25" ht="15.75" customHeight="1">
      <c r="A3" s="20">
        <v>20250139</v>
      </c>
      <c r="B3" s="20" t="s">
        <v>690</v>
      </c>
      <c r="C3" s="20">
        <v>39596</v>
      </c>
      <c r="D3" s="20" t="s">
        <v>796</v>
      </c>
      <c r="E3" s="30">
        <v>45782.265972222223</v>
      </c>
      <c r="F3" s="20" t="s">
        <v>697</v>
      </c>
      <c r="G3" s="20">
        <v>6600</v>
      </c>
      <c r="I3" s="20">
        <v>6600</v>
      </c>
      <c r="J3" s="20" t="s">
        <v>698</v>
      </c>
      <c r="K3" s="20" t="s">
        <v>698</v>
      </c>
      <c r="L3" s="20" t="s">
        <v>698</v>
      </c>
      <c r="M3" s="20" t="s">
        <v>801</v>
      </c>
      <c r="N3" s="20" t="s">
        <v>802</v>
      </c>
      <c r="O3" s="20" t="s">
        <v>694</v>
      </c>
      <c r="P3" s="20" t="s">
        <v>698</v>
      </c>
      <c r="Q3" s="20" t="s">
        <v>696</v>
      </c>
      <c r="R3" s="20" t="s">
        <v>698</v>
      </c>
      <c r="U3" s="20" t="s">
        <v>696</v>
      </c>
      <c r="V3" s="20" t="s">
        <v>696</v>
      </c>
      <c r="W3" s="29">
        <v>8702000</v>
      </c>
      <c r="X3" s="20" t="s">
        <v>727</v>
      </c>
      <c r="Y3" s="20" t="s">
        <v>807</v>
      </c>
    </row>
    <row r="4" spans="1:25" ht="15.75" customHeight="1">
      <c r="A4" s="20">
        <v>20200038</v>
      </c>
      <c r="B4" s="20" t="s">
        <v>825</v>
      </c>
      <c r="C4" s="20">
        <v>39596</v>
      </c>
      <c r="D4" s="20" t="s">
        <v>796</v>
      </c>
      <c r="E4" s="30">
        <v>43841.805555555555</v>
      </c>
      <c r="F4" s="20" t="s">
        <v>697</v>
      </c>
      <c r="G4" s="20">
        <v>6031</v>
      </c>
      <c r="I4" s="20">
        <v>6021</v>
      </c>
      <c r="J4" s="20" t="s">
        <v>698</v>
      </c>
      <c r="K4" s="20" t="s">
        <v>698</v>
      </c>
      <c r="L4" s="20" t="s">
        <v>698</v>
      </c>
      <c r="M4" s="20" t="s">
        <v>1367</v>
      </c>
      <c r="N4" s="20" t="s">
        <v>1368</v>
      </c>
      <c r="O4" s="20" t="s">
        <v>1366</v>
      </c>
      <c r="P4" s="20" t="s">
        <v>698</v>
      </c>
      <c r="Q4" s="20" t="s">
        <v>696</v>
      </c>
      <c r="R4" s="20" t="s">
        <v>696</v>
      </c>
      <c r="U4" s="20" t="s">
        <v>696</v>
      </c>
      <c r="W4" s="29">
        <v>450670</v>
      </c>
      <c r="X4" s="20" t="s">
        <v>789</v>
      </c>
      <c r="Y4" s="20" t="s">
        <v>2334</v>
      </c>
    </row>
    <row r="5" spans="1:25" ht="15.75" customHeight="1">
      <c r="A5" s="20">
        <v>20220162</v>
      </c>
      <c r="B5" s="20" t="s">
        <v>825</v>
      </c>
      <c r="C5" s="20">
        <v>12470</v>
      </c>
      <c r="D5" s="20" t="s">
        <v>1070</v>
      </c>
      <c r="E5" s="30">
        <v>44741.523611111108</v>
      </c>
      <c r="F5" s="20" t="s">
        <v>697</v>
      </c>
      <c r="G5" s="20">
        <v>4345</v>
      </c>
      <c r="I5" s="20">
        <v>3339</v>
      </c>
      <c r="J5" s="20" t="s">
        <v>698</v>
      </c>
      <c r="K5" s="20" t="s">
        <v>698</v>
      </c>
      <c r="L5" s="20" t="s">
        <v>698</v>
      </c>
      <c r="M5" s="20" t="s">
        <v>1694</v>
      </c>
      <c r="N5" s="20" t="s">
        <v>1747</v>
      </c>
      <c r="O5" s="20" t="s">
        <v>1746</v>
      </c>
      <c r="P5" s="20" t="s">
        <v>696</v>
      </c>
      <c r="Q5" s="20" t="s">
        <v>696</v>
      </c>
      <c r="R5" s="20" t="s">
        <v>696</v>
      </c>
      <c r="S5" s="20" t="s">
        <v>696</v>
      </c>
      <c r="U5" s="20" t="s">
        <v>698</v>
      </c>
      <c r="W5" s="29">
        <v>4651397</v>
      </c>
      <c r="X5" s="20" t="s">
        <v>1062</v>
      </c>
      <c r="Y5" s="20" t="s">
        <v>1749</v>
      </c>
    </row>
    <row r="6" spans="1:25" ht="15.75" customHeight="1">
      <c r="A6" s="20">
        <v>20230014</v>
      </c>
      <c r="B6" s="20" t="s">
        <v>825</v>
      </c>
      <c r="C6" s="20">
        <v>12470</v>
      </c>
      <c r="D6" s="20" t="s">
        <v>1070</v>
      </c>
      <c r="E6" s="30">
        <v>44918.334027777775</v>
      </c>
      <c r="F6" s="20" t="s">
        <v>697</v>
      </c>
      <c r="G6" s="20">
        <v>1974</v>
      </c>
      <c r="I6" s="20">
        <v>1974</v>
      </c>
      <c r="J6" s="20" t="s">
        <v>698</v>
      </c>
      <c r="K6" s="20" t="s">
        <v>698</v>
      </c>
      <c r="L6" s="20" t="s">
        <v>698</v>
      </c>
      <c r="M6" s="20" t="s">
        <v>1536</v>
      </c>
      <c r="N6" s="20" t="s">
        <v>1472</v>
      </c>
      <c r="O6" s="20" t="s">
        <v>1075</v>
      </c>
      <c r="P6" s="20" t="s">
        <v>698</v>
      </c>
      <c r="Q6" s="20" t="s">
        <v>696</v>
      </c>
      <c r="R6" s="20" t="s">
        <v>698</v>
      </c>
      <c r="U6" s="20" t="s">
        <v>698</v>
      </c>
      <c r="W6" s="29">
        <v>2306948</v>
      </c>
      <c r="X6" s="20" t="s">
        <v>929</v>
      </c>
      <c r="Y6" s="20" t="s">
        <v>1640</v>
      </c>
    </row>
    <row r="7" spans="1:25" ht="15.75" customHeight="1">
      <c r="A7" s="20">
        <v>20210061</v>
      </c>
      <c r="B7" s="20" t="s">
        <v>825</v>
      </c>
      <c r="C7" s="20">
        <v>18718</v>
      </c>
      <c r="D7" s="20" t="s">
        <v>918</v>
      </c>
      <c r="E7" s="30">
        <v>44242.347222222219</v>
      </c>
      <c r="F7" s="20" t="s">
        <v>844</v>
      </c>
      <c r="G7" s="20">
        <v>2608</v>
      </c>
      <c r="I7" s="20">
        <v>2608</v>
      </c>
      <c r="J7" s="20" t="s">
        <v>698</v>
      </c>
      <c r="K7" s="20" t="s">
        <v>698</v>
      </c>
      <c r="L7" s="20" t="s">
        <v>698</v>
      </c>
      <c r="M7" s="20" t="s">
        <v>2124</v>
      </c>
      <c r="N7" s="20" t="s">
        <v>2125</v>
      </c>
      <c r="O7" s="20" t="s">
        <v>694</v>
      </c>
      <c r="P7" s="20" t="s">
        <v>698</v>
      </c>
      <c r="Q7" s="20" t="s">
        <v>696</v>
      </c>
      <c r="R7" s="20" t="s">
        <v>698</v>
      </c>
      <c r="U7" s="20" t="s">
        <v>696</v>
      </c>
      <c r="W7" s="29">
        <v>795593</v>
      </c>
      <c r="X7" s="20" t="s">
        <v>789</v>
      </c>
      <c r="Y7" s="20" t="s">
        <v>2127</v>
      </c>
    </row>
    <row r="8" spans="1:25" ht="15.75" customHeight="1">
      <c r="A8" s="20">
        <v>20220061</v>
      </c>
      <c r="B8" s="20" t="s">
        <v>825</v>
      </c>
      <c r="C8" s="20">
        <v>39147</v>
      </c>
      <c r="D8" s="20" t="s">
        <v>1574</v>
      </c>
      <c r="E8" s="30">
        <v>44612.638194444444</v>
      </c>
      <c r="F8" s="20" t="s">
        <v>697</v>
      </c>
      <c r="G8" s="20">
        <v>1900</v>
      </c>
      <c r="I8" s="20">
        <v>1900</v>
      </c>
      <c r="J8" s="20" t="s">
        <v>698</v>
      </c>
      <c r="K8" s="20" t="s">
        <v>698</v>
      </c>
      <c r="L8" s="20" t="s">
        <v>698</v>
      </c>
      <c r="M8" s="20" t="s">
        <v>1831</v>
      </c>
      <c r="N8" s="20" t="s">
        <v>812</v>
      </c>
      <c r="O8" s="20" t="s">
        <v>739</v>
      </c>
      <c r="P8" s="20" t="s">
        <v>696</v>
      </c>
      <c r="Q8" s="20" t="s">
        <v>696</v>
      </c>
      <c r="R8" s="20" t="s">
        <v>696</v>
      </c>
      <c r="U8" s="20" t="s">
        <v>698</v>
      </c>
      <c r="W8" s="29">
        <v>574800</v>
      </c>
      <c r="X8" s="20" t="s">
        <v>833</v>
      </c>
      <c r="Y8" s="20" t="s">
        <v>1858</v>
      </c>
    </row>
    <row r="9" spans="1:25" ht="15.75" customHeight="1">
      <c r="A9" s="20">
        <v>20230245</v>
      </c>
      <c r="B9" s="20" t="s">
        <v>825</v>
      </c>
      <c r="C9" s="20">
        <v>31888</v>
      </c>
      <c r="D9" s="20" t="s">
        <v>1126</v>
      </c>
      <c r="E9" s="30">
        <v>45194.433333333334</v>
      </c>
      <c r="F9" s="20" t="s">
        <v>697</v>
      </c>
      <c r="G9" s="20">
        <v>1684</v>
      </c>
      <c r="I9" s="20">
        <v>1684</v>
      </c>
      <c r="J9" s="20" t="s">
        <v>698</v>
      </c>
      <c r="K9" s="20" t="s">
        <v>698</v>
      </c>
      <c r="L9" s="20" t="s">
        <v>698</v>
      </c>
      <c r="M9" s="20" t="s">
        <v>1448</v>
      </c>
      <c r="N9" s="20" t="s">
        <v>1449</v>
      </c>
      <c r="O9" s="20" t="s">
        <v>739</v>
      </c>
      <c r="P9" s="20" t="s">
        <v>698</v>
      </c>
      <c r="Q9" s="20" t="s">
        <v>696</v>
      </c>
      <c r="R9" s="20" t="s">
        <v>698</v>
      </c>
      <c r="U9" s="20" t="s">
        <v>696</v>
      </c>
      <c r="W9" s="29">
        <v>1100000</v>
      </c>
      <c r="X9" s="20" t="s">
        <v>990</v>
      </c>
      <c r="Y9" s="20" t="s">
        <v>1462</v>
      </c>
    </row>
    <row r="10" spans="1:25" ht="15.75" customHeight="1">
      <c r="A10" s="20">
        <v>20220097</v>
      </c>
      <c r="B10" s="20" t="s">
        <v>825</v>
      </c>
      <c r="C10" s="20">
        <v>32683</v>
      </c>
      <c r="D10" s="20" t="s">
        <v>1206</v>
      </c>
      <c r="E10" s="30">
        <v>44663.637499999997</v>
      </c>
      <c r="F10" s="20" t="s">
        <v>844</v>
      </c>
      <c r="G10" s="20">
        <v>1220</v>
      </c>
      <c r="I10" s="20">
        <v>1200</v>
      </c>
      <c r="J10" s="20" t="s">
        <v>698</v>
      </c>
      <c r="K10" s="20" t="s">
        <v>698</v>
      </c>
      <c r="L10" s="20" t="s">
        <v>698</v>
      </c>
      <c r="M10" s="20" t="s">
        <v>1824</v>
      </c>
      <c r="N10" s="20" t="s">
        <v>1472</v>
      </c>
      <c r="O10" s="20" t="s">
        <v>1075</v>
      </c>
      <c r="P10" s="20" t="s">
        <v>696</v>
      </c>
      <c r="Q10" s="20" t="s">
        <v>696</v>
      </c>
      <c r="R10" s="20" t="s">
        <v>696</v>
      </c>
      <c r="S10" s="20" t="s">
        <v>696</v>
      </c>
      <c r="U10" s="20" t="s">
        <v>698</v>
      </c>
      <c r="W10" s="29">
        <v>6735112</v>
      </c>
      <c r="X10" s="20" t="s">
        <v>833</v>
      </c>
      <c r="Y10" s="20" t="s">
        <v>1828</v>
      </c>
    </row>
    <row r="11" spans="1:25" ht="15.75" customHeight="1">
      <c r="A11" s="20">
        <v>20230079</v>
      </c>
      <c r="B11" s="20" t="s">
        <v>825</v>
      </c>
      <c r="C11" s="20">
        <v>18718</v>
      </c>
      <c r="D11" s="20" t="s">
        <v>918</v>
      </c>
      <c r="E11" s="30">
        <v>45013.369444444441</v>
      </c>
      <c r="F11" s="20" t="s">
        <v>697</v>
      </c>
      <c r="G11" s="20">
        <v>1094</v>
      </c>
      <c r="I11" s="20">
        <v>1060</v>
      </c>
      <c r="J11" s="20" t="s">
        <v>698</v>
      </c>
      <c r="K11" s="20" t="s">
        <v>698</v>
      </c>
      <c r="L11" s="20" t="s">
        <v>698</v>
      </c>
      <c r="M11" s="20" t="s">
        <v>1296</v>
      </c>
      <c r="N11" s="20" t="s">
        <v>1283</v>
      </c>
      <c r="O11" s="20" t="s">
        <v>694</v>
      </c>
      <c r="P11" s="20" t="s">
        <v>698</v>
      </c>
      <c r="Q11" s="20" t="s">
        <v>696</v>
      </c>
      <c r="R11" s="20" t="s">
        <v>696</v>
      </c>
      <c r="U11" s="20" t="s">
        <v>698</v>
      </c>
      <c r="W11" s="29">
        <v>144605</v>
      </c>
      <c r="X11" s="20" t="s">
        <v>789</v>
      </c>
      <c r="Y11" s="20" t="s">
        <v>1598</v>
      </c>
    </row>
    <row r="12" spans="1:25" ht="15.75" customHeight="1">
      <c r="A12" s="20">
        <v>20210263</v>
      </c>
      <c r="B12" s="20" t="s">
        <v>825</v>
      </c>
      <c r="C12" s="20">
        <v>18718</v>
      </c>
      <c r="D12" s="20" t="s">
        <v>918</v>
      </c>
      <c r="E12" s="30">
        <v>44426.181250000001</v>
      </c>
      <c r="F12" s="20" t="s">
        <v>773</v>
      </c>
      <c r="G12" s="20">
        <v>1151</v>
      </c>
      <c r="H12" s="20">
        <v>0.9</v>
      </c>
      <c r="I12" s="20">
        <v>0</v>
      </c>
      <c r="J12" s="20" t="s">
        <v>698</v>
      </c>
      <c r="K12" s="20" t="s">
        <v>698</v>
      </c>
      <c r="L12" s="20" t="s">
        <v>698</v>
      </c>
      <c r="M12" s="20" t="s">
        <v>1985</v>
      </c>
      <c r="N12" s="20" t="s">
        <v>1986</v>
      </c>
      <c r="O12" s="20" t="s">
        <v>976</v>
      </c>
      <c r="P12" s="20" t="s">
        <v>696</v>
      </c>
      <c r="Q12" s="20" t="s">
        <v>696</v>
      </c>
      <c r="R12" s="20" t="s">
        <v>696</v>
      </c>
      <c r="U12" s="20" t="s">
        <v>696</v>
      </c>
      <c r="V12" s="20" t="s">
        <v>696</v>
      </c>
      <c r="W12" s="29">
        <v>254627</v>
      </c>
      <c r="X12" s="20" t="s">
        <v>1062</v>
      </c>
      <c r="Y12" s="20" t="s">
        <v>1990</v>
      </c>
    </row>
    <row r="13" spans="1:25" ht="15.75" customHeight="1">
      <c r="A13" s="20">
        <v>20250051</v>
      </c>
      <c r="B13" s="20" t="s">
        <v>840</v>
      </c>
      <c r="C13" s="20">
        <v>18718</v>
      </c>
      <c r="D13" s="20" t="s">
        <v>918</v>
      </c>
      <c r="E13" s="30">
        <v>45688.6875</v>
      </c>
      <c r="F13" s="20" t="s">
        <v>844</v>
      </c>
      <c r="G13" s="20">
        <v>156</v>
      </c>
      <c r="I13" s="20">
        <v>16.899999999999999</v>
      </c>
      <c r="J13" s="20" t="s">
        <v>698</v>
      </c>
      <c r="K13" s="20" t="s">
        <v>698</v>
      </c>
      <c r="L13" s="20" t="s">
        <v>698</v>
      </c>
      <c r="M13" s="20" t="s">
        <v>922</v>
      </c>
      <c r="N13" s="20" t="s">
        <v>923</v>
      </c>
      <c r="O13" s="20" t="s">
        <v>921</v>
      </c>
      <c r="P13" s="20" t="s">
        <v>698</v>
      </c>
      <c r="Q13" s="20" t="s">
        <v>696</v>
      </c>
      <c r="R13" s="20" t="s">
        <v>696</v>
      </c>
      <c r="S13" s="20" t="s">
        <v>696</v>
      </c>
      <c r="T13" s="20" t="s">
        <v>696</v>
      </c>
      <c r="U13" s="20" t="s">
        <v>696</v>
      </c>
      <c r="V13" s="20" t="s">
        <v>696</v>
      </c>
      <c r="W13" s="29">
        <v>15273340</v>
      </c>
      <c r="X13" s="20" t="s">
        <v>929</v>
      </c>
      <c r="Y13" s="20" t="s">
        <v>935</v>
      </c>
    </row>
    <row r="14" spans="1:25" ht="15.75" customHeight="1">
      <c r="A14" s="20">
        <v>20230095</v>
      </c>
      <c r="B14" s="20" t="s">
        <v>825</v>
      </c>
      <c r="C14" s="20">
        <v>32099</v>
      </c>
      <c r="D14" s="20" t="s">
        <v>752</v>
      </c>
      <c r="E14" s="30">
        <v>45027.506944444445</v>
      </c>
      <c r="F14" s="20" t="s">
        <v>773</v>
      </c>
      <c r="G14" s="20">
        <v>0.1</v>
      </c>
      <c r="H14" s="20">
        <v>0</v>
      </c>
      <c r="I14" s="20">
        <v>0</v>
      </c>
      <c r="J14" s="20" t="s">
        <v>698</v>
      </c>
      <c r="K14" s="20" t="s">
        <v>696</v>
      </c>
      <c r="L14" s="20" t="s">
        <v>696</v>
      </c>
      <c r="M14" s="20" t="s">
        <v>1586</v>
      </c>
      <c r="N14" s="20" t="s">
        <v>1587</v>
      </c>
      <c r="O14" s="20" t="s">
        <v>694</v>
      </c>
      <c r="P14" s="20" t="s">
        <v>698</v>
      </c>
      <c r="Q14" s="20" t="s">
        <v>698</v>
      </c>
      <c r="R14" s="20" t="s">
        <v>698</v>
      </c>
      <c r="U14" s="20" t="s">
        <v>698</v>
      </c>
      <c r="W14" s="29">
        <v>53721</v>
      </c>
      <c r="X14" s="20" t="s">
        <v>894</v>
      </c>
      <c r="Y14" s="20" t="s">
        <v>1591</v>
      </c>
    </row>
    <row r="15" spans="1:25" ht="15.75" customHeight="1">
      <c r="A15" s="20">
        <v>20210261</v>
      </c>
      <c r="B15" s="20" t="s">
        <v>825</v>
      </c>
      <c r="C15" s="20">
        <v>39706</v>
      </c>
      <c r="D15" s="20" t="s">
        <v>1943</v>
      </c>
      <c r="E15" s="30">
        <v>44425.635416666664</v>
      </c>
      <c r="F15" s="20" t="s">
        <v>697</v>
      </c>
      <c r="G15" s="20">
        <v>0.1</v>
      </c>
      <c r="I15" s="20">
        <v>0</v>
      </c>
      <c r="J15" s="20" t="s">
        <v>698</v>
      </c>
      <c r="K15" s="20" t="s">
        <v>696</v>
      </c>
      <c r="L15" s="20" t="s">
        <v>696</v>
      </c>
      <c r="M15" s="20" t="s">
        <v>820</v>
      </c>
      <c r="N15" s="20" t="s">
        <v>821</v>
      </c>
      <c r="O15" s="20" t="s">
        <v>694</v>
      </c>
      <c r="P15" s="20" t="s">
        <v>698</v>
      </c>
      <c r="Q15" s="20" t="s">
        <v>698</v>
      </c>
      <c r="R15" s="20" t="s">
        <v>698</v>
      </c>
      <c r="U15" s="20" t="s">
        <v>696</v>
      </c>
      <c r="V15" s="20" t="s">
        <v>696</v>
      </c>
      <c r="W15" s="29">
        <v>17686</v>
      </c>
      <c r="X15" s="20" t="s">
        <v>894</v>
      </c>
      <c r="Y15" s="20" t="s">
        <v>1997</v>
      </c>
    </row>
    <row r="16" spans="1:25" ht="15.75" customHeight="1">
      <c r="E16" s="28"/>
    </row>
    <row r="17" spans="5:5" ht="15.75" customHeight="1">
      <c r="E17" s="28"/>
    </row>
    <row r="18" spans="5:5" ht="15.75" customHeight="1">
      <c r="E18" s="28"/>
    </row>
    <row r="19" spans="5:5" ht="15.75" customHeight="1">
      <c r="E19" s="28"/>
    </row>
    <row r="20" spans="5:5" ht="15.75" customHeight="1">
      <c r="E20" s="28"/>
    </row>
    <row r="21" spans="5:5" ht="15.75" customHeight="1">
      <c r="E21" s="28"/>
    </row>
    <row r="22" spans="5:5" ht="15.75" customHeight="1">
      <c r="E22" s="28"/>
    </row>
    <row r="23" spans="5:5" ht="15.75" customHeight="1">
      <c r="E23" s="28"/>
    </row>
    <row r="24" spans="5:5" ht="15.75" customHeight="1">
      <c r="E24" s="28"/>
    </row>
    <row r="25" spans="5:5" ht="15.75" customHeight="1">
      <c r="E25" s="28"/>
    </row>
    <row r="26" spans="5:5" ht="15.75" customHeight="1">
      <c r="E26" s="28"/>
    </row>
    <row r="27" spans="5:5" ht="15.75" customHeight="1">
      <c r="E27" s="28"/>
    </row>
    <row r="28" spans="5:5" ht="15.75" customHeight="1">
      <c r="E28" s="28"/>
    </row>
    <row r="29" spans="5:5" ht="15.75" customHeight="1">
      <c r="E29" s="28"/>
    </row>
    <row r="30" spans="5:5" ht="15.75" customHeight="1">
      <c r="E30" s="28"/>
    </row>
    <row r="31" spans="5:5" ht="15.75" customHeight="1">
      <c r="E31" s="28"/>
    </row>
    <row r="32" spans="5:5" ht="15.75" customHeight="1">
      <c r="E32" s="28"/>
    </row>
    <row r="33" spans="5:5" ht="15.75" customHeight="1">
      <c r="E33" s="28"/>
    </row>
    <row r="34" spans="5:5" ht="15.75" customHeight="1">
      <c r="E34" s="28"/>
    </row>
    <row r="35" spans="5:5" ht="15.75" customHeight="1">
      <c r="E35" s="28"/>
    </row>
    <row r="36" spans="5:5" ht="15.75" customHeight="1">
      <c r="E36" s="28"/>
    </row>
    <row r="37" spans="5:5" ht="15.75" customHeight="1">
      <c r="E37" s="28"/>
    </row>
    <row r="38" spans="5:5" ht="15.75" customHeight="1">
      <c r="E38" s="28"/>
    </row>
    <row r="39" spans="5:5" ht="15.75" customHeight="1">
      <c r="E39" s="28"/>
    </row>
    <row r="40" spans="5:5" ht="15.75" customHeight="1">
      <c r="E40" s="28"/>
    </row>
    <row r="41" spans="5:5" ht="15.75" customHeight="1">
      <c r="E41" s="28"/>
    </row>
    <row r="42" spans="5:5" ht="15.75" customHeight="1">
      <c r="E42" s="28"/>
    </row>
    <row r="43" spans="5:5" ht="15.75" customHeight="1">
      <c r="E43" s="28"/>
    </row>
    <row r="44" spans="5:5" ht="15.75" customHeight="1">
      <c r="E44" s="28"/>
    </row>
    <row r="45" spans="5:5" ht="15.75" customHeight="1">
      <c r="E45" s="28"/>
    </row>
    <row r="46" spans="5:5" ht="15.75" customHeight="1">
      <c r="E46" s="28"/>
    </row>
    <row r="47" spans="5:5" ht="15.75" customHeight="1">
      <c r="E47" s="28"/>
    </row>
    <row r="48" spans="5:5" ht="15.75" customHeight="1">
      <c r="E48" s="28"/>
    </row>
    <row r="49" spans="5:5" ht="15.75" customHeight="1">
      <c r="E49" s="28"/>
    </row>
    <row r="50" spans="5:5" ht="15.75" customHeight="1">
      <c r="E50" s="28"/>
    </row>
    <row r="51" spans="5:5" ht="15.75" customHeight="1">
      <c r="E51" s="28"/>
    </row>
    <row r="52" spans="5:5" ht="15.75" customHeight="1">
      <c r="E52" s="28"/>
    </row>
    <row r="53" spans="5:5" ht="13">
      <c r="E53" s="28"/>
    </row>
    <row r="54" spans="5:5" ht="13">
      <c r="E54" s="28"/>
    </row>
    <row r="55" spans="5:5" ht="13">
      <c r="E55" s="28"/>
    </row>
    <row r="56" spans="5:5" ht="13">
      <c r="E56" s="28"/>
    </row>
    <row r="57" spans="5:5" ht="13">
      <c r="E57" s="28"/>
    </row>
    <row r="58" spans="5:5" ht="13">
      <c r="E58" s="28"/>
    </row>
    <row r="59" spans="5:5" ht="13">
      <c r="E59" s="28"/>
    </row>
    <row r="60" spans="5:5" ht="13">
      <c r="E60" s="28"/>
    </row>
    <row r="61" spans="5:5" ht="13">
      <c r="E61" s="28"/>
    </row>
    <row r="62" spans="5:5" ht="13">
      <c r="E62" s="28"/>
    </row>
    <row r="63" spans="5:5" ht="13">
      <c r="E63" s="28"/>
    </row>
    <row r="64" spans="5:5" ht="13">
      <c r="E64" s="28"/>
    </row>
    <row r="65" spans="5:5" ht="13">
      <c r="E65" s="28"/>
    </row>
    <row r="66" spans="5:5" ht="13">
      <c r="E66" s="28"/>
    </row>
    <row r="67" spans="5:5" ht="13">
      <c r="E67" s="28"/>
    </row>
    <row r="68" spans="5:5" ht="13">
      <c r="E68" s="28"/>
    </row>
    <row r="69" spans="5:5" ht="13">
      <c r="E69" s="28"/>
    </row>
    <row r="70" spans="5:5" ht="13">
      <c r="E70" s="28"/>
    </row>
    <row r="71" spans="5:5" ht="13">
      <c r="E71" s="28"/>
    </row>
    <row r="72" spans="5:5" ht="13">
      <c r="E72" s="28"/>
    </row>
    <row r="73" spans="5:5" ht="13">
      <c r="E73" s="28"/>
    </row>
    <row r="74" spans="5:5" ht="13">
      <c r="E74" s="28"/>
    </row>
    <row r="75" spans="5:5" ht="13">
      <c r="E75" s="28"/>
    </row>
    <row r="76" spans="5:5" ht="13">
      <c r="E76" s="28"/>
    </row>
    <row r="77" spans="5:5" ht="13">
      <c r="E77" s="28"/>
    </row>
    <row r="78" spans="5:5" ht="13">
      <c r="E78" s="28"/>
    </row>
    <row r="79" spans="5:5" ht="13">
      <c r="E79" s="28"/>
    </row>
    <row r="80" spans="5:5" ht="13">
      <c r="E80" s="28"/>
    </row>
    <row r="81" spans="5:5" ht="13">
      <c r="E81" s="28"/>
    </row>
    <row r="82" spans="5:5" ht="13">
      <c r="E82" s="28"/>
    </row>
    <row r="83" spans="5:5" ht="13">
      <c r="E83" s="28"/>
    </row>
    <row r="84" spans="5:5" ht="13">
      <c r="E84" s="28"/>
    </row>
    <row r="85" spans="5:5" ht="13">
      <c r="E85" s="28"/>
    </row>
    <row r="86" spans="5:5" ht="13">
      <c r="E86" s="28"/>
    </row>
    <row r="87" spans="5:5" ht="13">
      <c r="E87" s="28"/>
    </row>
    <row r="88" spans="5:5" ht="13">
      <c r="E88" s="28"/>
    </row>
    <row r="89" spans="5:5" ht="13">
      <c r="E89" s="28"/>
    </row>
    <row r="90" spans="5:5" ht="13">
      <c r="E90" s="28"/>
    </row>
    <row r="91" spans="5:5" ht="13">
      <c r="E91" s="28"/>
    </row>
    <row r="92" spans="5:5" ht="13">
      <c r="E92" s="28"/>
    </row>
    <row r="93" spans="5:5" ht="13">
      <c r="E93" s="28"/>
    </row>
    <row r="94" spans="5:5" ht="13">
      <c r="E94" s="28"/>
    </row>
    <row r="95" spans="5:5" ht="13">
      <c r="E95" s="28"/>
    </row>
    <row r="96" spans="5:5" ht="13">
      <c r="E96" s="28"/>
    </row>
    <row r="97" spans="5:5" ht="13">
      <c r="E97" s="28"/>
    </row>
    <row r="98" spans="5:5" ht="13">
      <c r="E98" s="28"/>
    </row>
    <row r="99" spans="5:5" ht="13">
      <c r="E99" s="28"/>
    </row>
    <row r="100" spans="5:5" ht="13">
      <c r="E100" s="28"/>
    </row>
    <row r="101" spans="5:5" ht="13">
      <c r="E101" s="28"/>
    </row>
    <row r="102" spans="5:5" ht="13">
      <c r="E102" s="28"/>
    </row>
    <row r="103" spans="5:5" ht="13">
      <c r="E103" s="28"/>
    </row>
    <row r="104" spans="5:5" ht="13">
      <c r="E104" s="28"/>
    </row>
    <row r="105" spans="5:5" ht="13">
      <c r="E105" s="28"/>
    </row>
    <row r="106" spans="5:5" ht="13">
      <c r="E106" s="28"/>
    </row>
    <row r="107" spans="5:5" ht="13">
      <c r="E107" s="28"/>
    </row>
    <row r="108" spans="5:5" ht="13">
      <c r="E108" s="28"/>
    </row>
    <row r="109" spans="5:5" ht="13">
      <c r="E109" s="28"/>
    </row>
    <row r="110" spans="5:5" ht="13">
      <c r="E110" s="28"/>
    </row>
    <row r="111" spans="5:5" ht="13">
      <c r="E111" s="28"/>
    </row>
    <row r="112" spans="5:5" ht="13">
      <c r="E112" s="28"/>
    </row>
    <row r="113" spans="5:5" ht="13">
      <c r="E113" s="28"/>
    </row>
    <row r="114" spans="5:5" ht="13">
      <c r="E114" s="28"/>
    </row>
    <row r="115" spans="5:5" ht="13">
      <c r="E115" s="28"/>
    </row>
    <row r="116" spans="5:5" ht="13">
      <c r="E116" s="28"/>
    </row>
    <row r="117" spans="5:5" ht="13">
      <c r="E117" s="28"/>
    </row>
    <row r="118" spans="5:5" ht="13">
      <c r="E118" s="28"/>
    </row>
    <row r="119" spans="5:5" ht="13">
      <c r="E119" s="28"/>
    </row>
    <row r="120" spans="5:5" ht="13">
      <c r="E120" s="28"/>
    </row>
    <row r="121" spans="5:5" ht="13">
      <c r="E121" s="28"/>
    </row>
    <row r="122" spans="5:5" ht="13">
      <c r="E122" s="28"/>
    </row>
    <row r="123" spans="5:5" ht="13">
      <c r="E123" s="28"/>
    </row>
    <row r="124" spans="5:5" ht="13">
      <c r="E124" s="28"/>
    </row>
    <row r="125" spans="5:5" ht="13">
      <c r="E125" s="28"/>
    </row>
    <row r="126" spans="5:5" ht="13">
      <c r="E126" s="28"/>
    </row>
    <row r="127" spans="5:5" ht="13">
      <c r="E127" s="28"/>
    </row>
    <row r="128" spans="5:5" ht="13">
      <c r="E128" s="28"/>
    </row>
    <row r="129" spans="5:5" ht="13">
      <c r="E129" s="28"/>
    </row>
    <row r="130" spans="5:5" ht="13">
      <c r="E130" s="28"/>
    </row>
    <row r="131" spans="5:5" ht="13">
      <c r="E131" s="28"/>
    </row>
    <row r="132" spans="5:5" ht="13">
      <c r="E132" s="28"/>
    </row>
    <row r="133" spans="5:5" ht="13">
      <c r="E133" s="28"/>
    </row>
    <row r="134" spans="5:5" ht="13">
      <c r="E134" s="28"/>
    </row>
    <row r="135" spans="5:5" ht="13">
      <c r="E135" s="28"/>
    </row>
    <row r="136" spans="5:5" ht="13">
      <c r="E136" s="28"/>
    </row>
    <row r="137" spans="5:5" ht="13">
      <c r="E137" s="28"/>
    </row>
    <row r="138" spans="5:5" ht="13">
      <c r="E138" s="28"/>
    </row>
    <row r="139" spans="5:5" ht="13">
      <c r="E139" s="28"/>
    </row>
    <row r="140" spans="5:5" ht="13">
      <c r="E140" s="28"/>
    </row>
    <row r="141" spans="5:5" ht="13">
      <c r="E141" s="28"/>
    </row>
    <row r="142" spans="5:5" ht="13">
      <c r="E142" s="28"/>
    </row>
    <row r="143" spans="5:5" ht="13">
      <c r="E143" s="28"/>
    </row>
    <row r="144" spans="5:5" ht="13">
      <c r="E144" s="28"/>
    </row>
    <row r="145" spans="5:5" ht="13">
      <c r="E145" s="28"/>
    </row>
    <row r="146" spans="5:5" ht="13">
      <c r="E146" s="28"/>
    </row>
    <row r="147" spans="5:5" ht="13">
      <c r="E147" s="28"/>
    </row>
    <row r="148" spans="5:5" ht="13">
      <c r="E148" s="28"/>
    </row>
    <row r="149" spans="5:5" ht="13">
      <c r="E149" s="28"/>
    </row>
    <row r="150" spans="5:5" ht="13">
      <c r="E150" s="28"/>
    </row>
    <row r="151" spans="5:5" ht="13">
      <c r="E151" s="28"/>
    </row>
    <row r="152" spans="5:5" ht="13">
      <c r="E152" s="28"/>
    </row>
    <row r="153" spans="5:5" ht="13">
      <c r="E153" s="28"/>
    </row>
    <row r="154" spans="5:5" ht="13">
      <c r="E154" s="28"/>
    </row>
    <row r="155" spans="5:5" ht="13">
      <c r="E155" s="28"/>
    </row>
    <row r="156" spans="5:5" ht="13">
      <c r="E156" s="28"/>
    </row>
    <row r="157" spans="5:5" ht="13">
      <c r="E157" s="28"/>
    </row>
    <row r="158" spans="5:5" ht="13">
      <c r="E158" s="28"/>
    </row>
    <row r="159" spans="5:5" ht="13">
      <c r="E159" s="28"/>
    </row>
    <row r="160" spans="5:5" ht="13">
      <c r="E160" s="28"/>
    </row>
    <row r="161" spans="5:5" ht="13">
      <c r="E161" s="28"/>
    </row>
    <row r="162" spans="5:5" ht="13">
      <c r="E162" s="28"/>
    </row>
    <row r="163" spans="5:5" ht="13">
      <c r="E163" s="28"/>
    </row>
    <row r="164" spans="5:5" ht="13">
      <c r="E164" s="28"/>
    </row>
    <row r="165" spans="5:5" ht="13">
      <c r="E165" s="28"/>
    </row>
    <row r="166" spans="5:5" ht="13">
      <c r="E166" s="28"/>
    </row>
    <row r="167" spans="5:5" ht="13">
      <c r="E167" s="28"/>
    </row>
    <row r="168" spans="5:5" ht="13">
      <c r="E168" s="28"/>
    </row>
    <row r="169" spans="5:5" ht="13">
      <c r="E169" s="28"/>
    </row>
    <row r="170" spans="5:5" ht="13">
      <c r="E170" s="28"/>
    </row>
    <row r="171" spans="5:5" ht="13">
      <c r="E171" s="28"/>
    </row>
    <row r="172" spans="5:5" ht="13">
      <c r="E172" s="28"/>
    </row>
    <row r="173" spans="5:5" ht="13">
      <c r="E173" s="28"/>
    </row>
    <row r="174" spans="5:5" ht="13">
      <c r="E174" s="28"/>
    </row>
    <row r="175" spans="5:5" ht="13">
      <c r="E175" s="28"/>
    </row>
    <row r="176" spans="5:5" ht="13">
      <c r="E176" s="28"/>
    </row>
    <row r="177" spans="5:5" ht="13">
      <c r="E177" s="28"/>
    </row>
    <row r="178" spans="5:5" ht="13">
      <c r="E178" s="28"/>
    </row>
    <row r="179" spans="5:5" ht="13">
      <c r="E179" s="28"/>
    </row>
    <row r="180" spans="5:5" ht="13">
      <c r="E180" s="28"/>
    </row>
    <row r="181" spans="5:5" ht="13">
      <c r="E181" s="28"/>
    </row>
    <row r="182" spans="5:5" ht="13">
      <c r="E182" s="28"/>
    </row>
    <row r="183" spans="5:5" ht="13">
      <c r="E183" s="28"/>
    </row>
    <row r="184" spans="5:5" ht="13">
      <c r="E184" s="28"/>
    </row>
    <row r="185" spans="5:5" ht="13">
      <c r="E185" s="28"/>
    </row>
    <row r="186" spans="5:5" ht="13">
      <c r="E186" s="28"/>
    </row>
    <row r="187" spans="5:5" ht="13">
      <c r="E187" s="28"/>
    </row>
    <row r="188" spans="5:5" ht="13">
      <c r="E188" s="28"/>
    </row>
    <row r="189" spans="5:5" ht="13">
      <c r="E189" s="28"/>
    </row>
    <row r="190" spans="5:5" ht="13">
      <c r="E190" s="28"/>
    </row>
    <row r="191" spans="5:5" ht="13">
      <c r="E191" s="28"/>
    </row>
    <row r="192" spans="5:5" ht="13">
      <c r="E192" s="28"/>
    </row>
    <row r="193" spans="5:5" ht="13">
      <c r="E193" s="28"/>
    </row>
    <row r="194" spans="5:5" ht="13">
      <c r="E194" s="28"/>
    </row>
    <row r="195" spans="5:5" ht="13">
      <c r="E195" s="28"/>
    </row>
    <row r="196" spans="5:5" ht="13">
      <c r="E196" s="28"/>
    </row>
    <row r="197" spans="5:5" ht="13">
      <c r="E197" s="28"/>
    </row>
    <row r="198" spans="5:5" ht="13">
      <c r="E198" s="28"/>
    </row>
    <row r="199" spans="5:5" ht="13">
      <c r="E199" s="28"/>
    </row>
    <row r="200" spans="5:5" ht="13">
      <c r="E200" s="28"/>
    </row>
    <row r="201" spans="5:5" ht="13">
      <c r="E201" s="28"/>
    </row>
    <row r="202" spans="5:5" ht="13">
      <c r="E202" s="28"/>
    </row>
    <row r="203" spans="5:5" ht="13">
      <c r="E203" s="28"/>
    </row>
    <row r="204" spans="5:5" ht="13">
      <c r="E204" s="28"/>
    </row>
    <row r="205" spans="5:5" ht="13">
      <c r="E205" s="28"/>
    </row>
    <row r="206" spans="5:5" ht="13">
      <c r="E206" s="28"/>
    </row>
    <row r="207" spans="5:5" ht="13">
      <c r="E207" s="28"/>
    </row>
    <row r="208" spans="5:5" ht="13">
      <c r="E208" s="28"/>
    </row>
    <row r="209" spans="5:5" ht="13">
      <c r="E209" s="28"/>
    </row>
    <row r="210" spans="5:5" ht="13">
      <c r="E210" s="28"/>
    </row>
    <row r="211" spans="5:5" ht="13">
      <c r="E211" s="28"/>
    </row>
    <row r="212" spans="5:5" ht="13">
      <c r="E212" s="28"/>
    </row>
    <row r="213" spans="5:5" ht="13">
      <c r="E213" s="28"/>
    </row>
    <row r="214" spans="5:5" ht="13">
      <c r="E214" s="28"/>
    </row>
    <row r="215" spans="5:5" ht="13">
      <c r="E215" s="28"/>
    </row>
    <row r="216" spans="5:5" ht="13">
      <c r="E216" s="28"/>
    </row>
    <row r="217" spans="5:5" ht="13">
      <c r="E217" s="28"/>
    </row>
    <row r="218" spans="5:5" ht="13">
      <c r="E218" s="28"/>
    </row>
    <row r="219" spans="5:5" ht="13">
      <c r="E219" s="28"/>
    </row>
    <row r="220" spans="5:5" ht="13">
      <c r="E220" s="28"/>
    </row>
    <row r="221" spans="5:5" ht="13">
      <c r="E221" s="28"/>
    </row>
    <row r="222" spans="5:5" ht="13">
      <c r="E222" s="28"/>
    </row>
    <row r="223" spans="5:5" ht="13">
      <c r="E223" s="28"/>
    </row>
    <row r="224" spans="5:5" ht="13">
      <c r="E224" s="28"/>
    </row>
    <row r="225" spans="5:5" ht="13">
      <c r="E225" s="28"/>
    </row>
    <row r="226" spans="5:5" ht="13">
      <c r="E226" s="28"/>
    </row>
    <row r="227" spans="5:5" ht="13">
      <c r="E227" s="28"/>
    </row>
    <row r="228" spans="5:5" ht="13">
      <c r="E228" s="28"/>
    </row>
    <row r="229" spans="5:5" ht="13">
      <c r="E229" s="28"/>
    </row>
    <row r="230" spans="5:5" ht="13">
      <c r="E230" s="28"/>
    </row>
    <row r="231" spans="5:5" ht="13">
      <c r="E231" s="28"/>
    </row>
    <row r="232" spans="5:5" ht="13">
      <c r="E232" s="28"/>
    </row>
    <row r="233" spans="5:5" ht="13">
      <c r="E233" s="28"/>
    </row>
    <row r="234" spans="5:5" ht="13">
      <c r="E234" s="28"/>
    </row>
    <row r="235" spans="5:5" ht="13">
      <c r="E235" s="28"/>
    </row>
    <row r="236" spans="5:5" ht="13">
      <c r="E236" s="28"/>
    </row>
    <row r="237" spans="5:5" ht="13">
      <c r="E237" s="28"/>
    </row>
    <row r="238" spans="5:5" ht="13">
      <c r="E238" s="28"/>
    </row>
    <row r="239" spans="5:5" ht="13">
      <c r="E239" s="28"/>
    </row>
    <row r="240" spans="5:5" ht="13">
      <c r="E240" s="28"/>
    </row>
    <row r="241" spans="5:5" ht="13">
      <c r="E241" s="28"/>
    </row>
    <row r="242" spans="5:5" ht="13">
      <c r="E242" s="28"/>
    </row>
    <row r="243" spans="5:5" ht="13">
      <c r="E243" s="28"/>
    </row>
    <row r="244" spans="5:5" ht="13">
      <c r="E244" s="28"/>
    </row>
    <row r="245" spans="5:5" ht="13">
      <c r="E245" s="28"/>
    </row>
    <row r="246" spans="5:5" ht="13">
      <c r="E246" s="28"/>
    </row>
    <row r="247" spans="5:5" ht="13">
      <c r="E247" s="28"/>
    </row>
    <row r="248" spans="5:5" ht="13">
      <c r="E248" s="28"/>
    </row>
    <row r="249" spans="5:5" ht="13">
      <c r="E249" s="28"/>
    </row>
    <row r="250" spans="5:5" ht="13">
      <c r="E250" s="28"/>
    </row>
    <row r="251" spans="5:5" ht="13">
      <c r="E251" s="28"/>
    </row>
    <row r="252" spans="5:5" ht="13">
      <c r="E252" s="28"/>
    </row>
    <row r="253" spans="5:5" ht="13">
      <c r="E253" s="28"/>
    </row>
    <row r="254" spans="5:5" ht="13">
      <c r="E254" s="28"/>
    </row>
    <row r="255" spans="5:5" ht="13">
      <c r="E255" s="28"/>
    </row>
    <row r="256" spans="5:5" ht="13">
      <c r="E256" s="28"/>
    </row>
    <row r="257" spans="5:5" ht="13">
      <c r="E257" s="28"/>
    </row>
    <row r="258" spans="5:5" ht="13">
      <c r="E258" s="28"/>
    </row>
    <row r="259" spans="5:5" ht="13">
      <c r="E259" s="28"/>
    </row>
    <row r="260" spans="5:5" ht="13">
      <c r="E260" s="28"/>
    </row>
    <row r="261" spans="5:5" ht="13">
      <c r="E261" s="28"/>
    </row>
    <row r="262" spans="5:5" ht="13">
      <c r="E262" s="28"/>
    </row>
    <row r="263" spans="5:5" ht="13">
      <c r="E263" s="28"/>
    </row>
    <row r="264" spans="5:5" ht="13">
      <c r="E264" s="28"/>
    </row>
    <row r="265" spans="5:5" ht="13">
      <c r="E265" s="28"/>
    </row>
    <row r="266" spans="5:5" ht="13">
      <c r="E266" s="28"/>
    </row>
    <row r="267" spans="5:5" ht="13">
      <c r="E267" s="28"/>
    </row>
    <row r="268" spans="5:5" ht="13">
      <c r="E268" s="28"/>
    </row>
    <row r="269" spans="5:5" ht="13">
      <c r="E269" s="28"/>
    </row>
    <row r="270" spans="5:5" ht="13">
      <c r="E270" s="28"/>
    </row>
    <row r="271" spans="5:5" ht="13">
      <c r="E271" s="28"/>
    </row>
    <row r="272" spans="5:5" ht="13">
      <c r="E272" s="28"/>
    </row>
    <row r="273" spans="5:5" ht="13">
      <c r="E273" s="28"/>
    </row>
    <row r="274" spans="5:5" ht="13">
      <c r="E274" s="28"/>
    </row>
    <row r="275" spans="5:5" ht="13">
      <c r="E275" s="28"/>
    </row>
    <row r="276" spans="5:5" ht="13">
      <c r="E276" s="28"/>
    </row>
    <row r="277" spans="5:5" ht="13">
      <c r="E277" s="28"/>
    </row>
    <row r="278" spans="5:5" ht="13">
      <c r="E278" s="28"/>
    </row>
    <row r="279" spans="5:5" ht="13">
      <c r="E279" s="28"/>
    </row>
    <row r="280" spans="5:5" ht="13">
      <c r="E280" s="28"/>
    </row>
    <row r="281" spans="5:5" ht="13">
      <c r="E281" s="28"/>
    </row>
    <row r="282" spans="5:5" ht="13">
      <c r="E282" s="28"/>
    </row>
    <row r="283" spans="5:5" ht="13">
      <c r="E283" s="28"/>
    </row>
    <row r="284" spans="5:5" ht="13">
      <c r="E284" s="28"/>
    </row>
    <row r="285" spans="5:5" ht="13">
      <c r="E285" s="28"/>
    </row>
    <row r="286" spans="5:5" ht="13">
      <c r="E286" s="28"/>
    </row>
    <row r="287" spans="5:5" ht="13">
      <c r="E287" s="28"/>
    </row>
    <row r="288" spans="5:5" ht="13">
      <c r="E288" s="28"/>
    </row>
    <row r="289" spans="5:5" ht="13">
      <c r="E289" s="28"/>
    </row>
    <row r="290" spans="5:5" ht="13">
      <c r="E290" s="28"/>
    </row>
    <row r="291" spans="5:5" ht="13">
      <c r="E291" s="28"/>
    </row>
    <row r="292" spans="5:5" ht="13">
      <c r="E292" s="28"/>
    </row>
    <row r="293" spans="5:5" ht="13">
      <c r="E293" s="28"/>
    </row>
    <row r="294" spans="5:5" ht="13">
      <c r="E294" s="28"/>
    </row>
    <row r="295" spans="5:5" ht="13">
      <c r="E295" s="28"/>
    </row>
    <row r="296" spans="5:5" ht="13">
      <c r="E296" s="28"/>
    </row>
    <row r="297" spans="5:5" ht="13">
      <c r="E297" s="28"/>
    </row>
    <row r="298" spans="5:5" ht="13">
      <c r="E298" s="28"/>
    </row>
    <row r="299" spans="5:5" ht="13">
      <c r="E299" s="28"/>
    </row>
    <row r="300" spans="5:5" ht="13">
      <c r="E300" s="28"/>
    </row>
    <row r="301" spans="5:5" ht="13">
      <c r="E301" s="28"/>
    </row>
    <row r="302" spans="5:5" ht="13">
      <c r="E302" s="28"/>
    </row>
    <row r="303" spans="5:5" ht="13">
      <c r="E303" s="28"/>
    </row>
    <row r="304" spans="5:5" ht="13">
      <c r="E304" s="28"/>
    </row>
    <row r="305" spans="5:5" ht="13">
      <c r="E305" s="28"/>
    </row>
    <row r="306" spans="5:5" ht="13">
      <c r="E306" s="28"/>
    </row>
    <row r="307" spans="5:5" ht="13">
      <c r="E307" s="28"/>
    </row>
    <row r="308" spans="5:5" ht="13">
      <c r="E308" s="28"/>
    </row>
    <row r="309" spans="5:5" ht="13">
      <c r="E309" s="28"/>
    </row>
    <row r="310" spans="5:5" ht="13">
      <c r="E310" s="28"/>
    </row>
    <row r="311" spans="5:5" ht="13">
      <c r="E311" s="28"/>
    </row>
    <row r="312" spans="5:5" ht="13">
      <c r="E312" s="28"/>
    </row>
    <row r="313" spans="5:5" ht="13">
      <c r="E313" s="28"/>
    </row>
    <row r="314" spans="5:5" ht="13">
      <c r="E314" s="28"/>
    </row>
    <row r="315" spans="5:5" ht="13">
      <c r="E315" s="28"/>
    </row>
    <row r="316" spans="5:5" ht="13">
      <c r="E316" s="28"/>
    </row>
    <row r="317" spans="5:5" ht="13">
      <c r="E317" s="28"/>
    </row>
    <row r="318" spans="5:5" ht="13">
      <c r="E318" s="28"/>
    </row>
    <row r="319" spans="5:5" ht="13">
      <c r="E319" s="28"/>
    </row>
    <row r="320" spans="5:5" ht="13">
      <c r="E320" s="28"/>
    </row>
    <row r="321" spans="5:5" ht="13">
      <c r="E321" s="28"/>
    </row>
    <row r="322" spans="5:5" ht="13">
      <c r="E322" s="28"/>
    </row>
    <row r="323" spans="5:5" ht="13">
      <c r="E323" s="28"/>
    </row>
    <row r="324" spans="5:5" ht="13">
      <c r="E324" s="28"/>
    </row>
    <row r="325" spans="5:5" ht="13">
      <c r="E325" s="28"/>
    </row>
    <row r="326" spans="5:5" ht="13">
      <c r="E326" s="28"/>
    </row>
    <row r="327" spans="5:5" ht="13">
      <c r="E327" s="28"/>
    </row>
    <row r="328" spans="5:5" ht="13">
      <c r="E328" s="28"/>
    </row>
    <row r="329" spans="5:5" ht="13">
      <c r="E329" s="28"/>
    </row>
    <row r="330" spans="5:5" ht="13">
      <c r="E330" s="28"/>
    </row>
    <row r="331" spans="5:5" ht="13">
      <c r="E331" s="28"/>
    </row>
    <row r="332" spans="5:5" ht="13">
      <c r="E332" s="28"/>
    </row>
    <row r="333" spans="5:5" ht="13">
      <c r="E333" s="28"/>
    </row>
    <row r="334" spans="5:5" ht="13">
      <c r="E334" s="28"/>
    </row>
    <row r="335" spans="5:5" ht="13">
      <c r="E335" s="28"/>
    </row>
    <row r="336" spans="5:5" ht="13">
      <c r="E336" s="28"/>
    </row>
    <row r="337" spans="5:5" ht="13">
      <c r="E337" s="28"/>
    </row>
    <row r="338" spans="5:5" ht="13">
      <c r="E338" s="28"/>
    </row>
    <row r="339" spans="5:5" ht="13">
      <c r="E339" s="28"/>
    </row>
    <row r="340" spans="5:5" ht="13">
      <c r="E340" s="28"/>
    </row>
    <row r="341" spans="5:5" ht="13">
      <c r="E341" s="28"/>
    </row>
    <row r="342" spans="5:5" ht="13">
      <c r="E342" s="28"/>
    </row>
    <row r="343" spans="5:5" ht="13">
      <c r="E343" s="28"/>
    </row>
    <row r="344" spans="5:5" ht="13">
      <c r="E344" s="28"/>
    </row>
    <row r="345" spans="5:5" ht="13">
      <c r="E345" s="28"/>
    </row>
    <row r="346" spans="5:5" ht="13">
      <c r="E346" s="28"/>
    </row>
    <row r="347" spans="5:5" ht="13">
      <c r="E347" s="28"/>
    </row>
    <row r="348" spans="5:5" ht="13">
      <c r="E348" s="28"/>
    </row>
    <row r="349" spans="5:5" ht="13">
      <c r="E349" s="28"/>
    </row>
    <row r="350" spans="5:5" ht="13">
      <c r="E350" s="28"/>
    </row>
    <row r="351" spans="5:5" ht="13">
      <c r="E351" s="28"/>
    </row>
    <row r="352" spans="5:5" ht="13">
      <c r="E352" s="28"/>
    </row>
    <row r="353" spans="5:5" ht="13">
      <c r="E353" s="28"/>
    </row>
    <row r="354" spans="5:5" ht="13">
      <c r="E354" s="28"/>
    </row>
    <row r="355" spans="5:5" ht="13">
      <c r="E355" s="28"/>
    </row>
    <row r="356" spans="5:5" ht="13">
      <c r="E356" s="28"/>
    </row>
    <row r="357" spans="5:5" ht="13">
      <c r="E357" s="28"/>
    </row>
    <row r="358" spans="5:5" ht="13">
      <c r="E358" s="28"/>
    </row>
    <row r="359" spans="5:5" ht="13">
      <c r="E359" s="28"/>
    </row>
    <row r="360" spans="5:5" ht="13">
      <c r="E360" s="28"/>
    </row>
    <row r="361" spans="5:5" ht="13">
      <c r="E361" s="28"/>
    </row>
    <row r="362" spans="5:5" ht="13">
      <c r="E362" s="28"/>
    </row>
    <row r="363" spans="5:5" ht="13">
      <c r="E363" s="28"/>
    </row>
    <row r="364" spans="5:5" ht="13">
      <c r="E364" s="28"/>
    </row>
    <row r="365" spans="5:5" ht="13">
      <c r="E365" s="28"/>
    </row>
    <row r="366" spans="5:5" ht="13">
      <c r="E366" s="28"/>
    </row>
    <row r="367" spans="5:5" ht="13">
      <c r="E367" s="28"/>
    </row>
    <row r="368" spans="5:5" ht="13">
      <c r="E368" s="28"/>
    </row>
    <row r="369" spans="5:5" ht="13">
      <c r="E369" s="28"/>
    </row>
    <row r="370" spans="5:5" ht="13">
      <c r="E370" s="28"/>
    </row>
    <row r="371" spans="5:5" ht="13">
      <c r="E371" s="28"/>
    </row>
    <row r="372" spans="5:5" ht="13">
      <c r="E372" s="28"/>
    </row>
    <row r="373" spans="5:5" ht="13">
      <c r="E373" s="28"/>
    </row>
    <row r="374" spans="5:5" ht="13">
      <c r="E374" s="28"/>
    </row>
    <row r="375" spans="5:5" ht="13">
      <c r="E375" s="28"/>
    </row>
    <row r="376" spans="5:5" ht="13">
      <c r="E376" s="28"/>
    </row>
    <row r="377" spans="5:5" ht="13">
      <c r="E377" s="28"/>
    </row>
    <row r="378" spans="5:5" ht="13">
      <c r="E378" s="28"/>
    </row>
    <row r="379" spans="5:5" ht="13">
      <c r="E379" s="28"/>
    </row>
    <row r="380" spans="5:5" ht="13">
      <c r="E380" s="28"/>
    </row>
    <row r="381" spans="5:5" ht="13">
      <c r="E381" s="28"/>
    </row>
    <row r="382" spans="5:5" ht="13">
      <c r="E382" s="28"/>
    </row>
    <row r="383" spans="5:5" ht="13">
      <c r="E383" s="28"/>
    </row>
    <row r="384" spans="5:5" ht="13">
      <c r="E384" s="28"/>
    </row>
    <row r="385" spans="5:5" ht="13">
      <c r="E385" s="28"/>
    </row>
    <row r="386" spans="5:5" ht="13">
      <c r="E386" s="28"/>
    </row>
    <row r="387" spans="5:5" ht="13">
      <c r="E387" s="28"/>
    </row>
    <row r="388" spans="5:5" ht="13">
      <c r="E388" s="28"/>
    </row>
    <row r="389" spans="5:5" ht="13">
      <c r="E389" s="28"/>
    </row>
    <row r="390" spans="5:5" ht="13">
      <c r="E390" s="28"/>
    </row>
    <row r="391" spans="5:5" ht="13">
      <c r="E391" s="28"/>
    </row>
    <row r="392" spans="5:5" ht="13">
      <c r="E392" s="28"/>
    </row>
    <row r="393" spans="5:5" ht="13">
      <c r="E393" s="28"/>
    </row>
    <row r="394" spans="5:5" ht="13">
      <c r="E394" s="28"/>
    </row>
    <row r="395" spans="5:5" ht="13">
      <c r="E395" s="28"/>
    </row>
    <row r="396" spans="5:5" ht="13">
      <c r="E396" s="28"/>
    </row>
    <row r="397" spans="5:5" ht="13">
      <c r="E397" s="28"/>
    </row>
    <row r="398" spans="5:5" ht="13">
      <c r="E398" s="28"/>
    </row>
    <row r="399" spans="5:5" ht="13">
      <c r="E399" s="28"/>
    </row>
    <row r="400" spans="5:5" ht="13">
      <c r="E400" s="28"/>
    </row>
    <row r="401" spans="5:5" ht="13">
      <c r="E401" s="28"/>
    </row>
    <row r="402" spans="5:5" ht="13">
      <c r="E402" s="28"/>
    </row>
    <row r="403" spans="5:5" ht="13">
      <c r="E403" s="28"/>
    </row>
    <row r="404" spans="5:5" ht="13">
      <c r="E404" s="28"/>
    </row>
    <row r="405" spans="5:5" ht="13">
      <c r="E405" s="28"/>
    </row>
    <row r="406" spans="5:5" ht="13">
      <c r="E406" s="28"/>
    </row>
    <row r="407" spans="5:5" ht="13">
      <c r="E407" s="28"/>
    </row>
    <row r="408" spans="5:5" ht="13">
      <c r="E408" s="28"/>
    </row>
    <row r="409" spans="5:5" ht="13">
      <c r="E409" s="28"/>
    </row>
    <row r="410" spans="5:5" ht="13">
      <c r="E410" s="28"/>
    </row>
    <row r="411" spans="5:5" ht="13">
      <c r="E411" s="28"/>
    </row>
    <row r="412" spans="5:5" ht="13">
      <c r="E412" s="28"/>
    </row>
    <row r="413" spans="5:5" ht="13">
      <c r="E413" s="28"/>
    </row>
    <row r="414" spans="5:5" ht="13">
      <c r="E414" s="28"/>
    </row>
    <row r="415" spans="5:5" ht="13">
      <c r="E415" s="28"/>
    </row>
    <row r="416" spans="5:5" ht="13">
      <c r="E416" s="28"/>
    </row>
    <row r="417" spans="5:5" ht="13">
      <c r="E417" s="28"/>
    </row>
    <row r="418" spans="5:5" ht="13">
      <c r="E418" s="28"/>
    </row>
    <row r="419" spans="5:5" ht="13">
      <c r="E419" s="28"/>
    </row>
    <row r="420" spans="5:5" ht="13">
      <c r="E420" s="28"/>
    </row>
    <row r="421" spans="5:5" ht="13">
      <c r="E421" s="28"/>
    </row>
    <row r="422" spans="5:5" ht="13">
      <c r="E422" s="28"/>
    </row>
    <row r="423" spans="5:5" ht="13">
      <c r="E423" s="28"/>
    </row>
    <row r="424" spans="5:5" ht="13">
      <c r="E424" s="28"/>
    </row>
    <row r="425" spans="5:5" ht="13">
      <c r="E425" s="28"/>
    </row>
    <row r="426" spans="5:5" ht="13">
      <c r="E426" s="28"/>
    </row>
    <row r="427" spans="5:5" ht="13">
      <c r="E427" s="28"/>
    </row>
    <row r="428" spans="5:5" ht="13">
      <c r="E428" s="28"/>
    </row>
    <row r="429" spans="5:5" ht="13">
      <c r="E429" s="28"/>
    </row>
    <row r="430" spans="5:5" ht="13">
      <c r="E430" s="28"/>
    </row>
    <row r="431" spans="5:5" ht="13">
      <c r="E431" s="28"/>
    </row>
    <row r="432" spans="5:5" ht="13">
      <c r="E432" s="28"/>
    </row>
    <row r="433" spans="5:5" ht="13">
      <c r="E433" s="28"/>
    </row>
    <row r="434" spans="5:5" ht="13">
      <c r="E434" s="28"/>
    </row>
    <row r="435" spans="5:5" ht="13">
      <c r="E435" s="28"/>
    </row>
    <row r="436" spans="5:5" ht="13">
      <c r="E436" s="28"/>
    </row>
    <row r="437" spans="5:5" ht="13">
      <c r="E437" s="28"/>
    </row>
    <row r="438" spans="5:5" ht="13">
      <c r="E438" s="28"/>
    </row>
    <row r="439" spans="5:5" ht="13">
      <c r="E439" s="28"/>
    </row>
    <row r="440" spans="5:5" ht="13">
      <c r="E440" s="28"/>
    </row>
    <row r="441" spans="5:5" ht="13">
      <c r="E441" s="28"/>
    </row>
    <row r="442" spans="5:5" ht="13">
      <c r="E442" s="28"/>
    </row>
    <row r="443" spans="5:5" ht="13">
      <c r="E443" s="28"/>
    </row>
    <row r="444" spans="5:5" ht="13">
      <c r="E444" s="28"/>
    </row>
    <row r="445" spans="5:5" ht="13">
      <c r="E445" s="28"/>
    </row>
    <row r="446" spans="5:5" ht="13">
      <c r="E446" s="28"/>
    </row>
    <row r="447" spans="5:5" ht="13">
      <c r="E447" s="28"/>
    </row>
    <row r="448" spans="5:5" ht="13">
      <c r="E448" s="28"/>
    </row>
    <row r="449" spans="5:5" ht="13">
      <c r="E449" s="28"/>
    </row>
    <row r="450" spans="5:5" ht="13">
      <c r="E450" s="28"/>
    </row>
    <row r="451" spans="5:5" ht="13">
      <c r="E451" s="28"/>
    </row>
    <row r="452" spans="5:5" ht="13">
      <c r="E452" s="28"/>
    </row>
    <row r="453" spans="5:5" ht="13">
      <c r="E453" s="28"/>
    </row>
    <row r="454" spans="5:5" ht="13">
      <c r="E454" s="28"/>
    </row>
    <row r="455" spans="5:5" ht="13">
      <c r="E455" s="28"/>
    </row>
    <row r="456" spans="5:5" ht="13">
      <c r="E456" s="28"/>
    </row>
    <row r="457" spans="5:5" ht="13">
      <c r="E457" s="28"/>
    </row>
    <row r="458" spans="5:5" ht="13">
      <c r="E458" s="28"/>
    </row>
    <row r="459" spans="5:5" ht="13">
      <c r="E459" s="28"/>
    </row>
    <row r="460" spans="5:5" ht="13">
      <c r="E460" s="28"/>
    </row>
    <row r="461" spans="5:5" ht="13">
      <c r="E461" s="28"/>
    </row>
    <row r="462" spans="5:5" ht="13">
      <c r="E462" s="28"/>
    </row>
    <row r="463" spans="5:5" ht="13">
      <c r="E463" s="28"/>
    </row>
    <row r="464" spans="5:5" ht="13">
      <c r="E464" s="28"/>
    </row>
    <row r="465" spans="5:5" ht="13">
      <c r="E465" s="28"/>
    </row>
    <row r="466" spans="5:5" ht="13">
      <c r="E466" s="28"/>
    </row>
    <row r="467" spans="5:5" ht="13">
      <c r="E467" s="28"/>
    </row>
    <row r="468" spans="5:5" ht="13">
      <c r="E468" s="28"/>
    </row>
    <row r="469" spans="5:5" ht="13">
      <c r="E469" s="28"/>
    </row>
    <row r="470" spans="5:5" ht="13">
      <c r="E470" s="28"/>
    </row>
    <row r="471" spans="5:5" ht="13">
      <c r="E471" s="28"/>
    </row>
    <row r="472" spans="5:5" ht="13">
      <c r="E472" s="28"/>
    </row>
    <row r="473" spans="5:5" ht="13">
      <c r="E473" s="28"/>
    </row>
    <row r="474" spans="5:5" ht="13">
      <c r="E474" s="28"/>
    </row>
    <row r="475" spans="5:5" ht="13">
      <c r="E475" s="28"/>
    </row>
    <row r="476" spans="5:5" ht="13">
      <c r="E476" s="28"/>
    </row>
    <row r="477" spans="5:5" ht="13">
      <c r="E477" s="28"/>
    </row>
    <row r="478" spans="5:5" ht="13">
      <c r="E478" s="28"/>
    </row>
    <row r="479" spans="5:5" ht="13">
      <c r="E479" s="28"/>
    </row>
    <row r="480" spans="5:5" ht="13">
      <c r="E480" s="28"/>
    </row>
    <row r="481" spans="5:5" ht="13">
      <c r="E481" s="28"/>
    </row>
    <row r="482" spans="5:5" ht="13">
      <c r="E482" s="28"/>
    </row>
    <row r="483" spans="5:5" ht="13">
      <c r="E483" s="28"/>
    </row>
    <row r="484" spans="5:5" ht="13">
      <c r="E484" s="28"/>
    </row>
    <row r="485" spans="5:5" ht="13">
      <c r="E485" s="28"/>
    </row>
    <row r="486" spans="5:5" ht="13">
      <c r="E486" s="28"/>
    </row>
    <row r="487" spans="5:5" ht="13">
      <c r="E487" s="28"/>
    </row>
    <row r="488" spans="5:5" ht="13">
      <c r="E488" s="28"/>
    </row>
    <row r="489" spans="5:5" ht="13">
      <c r="E489" s="28"/>
    </row>
    <row r="490" spans="5:5" ht="13">
      <c r="E490" s="28"/>
    </row>
    <row r="491" spans="5:5" ht="13">
      <c r="E491" s="28"/>
    </row>
    <row r="492" spans="5:5" ht="13">
      <c r="E492" s="28"/>
    </row>
    <row r="493" spans="5:5" ht="13">
      <c r="E493" s="28"/>
    </row>
    <row r="494" spans="5:5" ht="13">
      <c r="E494" s="28"/>
    </row>
    <row r="495" spans="5:5" ht="13">
      <c r="E495" s="28"/>
    </row>
    <row r="496" spans="5:5" ht="13">
      <c r="E496" s="28"/>
    </row>
    <row r="497" spans="5:5" ht="13">
      <c r="E497" s="28"/>
    </row>
    <row r="498" spans="5:5" ht="13">
      <c r="E498" s="28"/>
    </row>
    <row r="499" spans="5:5" ht="13">
      <c r="E499" s="28"/>
    </row>
    <row r="500" spans="5:5" ht="13">
      <c r="E500" s="28"/>
    </row>
    <row r="501" spans="5:5" ht="13">
      <c r="E501" s="28"/>
    </row>
    <row r="502" spans="5:5" ht="13">
      <c r="E502" s="28"/>
    </row>
    <row r="503" spans="5:5" ht="13">
      <c r="E503" s="28"/>
    </row>
    <row r="504" spans="5:5" ht="13">
      <c r="E504" s="28"/>
    </row>
    <row r="505" spans="5:5" ht="13">
      <c r="E505" s="28"/>
    </row>
    <row r="506" spans="5:5" ht="13">
      <c r="E506" s="28"/>
    </row>
    <row r="507" spans="5:5" ht="13">
      <c r="E507" s="28"/>
    </row>
    <row r="508" spans="5:5" ht="13">
      <c r="E508" s="28"/>
    </row>
    <row r="509" spans="5:5" ht="13">
      <c r="E509" s="28"/>
    </row>
    <row r="510" spans="5:5" ht="13">
      <c r="E510" s="28"/>
    </row>
    <row r="511" spans="5:5" ht="13">
      <c r="E511" s="28"/>
    </row>
    <row r="512" spans="5:5" ht="13">
      <c r="E512" s="28"/>
    </row>
    <row r="513" spans="5:5" ht="13">
      <c r="E513" s="28"/>
    </row>
    <row r="514" spans="5:5" ht="13">
      <c r="E514" s="28"/>
    </row>
    <row r="515" spans="5:5" ht="13">
      <c r="E515" s="28"/>
    </row>
    <row r="516" spans="5:5" ht="13">
      <c r="E516" s="28"/>
    </row>
    <row r="517" spans="5:5" ht="13">
      <c r="E517" s="28"/>
    </row>
    <row r="518" spans="5:5" ht="13">
      <c r="E518" s="28"/>
    </row>
    <row r="519" spans="5:5" ht="13">
      <c r="E519" s="28"/>
    </row>
    <row r="520" spans="5:5" ht="13">
      <c r="E520" s="28"/>
    </row>
    <row r="521" spans="5:5" ht="13">
      <c r="E521" s="28"/>
    </row>
    <row r="522" spans="5:5" ht="13">
      <c r="E522" s="28"/>
    </row>
    <row r="523" spans="5:5" ht="13">
      <c r="E523" s="28"/>
    </row>
    <row r="524" spans="5:5" ht="13">
      <c r="E524" s="28"/>
    </row>
    <row r="525" spans="5:5" ht="13">
      <c r="E525" s="28"/>
    </row>
    <row r="526" spans="5:5" ht="13">
      <c r="E526" s="28"/>
    </row>
    <row r="527" spans="5:5" ht="13">
      <c r="E527" s="28"/>
    </row>
    <row r="528" spans="5:5" ht="13">
      <c r="E528" s="28"/>
    </row>
    <row r="529" spans="5:5" ht="13">
      <c r="E529" s="28"/>
    </row>
    <row r="530" spans="5:5" ht="13">
      <c r="E530" s="28"/>
    </row>
    <row r="531" spans="5:5" ht="13">
      <c r="E531" s="28"/>
    </row>
    <row r="532" spans="5:5" ht="13">
      <c r="E532" s="28"/>
    </row>
    <row r="533" spans="5:5" ht="13">
      <c r="E533" s="28"/>
    </row>
    <row r="534" spans="5:5" ht="13">
      <c r="E534" s="28"/>
    </row>
    <row r="535" spans="5:5" ht="13">
      <c r="E535" s="28"/>
    </row>
    <row r="536" spans="5:5" ht="13">
      <c r="E536" s="28"/>
    </row>
    <row r="537" spans="5:5" ht="13">
      <c r="E537" s="28"/>
    </row>
    <row r="538" spans="5:5" ht="13">
      <c r="E538" s="28"/>
    </row>
    <row r="539" spans="5:5" ht="13">
      <c r="E539" s="28"/>
    </row>
    <row r="540" spans="5:5" ht="13">
      <c r="E540" s="28"/>
    </row>
    <row r="541" spans="5:5" ht="13">
      <c r="E541" s="28"/>
    </row>
    <row r="542" spans="5:5" ht="13">
      <c r="E542" s="28"/>
    </row>
    <row r="543" spans="5:5" ht="13">
      <c r="E543" s="28"/>
    </row>
    <row r="544" spans="5:5" ht="13">
      <c r="E544" s="28"/>
    </row>
    <row r="545" spans="5:5" ht="13">
      <c r="E545" s="28"/>
    </row>
    <row r="546" spans="5:5" ht="13">
      <c r="E546" s="28"/>
    </row>
    <row r="547" spans="5:5" ht="13">
      <c r="E547" s="28"/>
    </row>
    <row r="548" spans="5:5" ht="13">
      <c r="E548" s="28"/>
    </row>
    <row r="549" spans="5:5" ht="13">
      <c r="E549" s="28"/>
    </row>
    <row r="550" spans="5:5" ht="13">
      <c r="E550" s="28"/>
    </row>
    <row r="551" spans="5:5" ht="13">
      <c r="E551" s="28"/>
    </row>
    <row r="552" spans="5:5" ht="13">
      <c r="E552" s="28"/>
    </row>
    <row r="553" spans="5:5" ht="13">
      <c r="E553" s="28"/>
    </row>
    <row r="554" spans="5:5" ht="13">
      <c r="E554" s="28"/>
    </row>
    <row r="555" spans="5:5" ht="13">
      <c r="E555" s="28"/>
    </row>
    <row r="556" spans="5:5" ht="13">
      <c r="E556" s="28"/>
    </row>
    <row r="557" spans="5:5" ht="13">
      <c r="E557" s="28"/>
    </row>
    <row r="558" spans="5:5" ht="13">
      <c r="E558" s="28"/>
    </row>
    <row r="559" spans="5:5" ht="13">
      <c r="E559" s="28"/>
    </row>
    <row r="560" spans="5:5" ht="13">
      <c r="E560" s="28"/>
    </row>
    <row r="561" spans="5:5" ht="13">
      <c r="E561" s="28"/>
    </row>
    <row r="562" spans="5:5" ht="13">
      <c r="E562" s="28"/>
    </row>
    <row r="563" spans="5:5" ht="13">
      <c r="E563" s="28"/>
    </row>
    <row r="564" spans="5:5" ht="13">
      <c r="E564" s="28"/>
    </row>
    <row r="565" spans="5:5" ht="13">
      <c r="E565" s="28"/>
    </row>
    <row r="566" spans="5:5" ht="13">
      <c r="E566" s="28"/>
    </row>
    <row r="567" spans="5:5" ht="13">
      <c r="E567" s="28"/>
    </row>
    <row r="568" spans="5:5" ht="13">
      <c r="E568" s="28"/>
    </row>
    <row r="569" spans="5:5" ht="13">
      <c r="E569" s="28"/>
    </row>
    <row r="570" spans="5:5" ht="13">
      <c r="E570" s="28"/>
    </row>
    <row r="571" spans="5:5" ht="13">
      <c r="E571" s="28"/>
    </row>
    <row r="572" spans="5:5" ht="13">
      <c r="E572" s="28"/>
    </row>
    <row r="573" spans="5:5" ht="13">
      <c r="E573" s="28"/>
    </row>
    <row r="574" spans="5:5" ht="13">
      <c r="E574" s="28"/>
    </row>
    <row r="575" spans="5:5" ht="13">
      <c r="E575" s="28"/>
    </row>
    <row r="576" spans="5:5" ht="13">
      <c r="E576" s="28"/>
    </row>
    <row r="577" spans="5:5" ht="13">
      <c r="E577" s="28"/>
    </row>
    <row r="578" spans="5:5" ht="13">
      <c r="E578" s="28"/>
    </row>
    <row r="579" spans="5:5" ht="13">
      <c r="E579" s="28"/>
    </row>
    <row r="580" spans="5:5" ht="13">
      <c r="E580" s="28"/>
    </row>
    <row r="581" spans="5:5" ht="13">
      <c r="E581" s="28"/>
    </row>
    <row r="582" spans="5:5" ht="13">
      <c r="E582" s="28"/>
    </row>
    <row r="583" spans="5:5" ht="13">
      <c r="E583" s="28"/>
    </row>
    <row r="584" spans="5:5" ht="13">
      <c r="E584" s="28"/>
    </row>
    <row r="585" spans="5:5" ht="13">
      <c r="E585" s="28"/>
    </row>
    <row r="586" spans="5:5" ht="13">
      <c r="E586" s="28"/>
    </row>
    <row r="587" spans="5:5" ht="13">
      <c r="E587" s="28"/>
    </row>
    <row r="588" spans="5:5" ht="13">
      <c r="E588" s="28"/>
    </row>
    <row r="589" spans="5:5" ht="13">
      <c r="E589" s="28"/>
    </row>
    <row r="590" spans="5:5" ht="13">
      <c r="E590" s="28"/>
    </row>
    <row r="591" spans="5:5" ht="13">
      <c r="E591" s="28"/>
    </row>
    <row r="592" spans="5:5" ht="13">
      <c r="E592" s="28"/>
    </row>
    <row r="593" spans="5:5" ht="13">
      <c r="E593" s="28"/>
    </row>
    <row r="594" spans="5:5" ht="13">
      <c r="E594" s="28"/>
    </row>
    <row r="595" spans="5:5" ht="13">
      <c r="E595" s="28"/>
    </row>
    <row r="596" spans="5:5" ht="13">
      <c r="E596" s="28"/>
    </row>
    <row r="597" spans="5:5" ht="13">
      <c r="E597" s="28"/>
    </row>
    <row r="598" spans="5:5" ht="13">
      <c r="E598" s="28"/>
    </row>
    <row r="599" spans="5:5" ht="13">
      <c r="E599" s="28"/>
    </row>
    <row r="600" spans="5:5" ht="13">
      <c r="E600" s="28"/>
    </row>
    <row r="601" spans="5:5" ht="13">
      <c r="E601" s="28"/>
    </row>
    <row r="602" spans="5:5" ht="13">
      <c r="E602" s="28"/>
    </row>
    <row r="603" spans="5:5" ht="13">
      <c r="E603" s="28"/>
    </row>
    <row r="604" spans="5:5" ht="13">
      <c r="E604" s="28"/>
    </row>
    <row r="605" spans="5:5" ht="13">
      <c r="E605" s="28"/>
    </row>
    <row r="606" spans="5:5" ht="13">
      <c r="E606" s="28"/>
    </row>
    <row r="607" spans="5:5" ht="13">
      <c r="E607" s="28"/>
    </row>
    <row r="608" spans="5:5" ht="13">
      <c r="E608" s="28"/>
    </row>
    <row r="609" spans="5:5" ht="13">
      <c r="E609" s="28"/>
    </row>
    <row r="610" spans="5:5" ht="13">
      <c r="E610" s="28"/>
    </row>
    <row r="611" spans="5:5" ht="13">
      <c r="E611" s="28"/>
    </row>
    <row r="612" spans="5:5" ht="13">
      <c r="E612" s="28"/>
    </row>
    <row r="613" spans="5:5" ht="13">
      <c r="E613" s="28"/>
    </row>
    <row r="614" spans="5:5" ht="13">
      <c r="E614" s="28"/>
    </row>
    <row r="615" spans="5:5" ht="13">
      <c r="E615" s="28"/>
    </row>
    <row r="616" spans="5:5" ht="13">
      <c r="E616" s="28"/>
    </row>
    <row r="617" spans="5:5" ht="13">
      <c r="E617" s="28"/>
    </row>
    <row r="618" spans="5:5" ht="13">
      <c r="E618" s="28"/>
    </row>
    <row r="619" spans="5:5" ht="13">
      <c r="E619" s="28"/>
    </row>
    <row r="620" spans="5:5" ht="13">
      <c r="E620" s="28"/>
    </row>
    <row r="621" spans="5:5" ht="13">
      <c r="E621" s="28"/>
    </row>
    <row r="622" spans="5:5" ht="13">
      <c r="E622" s="28"/>
    </row>
    <row r="623" spans="5:5" ht="13">
      <c r="E623" s="28"/>
    </row>
    <row r="624" spans="5:5" ht="13">
      <c r="E624" s="28"/>
    </row>
    <row r="625" spans="5:5" ht="13">
      <c r="E625" s="28"/>
    </row>
    <row r="626" spans="5:5" ht="13">
      <c r="E626" s="28"/>
    </row>
    <row r="627" spans="5:5" ht="13">
      <c r="E627" s="28"/>
    </row>
    <row r="628" spans="5:5" ht="13">
      <c r="E628" s="28"/>
    </row>
    <row r="629" spans="5:5" ht="13">
      <c r="E629" s="28"/>
    </row>
    <row r="630" spans="5:5" ht="13">
      <c r="E630" s="28"/>
    </row>
    <row r="631" spans="5:5" ht="13">
      <c r="E631" s="28"/>
    </row>
    <row r="632" spans="5:5" ht="13">
      <c r="E632" s="28"/>
    </row>
    <row r="633" spans="5:5" ht="13">
      <c r="E633" s="28"/>
    </row>
    <row r="634" spans="5:5" ht="13">
      <c r="E634" s="28"/>
    </row>
    <row r="635" spans="5:5" ht="13">
      <c r="E635" s="28"/>
    </row>
    <row r="636" spans="5:5" ht="13">
      <c r="E636" s="28"/>
    </row>
    <row r="637" spans="5:5" ht="13">
      <c r="E637" s="28"/>
    </row>
    <row r="638" spans="5:5" ht="13">
      <c r="E638" s="28"/>
    </row>
    <row r="639" spans="5:5" ht="13">
      <c r="E639" s="28"/>
    </row>
    <row r="640" spans="5:5" ht="13">
      <c r="E640" s="28"/>
    </row>
    <row r="641" spans="5:5" ht="13">
      <c r="E641" s="28"/>
    </row>
    <row r="642" spans="5:5" ht="13">
      <c r="E642" s="28"/>
    </row>
    <row r="643" spans="5:5" ht="13">
      <c r="E643" s="28"/>
    </row>
    <row r="644" spans="5:5" ht="13">
      <c r="E644" s="28"/>
    </row>
    <row r="645" spans="5:5" ht="13">
      <c r="E645" s="28"/>
    </row>
    <row r="646" spans="5:5" ht="13">
      <c r="E646" s="28"/>
    </row>
    <row r="647" spans="5:5" ht="13">
      <c r="E647" s="28"/>
    </row>
    <row r="648" spans="5:5" ht="13">
      <c r="E648" s="28"/>
    </row>
    <row r="649" spans="5:5" ht="13">
      <c r="E649" s="28"/>
    </row>
    <row r="650" spans="5:5" ht="13">
      <c r="E650" s="28"/>
    </row>
    <row r="651" spans="5:5" ht="13">
      <c r="E651" s="28"/>
    </row>
    <row r="652" spans="5:5" ht="13">
      <c r="E652" s="28"/>
    </row>
    <row r="653" spans="5:5" ht="13">
      <c r="E653" s="28"/>
    </row>
    <row r="654" spans="5:5" ht="13">
      <c r="E654" s="28"/>
    </row>
    <row r="655" spans="5:5" ht="13">
      <c r="E655" s="28"/>
    </row>
    <row r="656" spans="5:5" ht="13">
      <c r="E656" s="28"/>
    </row>
    <row r="657" spans="5:5" ht="13">
      <c r="E657" s="28"/>
    </row>
    <row r="658" spans="5:5" ht="13">
      <c r="E658" s="28"/>
    </row>
    <row r="659" spans="5:5" ht="13">
      <c r="E659" s="28"/>
    </row>
    <row r="660" spans="5:5" ht="13">
      <c r="E660" s="28"/>
    </row>
    <row r="661" spans="5:5" ht="13">
      <c r="E661" s="28"/>
    </row>
    <row r="662" spans="5:5" ht="13">
      <c r="E662" s="28"/>
    </row>
    <row r="663" spans="5:5" ht="13">
      <c r="E663" s="28"/>
    </row>
    <row r="664" spans="5:5" ht="13">
      <c r="E664" s="28"/>
    </row>
    <row r="665" spans="5:5" ht="13">
      <c r="E665" s="28"/>
    </row>
    <row r="666" spans="5:5" ht="13">
      <c r="E666" s="28"/>
    </row>
    <row r="667" spans="5:5" ht="13">
      <c r="E667" s="28"/>
    </row>
    <row r="668" spans="5:5" ht="13">
      <c r="E668" s="28"/>
    </row>
    <row r="669" spans="5:5" ht="13">
      <c r="E669" s="28"/>
    </row>
    <row r="670" spans="5:5" ht="13">
      <c r="E670" s="28"/>
    </row>
    <row r="671" spans="5:5" ht="13">
      <c r="E671" s="28"/>
    </row>
    <row r="672" spans="5:5" ht="13">
      <c r="E672" s="28"/>
    </row>
    <row r="673" spans="5:5" ht="13">
      <c r="E673" s="28"/>
    </row>
    <row r="674" spans="5:5" ht="13">
      <c r="E674" s="28"/>
    </row>
    <row r="675" spans="5:5" ht="13">
      <c r="E675" s="28"/>
    </row>
    <row r="676" spans="5:5" ht="13">
      <c r="E676" s="28"/>
    </row>
    <row r="677" spans="5:5" ht="13">
      <c r="E677" s="28"/>
    </row>
    <row r="678" spans="5:5" ht="13">
      <c r="E678" s="28"/>
    </row>
    <row r="679" spans="5:5" ht="13">
      <c r="E679" s="28"/>
    </row>
    <row r="680" spans="5:5" ht="13">
      <c r="E680" s="28"/>
    </row>
    <row r="681" spans="5:5" ht="13">
      <c r="E681" s="28"/>
    </row>
    <row r="682" spans="5:5" ht="13">
      <c r="E682" s="28"/>
    </row>
    <row r="683" spans="5:5" ht="13">
      <c r="E683" s="28"/>
    </row>
    <row r="684" spans="5:5" ht="13">
      <c r="E684" s="28"/>
    </row>
    <row r="685" spans="5:5" ht="13">
      <c r="E685" s="28"/>
    </row>
    <row r="686" spans="5:5" ht="13">
      <c r="E686" s="28"/>
    </row>
    <row r="687" spans="5:5" ht="13">
      <c r="E687" s="28"/>
    </row>
    <row r="688" spans="5:5" ht="13">
      <c r="E688" s="28"/>
    </row>
    <row r="689" spans="5:5" ht="13">
      <c r="E689" s="28"/>
    </row>
    <row r="690" spans="5:5" ht="13">
      <c r="E690" s="28"/>
    </row>
    <row r="691" spans="5:5" ht="13">
      <c r="E691" s="28"/>
    </row>
    <row r="692" spans="5:5" ht="13">
      <c r="E692" s="28"/>
    </row>
    <row r="693" spans="5:5" ht="13">
      <c r="E693" s="28"/>
    </row>
    <row r="694" spans="5:5" ht="13">
      <c r="E694" s="28"/>
    </row>
    <row r="695" spans="5:5" ht="13">
      <c r="E695" s="28"/>
    </row>
    <row r="696" spans="5:5" ht="13">
      <c r="E696" s="28"/>
    </row>
    <row r="697" spans="5:5" ht="13">
      <c r="E697" s="28"/>
    </row>
    <row r="698" spans="5:5" ht="13">
      <c r="E698" s="28"/>
    </row>
    <row r="699" spans="5:5" ht="13">
      <c r="E699" s="28"/>
    </row>
    <row r="700" spans="5:5" ht="13">
      <c r="E700" s="28"/>
    </row>
    <row r="701" spans="5:5" ht="13">
      <c r="E701" s="28"/>
    </row>
    <row r="702" spans="5:5" ht="13">
      <c r="E702" s="28"/>
    </row>
    <row r="703" spans="5:5" ht="13">
      <c r="E703" s="28"/>
    </row>
    <row r="704" spans="5:5" ht="13">
      <c r="E704" s="28"/>
    </row>
    <row r="705" spans="5:5" ht="13">
      <c r="E705" s="28"/>
    </row>
    <row r="706" spans="5:5" ht="13">
      <c r="E706" s="28"/>
    </row>
    <row r="707" spans="5:5" ht="13">
      <c r="E707" s="28"/>
    </row>
    <row r="708" spans="5:5" ht="13">
      <c r="E708" s="28"/>
    </row>
    <row r="709" spans="5:5" ht="13">
      <c r="E709" s="28"/>
    </row>
    <row r="710" spans="5:5" ht="13">
      <c r="E710" s="28"/>
    </row>
    <row r="711" spans="5:5" ht="13">
      <c r="E711" s="28"/>
    </row>
    <row r="712" spans="5:5" ht="13">
      <c r="E712" s="28"/>
    </row>
    <row r="713" spans="5:5" ht="13">
      <c r="E713" s="28"/>
    </row>
    <row r="714" spans="5:5" ht="13">
      <c r="E714" s="28"/>
    </row>
    <row r="715" spans="5:5" ht="13">
      <c r="E715" s="28"/>
    </row>
    <row r="716" spans="5:5" ht="13">
      <c r="E716" s="28"/>
    </row>
    <row r="717" spans="5:5" ht="13">
      <c r="E717" s="28"/>
    </row>
    <row r="718" spans="5:5" ht="13">
      <c r="E718" s="28"/>
    </row>
    <row r="719" spans="5:5" ht="13">
      <c r="E719" s="28"/>
    </row>
    <row r="720" spans="5:5" ht="13">
      <c r="E720" s="28"/>
    </row>
    <row r="721" spans="5:5" ht="13">
      <c r="E721" s="28"/>
    </row>
    <row r="722" spans="5:5" ht="13">
      <c r="E722" s="28"/>
    </row>
    <row r="723" spans="5:5" ht="13">
      <c r="E723" s="28"/>
    </row>
    <row r="724" spans="5:5" ht="13">
      <c r="E724" s="28"/>
    </row>
    <row r="725" spans="5:5" ht="13">
      <c r="E725" s="28"/>
    </row>
    <row r="726" spans="5:5" ht="13">
      <c r="E726" s="28"/>
    </row>
    <row r="727" spans="5:5" ht="13">
      <c r="E727" s="28"/>
    </row>
    <row r="728" spans="5:5" ht="13">
      <c r="E728" s="28"/>
    </row>
    <row r="729" spans="5:5" ht="13">
      <c r="E729" s="28"/>
    </row>
    <row r="730" spans="5:5" ht="13">
      <c r="E730" s="28"/>
    </row>
    <row r="731" spans="5:5" ht="13">
      <c r="E731" s="28"/>
    </row>
    <row r="732" spans="5:5" ht="13">
      <c r="E732" s="28"/>
    </row>
    <row r="733" spans="5:5" ht="13">
      <c r="E733" s="28"/>
    </row>
    <row r="734" spans="5:5" ht="13">
      <c r="E734" s="28"/>
    </row>
    <row r="735" spans="5:5" ht="13">
      <c r="E735" s="28"/>
    </row>
    <row r="736" spans="5:5" ht="13">
      <c r="E736" s="28"/>
    </row>
    <row r="737" spans="5:5" ht="13">
      <c r="E737" s="28"/>
    </row>
    <row r="738" spans="5:5" ht="13">
      <c r="E738" s="28"/>
    </row>
    <row r="739" spans="5:5" ht="13">
      <c r="E739" s="28"/>
    </row>
    <row r="740" spans="5:5" ht="13">
      <c r="E740" s="28"/>
    </row>
    <row r="741" spans="5:5" ht="13">
      <c r="E741" s="28"/>
    </row>
    <row r="742" spans="5:5" ht="13">
      <c r="E742" s="28"/>
    </row>
    <row r="743" spans="5:5" ht="13">
      <c r="E743" s="28"/>
    </row>
    <row r="744" spans="5:5" ht="13">
      <c r="E744" s="28"/>
    </row>
    <row r="745" spans="5:5" ht="13">
      <c r="E745" s="28"/>
    </row>
    <row r="746" spans="5:5" ht="13">
      <c r="E746" s="28"/>
    </row>
    <row r="747" spans="5:5" ht="13">
      <c r="E747" s="28"/>
    </row>
    <row r="748" spans="5:5" ht="13">
      <c r="E748" s="28"/>
    </row>
    <row r="749" spans="5:5" ht="13">
      <c r="E749" s="28"/>
    </row>
    <row r="750" spans="5:5" ht="13">
      <c r="E750" s="28"/>
    </row>
    <row r="751" spans="5:5" ht="13">
      <c r="E751" s="28"/>
    </row>
    <row r="752" spans="5:5" ht="13">
      <c r="E752" s="28"/>
    </row>
    <row r="753" spans="5:5" ht="13">
      <c r="E753" s="28"/>
    </row>
    <row r="754" spans="5:5" ht="13">
      <c r="E754" s="28"/>
    </row>
    <row r="755" spans="5:5" ht="13">
      <c r="E755" s="28"/>
    </row>
    <row r="756" spans="5:5" ht="13">
      <c r="E756" s="28"/>
    </row>
    <row r="757" spans="5:5" ht="13">
      <c r="E757" s="28"/>
    </row>
    <row r="758" spans="5:5" ht="13">
      <c r="E758" s="28"/>
    </row>
    <row r="759" spans="5:5" ht="13">
      <c r="E759" s="28"/>
    </row>
    <row r="760" spans="5:5" ht="13">
      <c r="E760" s="28"/>
    </row>
    <row r="761" spans="5:5" ht="13">
      <c r="E761" s="28"/>
    </row>
    <row r="762" spans="5:5" ht="13">
      <c r="E762" s="28"/>
    </row>
    <row r="763" spans="5:5" ht="13">
      <c r="E763" s="28"/>
    </row>
    <row r="764" spans="5:5" ht="13">
      <c r="E764" s="28"/>
    </row>
    <row r="765" spans="5:5" ht="13">
      <c r="E765" s="28"/>
    </row>
    <row r="766" spans="5:5" ht="13">
      <c r="E766" s="28"/>
    </row>
    <row r="767" spans="5:5" ht="13">
      <c r="E767" s="28"/>
    </row>
    <row r="768" spans="5:5" ht="13">
      <c r="E768" s="28"/>
    </row>
    <row r="769" spans="5:5" ht="13">
      <c r="E769" s="28"/>
    </row>
    <row r="770" spans="5:5" ht="13">
      <c r="E770" s="28"/>
    </row>
    <row r="771" spans="5:5" ht="13">
      <c r="E771" s="28"/>
    </row>
    <row r="772" spans="5:5" ht="13">
      <c r="E772" s="28"/>
    </row>
    <row r="773" spans="5:5" ht="13">
      <c r="E773" s="28"/>
    </row>
    <row r="774" spans="5:5" ht="13">
      <c r="E774" s="28"/>
    </row>
    <row r="775" spans="5:5" ht="13">
      <c r="E775" s="28"/>
    </row>
    <row r="776" spans="5:5" ht="13">
      <c r="E776" s="28"/>
    </row>
    <row r="777" spans="5:5" ht="13">
      <c r="E777" s="28"/>
    </row>
    <row r="778" spans="5:5" ht="13">
      <c r="E778" s="28"/>
    </row>
    <row r="779" spans="5:5" ht="13">
      <c r="E779" s="28"/>
    </row>
    <row r="780" spans="5:5" ht="13">
      <c r="E780" s="28"/>
    </row>
    <row r="781" spans="5:5" ht="13">
      <c r="E781" s="28"/>
    </row>
    <row r="782" spans="5:5" ht="13">
      <c r="E782" s="28"/>
    </row>
    <row r="783" spans="5:5" ht="13">
      <c r="E783" s="28"/>
    </row>
    <row r="784" spans="5:5" ht="13">
      <c r="E784" s="28"/>
    </row>
    <row r="785" spans="5:5" ht="13">
      <c r="E785" s="28"/>
    </row>
    <row r="786" spans="5:5" ht="13">
      <c r="E786" s="28"/>
    </row>
    <row r="787" spans="5:5" ht="13">
      <c r="E787" s="28"/>
    </row>
    <row r="788" spans="5:5" ht="13">
      <c r="E788" s="28"/>
    </row>
    <row r="789" spans="5:5" ht="13">
      <c r="E789" s="28"/>
    </row>
    <row r="790" spans="5:5" ht="13">
      <c r="E790" s="28"/>
    </row>
    <row r="791" spans="5:5" ht="13">
      <c r="E791" s="28"/>
    </row>
    <row r="792" spans="5:5" ht="13">
      <c r="E792" s="28"/>
    </row>
    <row r="793" spans="5:5" ht="13">
      <c r="E793" s="28"/>
    </row>
    <row r="794" spans="5:5" ht="13">
      <c r="E794" s="28"/>
    </row>
    <row r="795" spans="5:5" ht="13">
      <c r="E795" s="28"/>
    </row>
    <row r="796" spans="5:5" ht="13">
      <c r="E796" s="28"/>
    </row>
    <row r="797" spans="5:5" ht="13">
      <c r="E797" s="28"/>
    </row>
    <row r="798" spans="5:5" ht="13">
      <c r="E798" s="28"/>
    </row>
    <row r="799" spans="5:5" ht="13">
      <c r="E799" s="28"/>
    </row>
    <row r="800" spans="5:5" ht="13">
      <c r="E800" s="28"/>
    </row>
    <row r="801" spans="5:5" ht="13">
      <c r="E801" s="28"/>
    </row>
    <row r="802" spans="5:5" ht="13">
      <c r="E802" s="28"/>
    </row>
    <row r="803" spans="5:5" ht="13">
      <c r="E803" s="28"/>
    </row>
    <row r="804" spans="5:5" ht="13">
      <c r="E804" s="28"/>
    </row>
    <row r="805" spans="5:5" ht="13">
      <c r="E805" s="28"/>
    </row>
    <row r="806" spans="5:5" ht="13">
      <c r="E806" s="28"/>
    </row>
    <row r="807" spans="5:5" ht="13">
      <c r="E807" s="28"/>
    </row>
    <row r="808" spans="5:5" ht="13">
      <c r="E808" s="28"/>
    </row>
    <row r="809" spans="5:5" ht="13">
      <c r="E809" s="28"/>
    </row>
    <row r="810" spans="5:5" ht="13">
      <c r="E810" s="28"/>
    </row>
    <row r="811" spans="5:5" ht="13">
      <c r="E811" s="28"/>
    </row>
    <row r="812" spans="5:5" ht="13">
      <c r="E812" s="28"/>
    </row>
    <row r="813" spans="5:5" ht="13">
      <c r="E813" s="28"/>
    </row>
    <row r="814" spans="5:5" ht="13">
      <c r="E814" s="28"/>
    </row>
    <row r="815" spans="5:5" ht="13">
      <c r="E815" s="28"/>
    </row>
    <row r="816" spans="5:5" ht="13">
      <c r="E816" s="28"/>
    </row>
    <row r="817" spans="5:5" ht="13">
      <c r="E817" s="28"/>
    </row>
    <row r="818" spans="5:5" ht="13">
      <c r="E818" s="28"/>
    </row>
    <row r="819" spans="5:5" ht="13">
      <c r="E819" s="28"/>
    </row>
    <row r="820" spans="5:5" ht="13">
      <c r="E820" s="28"/>
    </row>
    <row r="821" spans="5:5" ht="13">
      <c r="E821" s="28"/>
    </row>
    <row r="822" spans="5:5" ht="13">
      <c r="E822" s="28"/>
    </row>
    <row r="823" spans="5:5" ht="13">
      <c r="E823" s="28"/>
    </row>
    <row r="824" spans="5:5" ht="13">
      <c r="E824" s="28"/>
    </row>
    <row r="825" spans="5:5" ht="13">
      <c r="E825" s="28"/>
    </row>
    <row r="826" spans="5:5" ht="13">
      <c r="E826" s="28"/>
    </row>
    <row r="827" spans="5:5" ht="13">
      <c r="E827" s="28"/>
    </row>
    <row r="828" spans="5:5" ht="13">
      <c r="E828" s="28"/>
    </row>
    <row r="829" spans="5:5" ht="13">
      <c r="E829" s="28"/>
    </row>
    <row r="830" spans="5:5" ht="13">
      <c r="E830" s="28"/>
    </row>
    <row r="831" spans="5:5" ht="13">
      <c r="E831" s="28"/>
    </row>
    <row r="832" spans="5:5" ht="13">
      <c r="E832" s="28"/>
    </row>
    <row r="833" spans="5:5" ht="13">
      <c r="E833" s="28"/>
    </row>
    <row r="834" spans="5:5" ht="13">
      <c r="E834" s="28"/>
    </row>
    <row r="835" spans="5:5" ht="13">
      <c r="E835" s="28"/>
    </row>
    <row r="836" spans="5:5" ht="13">
      <c r="E836" s="28"/>
    </row>
    <row r="837" spans="5:5" ht="13">
      <c r="E837" s="28"/>
    </row>
    <row r="838" spans="5:5" ht="13">
      <c r="E838" s="28"/>
    </row>
    <row r="839" spans="5:5" ht="13">
      <c r="E839" s="28"/>
    </row>
    <row r="840" spans="5:5" ht="13">
      <c r="E840" s="28"/>
    </row>
    <row r="841" spans="5:5" ht="13">
      <c r="E841" s="28"/>
    </row>
    <row r="842" spans="5:5" ht="13">
      <c r="E842" s="28"/>
    </row>
    <row r="843" spans="5:5" ht="13">
      <c r="E843" s="28"/>
    </row>
    <row r="844" spans="5:5" ht="13">
      <c r="E844" s="28"/>
    </row>
    <row r="845" spans="5:5" ht="13">
      <c r="E845" s="28"/>
    </row>
    <row r="846" spans="5:5" ht="13">
      <c r="E846" s="28"/>
    </row>
    <row r="847" spans="5:5" ht="13">
      <c r="E847" s="28"/>
    </row>
    <row r="848" spans="5:5" ht="13">
      <c r="E848" s="28"/>
    </row>
    <row r="849" spans="5:5" ht="13">
      <c r="E849" s="28"/>
    </row>
    <row r="850" spans="5:5" ht="13">
      <c r="E850" s="28"/>
    </row>
    <row r="851" spans="5:5" ht="13">
      <c r="E851" s="28"/>
    </row>
    <row r="852" spans="5:5" ht="13">
      <c r="E852" s="28"/>
    </row>
    <row r="853" spans="5:5" ht="13">
      <c r="E853" s="28"/>
    </row>
    <row r="854" spans="5:5" ht="13">
      <c r="E854" s="28"/>
    </row>
    <row r="855" spans="5:5" ht="13">
      <c r="E855" s="28"/>
    </row>
    <row r="856" spans="5:5" ht="13">
      <c r="E856" s="28"/>
    </row>
    <row r="857" spans="5:5" ht="13">
      <c r="E857" s="28"/>
    </row>
    <row r="858" spans="5:5" ht="13">
      <c r="E858" s="28"/>
    </row>
    <row r="859" spans="5:5" ht="13">
      <c r="E859" s="28"/>
    </row>
    <row r="860" spans="5:5" ht="13">
      <c r="E860" s="28"/>
    </row>
    <row r="861" spans="5:5" ht="13">
      <c r="E861" s="28"/>
    </row>
    <row r="862" spans="5:5" ht="13">
      <c r="E862" s="28"/>
    </row>
    <row r="863" spans="5:5" ht="13">
      <c r="E863" s="28"/>
    </row>
    <row r="864" spans="5:5" ht="13">
      <c r="E864" s="28"/>
    </row>
    <row r="865" spans="5:5" ht="13">
      <c r="E865" s="28"/>
    </row>
    <row r="866" spans="5:5" ht="13">
      <c r="E866" s="28"/>
    </row>
    <row r="867" spans="5:5" ht="13">
      <c r="E867" s="28"/>
    </row>
    <row r="868" spans="5:5" ht="13">
      <c r="E868" s="28"/>
    </row>
    <row r="869" spans="5:5" ht="13">
      <c r="E869" s="28"/>
    </row>
    <row r="870" spans="5:5" ht="13">
      <c r="E870" s="28"/>
    </row>
    <row r="871" spans="5:5" ht="13">
      <c r="E871" s="28"/>
    </row>
    <row r="872" spans="5:5" ht="13">
      <c r="E872" s="28"/>
    </row>
    <row r="873" spans="5:5" ht="13">
      <c r="E873" s="28"/>
    </row>
    <row r="874" spans="5:5" ht="13">
      <c r="E874" s="28"/>
    </row>
    <row r="875" spans="5:5" ht="13">
      <c r="E875" s="28"/>
    </row>
    <row r="876" spans="5:5" ht="13">
      <c r="E876" s="28"/>
    </row>
    <row r="877" spans="5:5" ht="13">
      <c r="E877" s="28"/>
    </row>
    <row r="878" spans="5:5" ht="13">
      <c r="E878" s="28"/>
    </row>
    <row r="879" spans="5:5" ht="13">
      <c r="E879" s="28"/>
    </row>
    <row r="880" spans="5:5" ht="13">
      <c r="E880" s="28"/>
    </row>
    <row r="881" spans="5:5" ht="13">
      <c r="E881" s="28"/>
    </row>
    <row r="882" spans="5:5" ht="13">
      <c r="E882" s="28"/>
    </row>
    <row r="883" spans="5:5" ht="13">
      <c r="E883" s="28"/>
    </row>
    <row r="884" spans="5:5" ht="13">
      <c r="E884" s="28"/>
    </row>
    <row r="885" spans="5:5" ht="13">
      <c r="E885" s="28"/>
    </row>
    <row r="886" spans="5:5" ht="13">
      <c r="E886" s="28"/>
    </row>
    <row r="887" spans="5:5" ht="13">
      <c r="E887" s="28"/>
    </row>
    <row r="888" spans="5:5" ht="13">
      <c r="E888" s="28"/>
    </row>
    <row r="889" spans="5:5" ht="13">
      <c r="E889" s="28"/>
    </row>
    <row r="890" spans="5:5" ht="13">
      <c r="E890" s="28"/>
    </row>
    <row r="891" spans="5:5" ht="13">
      <c r="E891" s="28"/>
    </row>
    <row r="892" spans="5:5" ht="13">
      <c r="E892" s="28"/>
    </row>
    <row r="893" spans="5:5" ht="13">
      <c r="E893" s="28"/>
    </row>
    <row r="894" spans="5:5" ht="13">
      <c r="E894" s="28"/>
    </row>
    <row r="895" spans="5:5" ht="13">
      <c r="E895" s="28"/>
    </row>
    <row r="896" spans="5:5" ht="13">
      <c r="E896" s="28"/>
    </row>
    <row r="897" spans="5:5" ht="13">
      <c r="E897" s="28"/>
    </row>
    <row r="898" spans="5:5" ht="13">
      <c r="E898" s="28"/>
    </row>
    <row r="899" spans="5:5" ht="13">
      <c r="E899" s="28"/>
    </row>
    <row r="900" spans="5:5" ht="13">
      <c r="E900" s="28"/>
    </row>
    <row r="901" spans="5:5" ht="13">
      <c r="E901" s="28"/>
    </row>
    <row r="902" spans="5:5" ht="13">
      <c r="E902" s="28"/>
    </row>
    <row r="903" spans="5:5" ht="13">
      <c r="E903" s="28"/>
    </row>
    <row r="904" spans="5:5" ht="13">
      <c r="E904" s="28"/>
    </row>
    <row r="905" spans="5:5" ht="13">
      <c r="E905" s="28"/>
    </row>
    <row r="906" spans="5:5" ht="13">
      <c r="E906" s="28"/>
    </row>
    <row r="907" spans="5:5" ht="13">
      <c r="E907" s="28"/>
    </row>
    <row r="908" spans="5:5" ht="13">
      <c r="E908" s="28"/>
    </row>
    <row r="909" spans="5:5" ht="13">
      <c r="E909" s="28"/>
    </row>
    <row r="910" spans="5:5" ht="13">
      <c r="E910" s="28"/>
    </row>
    <row r="911" spans="5:5" ht="13">
      <c r="E911" s="28"/>
    </row>
    <row r="912" spans="5:5" ht="13">
      <c r="E912" s="28"/>
    </row>
    <row r="913" spans="5:5" ht="13">
      <c r="E913" s="28"/>
    </row>
    <row r="914" spans="5:5" ht="13">
      <c r="E914" s="28"/>
    </row>
    <row r="915" spans="5:5" ht="13">
      <c r="E915" s="28"/>
    </row>
    <row r="916" spans="5:5" ht="13">
      <c r="E916" s="28"/>
    </row>
    <row r="917" spans="5:5" ht="13">
      <c r="E917" s="28"/>
    </row>
    <row r="918" spans="5:5" ht="13">
      <c r="E918" s="28"/>
    </row>
    <row r="919" spans="5:5" ht="13">
      <c r="E919" s="28"/>
    </row>
    <row r="920" spans="5:5" ht="13">
      <c r="E920" s="28"/>
    </row>
    <row r="921" spans="5:5" ht="13">
      <c r="E921" s="28"/>
    </row>
    <row r="922" spans="5:5" ht="13">
      <c r="E922" s="28"/>
    </row>
    <row r="923" spans="5:5" ht="13">
      <c r="E923" s="28"/>
    </row>
    <row r="924" spans="5:5" ht="13">
      <c r="E924" s="28"/>
    </row>
    <row r="925" spans="5:5" ht="13">
      <c r="E925" s="28"/>
    </row>
    <row r="926" spans="5:5" ht="13">
      <c r="E926" s="28"/>
    </row>
    <row r="927" spans="5:5" ht="13">
      <c r="E927" s="28"/>
    </row>
    <row r="928" spans="5:5" ht="13">
      <c r="E928" s="28"/>
    </row>
    <row r="929" spans="5:5" ht="13">
      <c r="E929" s="28"/>
    </row>
    <row r="930" spans="5:5" ht="13">
      <c r="E930" s="28"/>
    </row>
    <row r="931" spans="5:5" ht="13">
      <c r="E931" s="28"/>
    </row>
    <row r="932" spans="5:5" ht="13">
      <c r="E932" s="28"/>
    </row>
    <row r="933" spans="5:5" ht="13">
      <c r="E933" s="28"/>
    </row>
    <row r="934" spans="5:5" ht="13">
      <c r="E934" s="28"/>
    </row>
    <row r="935" spans="5:5" ht="13">
      <c r="E935" s="28"/>
    </row>
    <row r="936" spans="5:5" ht="13">
      <c r="E936" s="28"/>
    </row>
    <row r="937" spans="5:5" ht="13">
      <c r="E937" s="28"/>
    </row>
    <row r="938" spans="5:5" ht="13">
      <c r="E938" s="28"/>
    </row>
    <row r="939" spans="5:5" ht="13">
      <c r="E939" s="28"/>
    </row>
    <row r="940" spans="5:5" ht="13">
      <c r="E940" s="28"/>
    </row>
    <row r="941" spans="5:5" ht="13">
      <c r="E941" s="28"/>
    </row>
    <row r="942" spans="5:5" ht="13">
      <c r="E942" s="28"/>
    </row>
    <row r="943" spans="5:5" ht="13">
      <c r="E943" s="28"/>
    </row>
    <row r="944" spans="5:5" ht="13">
      <c r="E944" s="28"/>
    </row>
    <row r="945" spans="5:5" ht="13">
      <c r="E945" s="28"/>
    </row>
    <row r="946" spans="5:5" ht="13">
      <c r="E946" s="28"/>
    </row>
    <row r="947" spans="5:5" ht="13">
      <c r="E947" s="28"/>
    </row>
    <row r="948" spans="5:5" ht="13">
      <c r="E948" s="28"/>
    </row>
    <row r="949" spans="5:5" ht="13">
      <c r="E949" s="28"/>
    </row>
    <row r="950" spans="5:5" ht="13">
      <c r="E950" s="28"/>
    </row>
    <row r="951" spans="5:5" ht="13">
      <c r="E951" s="28"/>
    </row>
    <row r="952" spans="5:5" ht="13">
      <c r="E952" s="28"/>
    </row>
    <row r="953" spans="5:5" ht="13">
      <c r="E953" s="28"/>
    </row>
    <row r="954" spans="5:5" ht="13">
      <c r="E954" s="28"/>
    </row>
    <row r="955" spans="5:5" ht="13">
      <c r="E955" s="28"/>
    </row>
    <row r="956" spans="5:5" ht="13">
      <c r="E956" s="28"/>
    </row>
    <row r="957" spans="5:5" ht="13">
      <c r="E957" s="28"/>
    </row>
    <row r="958" spans="5:5" ht="13">
      <c r="E958" s="28"/>
    </row>
    <row r="959" spans="5:5" ht="13">
      <c r="E959" s="28"/>
    </row>
    <row r="960" spans="5:5" ht="13">
      <c r="E960" s="28"/>
    </row>
    <row r="961" spans="5:5" ht="13">
      <c r="E961" s="28"/>
    </row>
    <row r="962" spans="5:5" ht="13">
      <c r="E962" s="28"/>
    </row>
    <row r="963" spans="5:5" ht="13">
      <c r="E963" s="28"/>
    </row>
    <row r="964" spans="5:5" ht="13">
      <c r="E964" s="28"/>
    </row>
    <row r="965" spans="5:5" ht="13">
      <c r="E965" s="28"/>
    </row>
    <row r="966" spans="5:5" ht="13">
      <c r="E966" s="28"/>
    </row>
    <row r="967" spans="5:5" ht="13">
      <c r="E967" s="28"/>
    </row>
    <row r="968" spans="5:5" ht="13">
      <c r="E968" s="28"/>
    </row>
    <row r="969" spans="5:5" ht="13">
      <c r="E969" s="28"/>
    </row>
    <row r="970" spans="5:5" ht="13">
      <c r="E970" s="28"/>
    </row>
    <row r="971" spans="5:5" ht="13">
      <c r="E971" s="28"/>
    </row>
    <row r="972" spans="5:5" ht="13">
      <c r="E972" s="28"/>
    </row>
    <row r="973" spans="5:5" ht="13">
      <c r="E973" s="28"/>
    </row>
    <row r="974" spans="5:5" ht="13">
      <c r="E974" s="28"/>
    </row>
    <row r="975" spans="5:5" ht="13">
      <c r="E975" s="28"/>
    </row>
    <row r="976" spans="5:5" ht="13">
      <c r="E976" s="28"/>
    </row>
    <row r="977" spans="5:5" ht="13">
      <c r="E977" s="28"/>
    </row>
    <row r="978" spans="5:5" ht="13">
      <c r="E978" s="28"/>
    </row>
    <row r="979" spans="5:5" ht="13">
      <c r="E979" s="28"/>
    </row>
    <row r="980" spans="5:5" ht="13">
      <c r="E980" s="28"/>
    </row>
    <row r="981" spans="5:5" ht="13">
      <c r="E981" s="28"/>
    </row>
    <row r="982" spans="5:5" ht="13">
      <c r="E982" s="28"/>
    </row>
    <row r="983" spans="5:5" ht="13">
      <c r="E983" s="28"/>
    </row>
    <row r="984" spans="5:5" ht="13">
      <c r="E984" s="28"/>
    </row>
    <row r="985" spans="5:5" ht="13">
      <c r="E985" s="2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PHMSA records</vt:lpstr>
      <vt:lpstr>Notable 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Donaghy</cp:lastModifiedBy>
  <dcterms:modified xsi:type="dcterms:W3CDTF">2025-11-05T20:34:08Z</dcterms:modified>
</cp:coreProperties>
</file>